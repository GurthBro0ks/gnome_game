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03.xml"/>
  <Override ContentType="application/vnd.openxmlformats-officedocument.spreadsheetml.table+xml" PartName="/xl/tables/table338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290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319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353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325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42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357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364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352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341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55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328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160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32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306.xml"/>
  <Override ContentType="application/vnd.openxmlformats-officedocument.spreadsheetml.table+xml" PartName="/xl/tables/table21.xml"/>
  <Override ContentType="application/vnd.openxmlformats-officedocument.spreadsheetml.table+xml" PartName="/xl/tables/table349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33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359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327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ing Speed" sheetId="1" r:id="rId5"/>
    <sheet state="visible" name="Travel Speed" sheetId="2" r:id="rId6"/>
    <sheet state="visible" name="Gene Research" sheetId="3" r:id="rId7"/>
    <sheet state="visible" name="Cells Gained" sheetId="4" r:id="rId8"/>
    <sheet state="visible" name="Museum" sheetId="5" r:id="rId9"/>
    <sheet state="visible" name="Rocket Cabin Effects" sheetId="6" r:id="rId10"/>
    <sheet state="visible" name="Minion Boosts" sheetId="7" r:id="rId11"/>
    <sheet state="visible" name="Leadership" sheetId="8" r:id="rId12"/>
    <sheet state="visible" name="Tadpole Pond" sheetId="9" r:id="rId13"/>
    <sheet state="visible" name="Fungus Farm" sheetId="10" r:id="rId14"/>
    <sheet state="visible" name="Time Machine" sheetId="11" r:id="rId15"/>
    <sheet state="visible" name="Lumber Camp" sheetId="12" r:id="rId16"/>
    <sheet state="visible" name="Quarry" sheetId="13" r:id="rId17"/>
    <sheet state="visible" name="Quantum Amp" sheetId="14" r:id="rId18"/>
    <sheet state="visible" name="Compass" sheetId="15" r:id="rId19"/>
    <sheet state="visible" name="Cost Reductions" sheetId="16" r:id="rId20"/>
    <sheet state="visible" name="Lottery" sheetId="17" r:id="rId21"/>
    <sheet state="visible" name="Minion Base Stats" sheetId="18" r:id="rId22"/>
    <sheet state="visible" name="Partner Research Costs" sheetId="19" r:id="rId23"/>
    <sheet state="visible" name="DNA Costs" sheetId="20" r:id="rId24"/>
    <sheet state="visible" name="Dragon DNA Costs" sheetId="21" r:id="rId25"/>
    <sheet state="visible" name="Relic Albums" sheetId="22" r:id="rId26"/>
    <sheet state="visible" name="Lotto2 Expanded Stock" sheetId="23" r:id="rId27"/>
    <sheet state="visible" name="Lotto3 Expanded Stock" sheetId="24" r:id="rId28"/>
    <sheet state="visible" name="Useful Awakenings" sheetId="25" r:id="rId29"/>
    <sheet state="visible" name="Rift Anecdotes" sheetId="26" r:id="rId30"/>
    <sheet state="visible" name="Dance Calculator" sheetId="27" r:id="rId31"/>
    <sheet state="visible" name="Band Calculator" sheetId="28" r:id="rId32"/>
    <sheet state="visible" name="Sailing Calculator" sheetId="29" r:id="rId33"/>
    <sheet state="visible" name="Drifter Stats" sheetId="30" r:id="rId34"/>
    <sheet state="visible" name="Drifter Priority" sheetId="31" r:id="rId35"/>
    <sheet state="visible" name="Protomon" sheetId="32" r:id="rId36"/>
    <sheet state="visible" name="Hitmen" sheetId="33" r:id="rId37"/>
  </sheets>
  <definedNames/>
  <calcPr/>
</workbook>
</file>

<file path=xl/sharedStrings.xml><?xml version="1.0" encoding="utf-8"?>
<sst xmlns="http://schemas.openxmlformats.org/spreadsheetml/2006/main" count="16310" uniqueCount="4641">
  <si>
    <t>Name</t>
  </si>
  <si>
    <t>Rarity</t>
  </si>
  <si>
    <t>Type</t>
  </si>
  <si>
    <t>Base Soul Speed</t>
  </si>
  <si>
    <t>Awakened Bonus</t>
  </si>
  <si>
    <t>Source</t>
  </si>
  <si>
    <t>INDIVIDUAL RELICS</t>
  </si>
  <si>
    <t xml:space="preserve">   Prometheus Torch</t>
  </si>
  <si>
    <t>SSS</t>
  </si>
  <si>
    <t>FAME</t>
  </si>
  <si>
    <t>Lottery Machine #1 (0.09%), Wishing (0.09%), Hellas Treasure Map, Grandmaster Scrolls (0.81%), Relic Forge (120 Relic RF)</t>
  </si>
  <si>
    <t xml:space="preserve">   Houmuwu Ding</t>
  </si>
  <si>
    <t>CIV</t>
  </si>
  <si>
    <t>Wish Box, Lottery Machine #1 (0.09%), Wishing (0.08%), Cathay Treasure Maps (0.01%), Grandmaster Scrolls (0.81%), Relic Forge (120 Relic RF)</t>
  </si>
  <si>
    <t xml:space="preserve">   Crystal Skull</t>
  </si>
  <si>
    <t>AAA</t>
  </si>
  <si>
    <t>ART</t>
  </si>
  <si>
    <t>Fragment Crafting (1.6%), Lottery Machine #1 (0.03%), Wishing (0.14%), Time Chest (1.5%), Relic Forge (Relic RF 80)</t>
  </si>
  <si>
    <t xml:space="preserve">   Buddha Tooth Sarira</t>
  </si>
  <si>
    <t>Blue</t>
  </si>
  <si>
    <t>FTH</t>
  </si>
  <si>
    <t>Lottery Machine #1 (0.03%), Wishing (0.85%), Bharata Treasure Maps (%)</t>
  </si>
  <si>
    <t xml:space="preserve">   Death Hallows VII</t>
  </si>
  <si>
    <t>Green</t>
  </si>
  <si>
    <t>Dumbledore Fight II</t>
  </si>
  <si>
    <t xml:space="preserve">   Crying Boy</t>
  </si>
  <si>
    <t>I want your collection! Dragon Wish</t>
  </si>
  <si>
    <t>MAX INDIVIDUAL RELICS</t>
  </si>
  <si>
    <t>PARTNERS</t>
  </si>
  <si>
    <t xml:space="preserve">   Prince</t>
  </si>
  <si>
    <t>lv30</t>
  </si>
  <si>
    <t>INTEL</t>
  </si>
  <si>
    <t xml:space="preserve">   Koryeo</t>
  </si>
  <si>
    <t>COLLECTOR's TALENTS</t>
  </si>
  <si>
    <t xml:space="preserve">    Offering Speed</t>
  </si>
  <si>
    <t>ROCKET UPGRADES</t>
  </si>
  <si>
    <t xml:space="preserve">   Oracle Hall</t>
  </si>
  <si>
    <t>RESONANCE</t>
  </si>
  <si>
    <t>BLUE</t>
  </si>
  <si>
    <t xml:space="preserve">   Divergene Meter</t>
  </si>
  <si>
    <t>TECH</t>
  </si>
  <si>
    <t>Lottery Machine #1 (0.36%), Wishing (13.2%), Time Chest (2%), Novice Scrolls (5%)</t>
  </si>
  <si>
    <t xml:space="preserve">   Guanery's Violin</t>
  </si>
  <si>
    <t>Lottery Machine #1 (0.03%), Wishing (1.2%), Indigent Nobleman (72K B-tads)</t>
  </si>
  <si>
    <t xml:space="preserve">   Tudor Rose</t>
  </si>
  <si>
    <t>Lottery Machine #1 (0.03%), Wishing (1.2%)</t>
  </si>
  <si>
    <t xml:space="preserve">   Holmes' Pipe</t>
  </si>
  <si>
    <t>Lottery Machine  #1 (0.36%), Wishing (10.3%), Trainee Scrolls (5%)</t>
  </si>
  <si>
    <t xml:space="preserve">   Dunhuang Painting</t>
  </si>
  <si>
    <t>Lottery Machine #1 (0.03%), Wishing (0.85%)</t>
  </si>
  <si>
    <t xml:space="preserve">   Our Lady of Kazan</t>
  </si>
  <si>
    <t>Lottery Machine #1 (0.36%), Wishing (10.6%), Trainee Scrolls (5%)</t>
  </si>
  <si>
    <t>ORANGE</t>
  </si>
  <si>
    <t xml:space="preserve">   Pandora's Box</t>
  </si>
  <si>
    <t>SS</t>
  </si>
  <si>
    <t>Lottery Machine #1 (0.12%), Wishing (0.11%), Soul Chest(1%), Grandmaster Scrolls (1%), Relic Forge (100 Relic RF)</t>
  </si>
  <si>
    <t xml:space="preserve">   True Cross</t>
  </si>
  <si>
    <t>Oracle Hall (Earth's Will Cabin) Reward</t>
  </si>
  <si>
    <t xml:space="preserve">   Arkanrock</t>
  </si>
  <si>
    <t>Eternal Hall (Demon God Cabin) Reward</t>
  </si>
  <si>
    <t xml:space="preserve">   Maya Slate</t>
  </si>
  <si>
    <t>Wish Box, Lottery Machine #1 (0.09%), Wishing (0.06%), Dragon Chest (0.1%), Grandmaster Scrolls (0.81%), Relic Forge (120 Relic RF)</t>
  </si>
  <si>
    <t xml:space="preserve">   Royal Celtic Harp</t>
  </si>
  <si>
    <t>Lottery Machine #1 (0.09%), Wishing (0.06%), Grandmaster Scrolls (0.76%)</t>
  </si>
  <si>
    <t>MAX RESONANCE</t>
  </si>
  <si>
    <t>Total Soul Offering Speed</t>
  </si>
  <si>
    <t>Base</t>
  </si>
  <si>
    <t>Actual</t>
  </si>
  <si>
    <t>Speed Example</t>
  </si>
  <si>
    <t>One Round Offering</t>
  </si>
  <si>
    <t>5 Rounds (hours)</t>
  </si>
  <si>
    <t>Precooked Offerings (hours)</t>
  </si>
  <si>
    <t>Non-precooked Offerings (hours)</t>
  </si>
  <si>
    <t>(days)</t>
  </si>
  <si>
    <t>Base Travel Speed</t>
  </si>
  <si>
    <t>Stamp Bonus</t>
  </si>
  <si>
    <t xml:space="preserve">   Voyager 1</t>
  </si>
  <si>
    <t>Wish Box, Lottery Machine #1 (0.09%), Wishing (0.07%), Murikan Treasure Maps (0.01%), Grandmaster Scrolls (0.81%), Relic Forge (120 Relic RF)</t>
  </si>
  <si>
    <t xml:space="preserve">   Magellan's Telescope</t>
  </si>
  <si>
    <t xml:space="preserve">   Somersault Cloud</t>
  </si>
  <si>
    <t>Wish Pack, Lottery Machine #1 (0.09%), Wishing (0.06%), Super Treasure Maps (0.03%), Grandmaster Scrolls (0.81%), Relic Forge (120 Relic RF), "I want your collection!" Dragon Wish</t>
  </si>
  <si>
    <t xml:space="preserve">   Travels of Marco Polo</t>
  </si>
  <si>
    <t>Lottery Machine #1 (0.12%), Wishing (0.11%), Grandmaster Scrolls (1%), Relic Forge (100 Relic RF), Club Value Pack II ($49.99)</t>
  </si>
  <si>
    <t xml:space="preserve">   Otto Engine</t>
  </si>
  <si>
    <t>Fragment Crafting (1.6%), Lottery Machine #1 (0.03%), Wishing (0.14%), Tool Chest (1.5%), Relic Forge (80 Relic RF)</t>
  </si>
  <si>
    <t xml:space="preserve">   Bronze Bird</t>
  </si>
  <si>
    <t>Cathay Treasure Map (20%)</t>
  </si>
  <si>
    <t xml:space="preserve">   Flying Broom</t>
  </si>
  <si>
    <t>Defeat Ratman</t>
  </si>
  <si>
    <t>GEAR</t>
  </si>
  <si>
    <t xml:space="preserve">   Tremendous Support</t>
  </si>
  <si>
    <t>Divine Order Chest (0.8%)</t>
  </si>
  <si>
    <t xml:space="preserve">   Domain Holograph</t>
  </si>
  <si>
    <t>FORM SPECIFIC</t>
  </si>
  <si>
    <t>ZOMBIE</t>
  </si>
  <si>
    <t xml:space="preserve">   Shroud of Turin</t>
  </si>
  <si>
    <t>S</t>
  </si>
  <si>
    <t>Fragment Crafting (15.1%), Lottery Machine #1 (0.81%), Wishing (0.53%), Relic Forge (90 Relic RF)</t>
  </si>
  <si>
    <t xml:space="preserve">   Ludovisi Gaul</t>
  </si>
  <si>
    <t>Lottery Machine #1 (0.07%), Wishing (3%), Trainee Scrolls (1%), Indigent Nobleman (72K B-tads)</t>
  </si>
  <si>
    <t>DEMON</t>
  </si>
  <si>
    <t xml:space="preserve">   Eye of Akamoddo</t>
  </si>
  <si>
    <t>Fragment Crafting (4.4%), Lottery Machine #1 (0.24%), Wishing (0.16%), Time Chest (1%), Master Scrolls (1.9%), Grandmaster Scrolls (2.1%), FTH Master Scrolls (9.2%)</t>
  </si>
  <si>
    <t xml:space="preserve">   Great Wave</t>
  </si>
  <si>
    <t>Lottery Machine #1 (0.07%), Wishing (3%), Yamato Treasure Maps (20%)</t>
  </si>
  <si>
    <t xml:space="preserve">   Annabel</t>
  </si>
  <si>
    <t>"I want your collection!" Dragon Wish</t>
  </si>
  <si>
    <t>ANGEL</t>
  </si>
  <si>
    <t xml:space="preserve">   Golden Chariot</t>
  </si>
  <si>
    <t>Fragment Crafting (3.3%), Lottery Machine #1 (0.18%), Wishing (0.12%), Hellas Treasure Maps (%), Grandmaster Scrolls (1.6%)</t>
  </si>
  <si>
    <t>MUTANT</t>
  </si>
  <si>
    <t xml:space="preserve">    Element R</t>
  </si>
  <si>
    <t>Fragment Crafting (17.8%), Lottery Machine #1 (0.81%), Wishing (0.65%), Relic Forge (90 Relic RF)</t>
  </si>
  <si>
    <t xml:space="preserve">    Torpedo Swimsuit</t>
  </si>
  <si>
    <t>Lottery Machine #1 (0.03%), Wishing (1.1%), Evolution Chest (2%)</t>
  </si>
  <si>
    <t>MECHA</t>
  </si>
  <si>
    <t xml:space="preserve">    Skyweb Hub</t>
  </si>
  <si>
    <t>Koryeon Domain, Fragment Crafting (5.2%), Lottery Machine #1 (0.24%), Wishing (0.19%), Super Treasure Maps (5%), Master Scrolls (1.9%), Grandmaster Scrolls (2.1%), TECH Master Scrolls (9.2%)</t>
  </si>
  <si>
    <t xml:space="preserve">    Arirange Satellite</t>
  </si>
  <si>
    <t>Lottery Machine #1 (0.03%), Wishing (1.1%), Nebula Chest (2%)</t>
  </si>
  <si>
    <t>DRAGON</t>
  </si>
  <si>
    <t xml:space="preserve">    Phoenix Feather</t>
  </si>
  <si>
    <t>Lottery Machine #1 (0.09%), Wishing (0.06%), Evolution Chest (0.01%), Grandmaster Scrolls (0.81%), Relic Forge (120 Relic RF)</t>
  </si>
  <si>
    <t xml:space="preserve">    Dunhuang Painting</t>
  </si>
  <si>
    <t>MAX FORM SPECIFIC</t>
  </si>
  <si>
    <t xml:space="preserve">   Flyer I</t>
  </si>
  <si>
    <t>Lottery Machine #1 (0.03%), Wishing (1.1%)</t>
  </si>
  <si>
    <t xml:space="preserve">   Storyteller</t>
  </si>
  <si>
    <t>Lottery Machine #1 (0.36%), Wishing (15%), Trainee Scrolls (5%)</t>
  </si>
  <si>
    <t xml:space="preserve">   Dragon Crystal</t>
  </si>
  <si>
    <t>Dragon Gene Research Tier 2</t>
  </si>
  <si>
    <t xml:space="preserve">   Gone with the Wind</t>
  </si>
  <si>
    <t>Murikan Treasure Maps (20%)</t>
  </si>
  <si>
    <t xml:space="preserve">   Bellum Gallicum</t>
  </si>
  <si>
    <t xml:space="preserve">   Atomic Clock</t>
  </si>
  <si>
    <t>PURPLE</t>
  </si>
  <si>
    <t xml:space="preserve">   Leaf Manuscript</t>
  </si>
  <si>
    <t>Fragment Crafting (1.5%), Lottery Machine #1 (0.03%), Wishing (0.14%), Bharata Treasure Maps (%), Relic Forge (80 Relic RF)</t>
  </si>
  <si>
    <t xml:space="preserve">   Skidbladnir Ship</t>
  </si>
  <si>
    <t>Fragment Crafting (1.5%), Lottery Machine #1 (0.03%), Wishing (0.14%), Relic Forge (80 Relic RF)</t>
  </si>
  <si>
    <t xml:space="preserve">   Yuan Calendar</t>
  </si>
  <si>
    <t>AA</t>
  </si>
  <si>
    <t>Fragment Crafting (3.9%), Lottery Machine #1 (0.08%), Wishing (0.36%), Koryeon Treasure Maps (10%), Expert Scrolls (0.95%)</t>
  </si>
  <si>
    <t xml:space="preserve">   Moonlight Sonata</t>
  </si>
  <si>
    <t>Fragment Crafting (1.6%), Lottery Machine #1 (0.03%), Wishing (0.14%), Relic Forge (80 Relic RF), Nebula Chest (1.5%)</t>
  </si>
  <si>
    <t xml:space="preserve">   Treaty of Versailles</t>
  </si>
  <si>
    <t>Fragment Crafting (1.6%), Lottery Machine #1 (0.03%), Wishing (0.14%), Club Chest (1.5%), Relic Forge (80 Relic RF)</t>
  </si>
  <si>
    <t xml:space="preserve">   Noah's Ark</t>
  </si>
  <si>
    <t>Weekly Special Reward Relic #3</t>
  </si>
  <si>
    <t xml:space="preserve">   Golden Trophy</t>
  </si>
  <si>
    <t>Lottery Machine #1 (0.12%), Wishing (0.11%), Grandmaster Scrolls (1%), Relic Forge (100 Relic RF), Avatar Value Pack II ($49.99)</t>
  </si>
  <si>
    <t xml:space="preserve">   Ape's Footprint Fossil</t>
  </si>
  <si>
    <t>Super Species Chest (2.4%)</t>
  </si>
  <si>
    <t xml:space="preserve">   Trojan Horse</t>
  </si>
  <si>
    <t>Lottery Machine #1 (0.09%), Wishing (0.09%), Grandmaster Scrolls (0.81%), Relic Forge (120 Relic RF)</t>
  </si>
  <si>
    <t xml:space="preserve">   Einstein's Brain</t>
  </si>
  <si>
    <t>Lottery Machine #1 (0.09%), Wishing (0.08%), Grandmaster Scrolls (0.79%)</t>
  </si>
  <si>
    <t xml:space="preserve">   Gravitation Scripts</t>
  </si>
  <si>
    <t>Daily Pack Relic #10</t>
  </si>
  <si>
    <t>Total Travel Speed (General)</t>
  </si>
  <si>
    <t>Speed Example (Hrs)</t>
  </si>
  <si>
    <t>Actual Time (General)</t>
  </si>
  <si>
    <t>AREA SPECIFIC</t>
  </si>
  <si>
    <t>KORYEO</t>
  </si>
  <si>
    <t xml:space="preserve">   INTEL</t>
  </si>
  <si>
    <t xml:space="preserve">   Aries</t>
  </si>
  <si>
    <t>Supreme Relic ($1k)</t>
  </si>
  <si>
    <t>Total Travel Speed (Koryeo)</t>
  </si>
  <si>
    <t>Actual Time (Koryeo)</t>
  </si>
  <si>
    <t>YAMATO</t>
  </si>
  <si>
    <t xml:space="preserve">   Taurus</t>
  </si>
  <si>
    <t>Supreme Relic ($4k)</t>
  </si>
  <si>
    <t>Total Travel Speed (Yamato)</t>
  </si>
  <si>
    <t>Actual Time (Yamato)</t>
  </si>
  <si>
    <t>CATHAY</t>
  </si>
  <si>
    <t xml:space="preserve">   Gemini</t>
  </si>
  <si>
    <t>Supreme Relic ($?k)</t>
  </si>
  <si>
    <t>Total Travel Speed (Cathay)</t>
  </si>
  <si>
    <t>Actual Time (Cathay)</t>
  </si>
  <si>
    <t>MURIKA</t>
  </si>
  <si>
    <t xml:space="preserve">   Blink Steward</t>
  </si>
  <si>
    <t xml:space="preserve">   Cancer</t>
  </si>
  <si>
    <t>Supreme Relic ($12k)</t>
  </si>
  <si>
    <t>Total Travel Speed (Murika)</t>
  </si>
  <si>
    <t>Actual Time (Murika)</t>
  </si>
  <si>
    <t>BRITLAND</t>
  </si>
  <si>
    <t xml:space="preserve">   Book of the Dead</t>
  </si>
  <si>
    <t>Traveler Member Reward ($2.99), Premium Member Reward ($49.99)</t>
  </si>
  <si>
    <t xml:space="preserve">   Leo</t>
  </si>
  <si>
    <t>Supreme Relic ($20k)</t>
  </si>
  <si>
    <t>Total Travel Speed (Britland)</t>
  </si>
  <si>
    <t>Actual Time (Britland)</t>
  </si>
  <si>
    <t>KEMET</t>
  </si>
  <si>
    <t xml:space="preserve">   Gutenberg's Press</t>
  </si>
  <si>
    <t>Daily Pack</t>
  </si>
  <si>
    <t xml:space="preserve">   Virgo</t>
  </si>
  <si>
    <t>Total Travel Speed (Kemet)</t>
  </si>
  <si>
    <t>Actual Time (Kemet)</t>
  </si>
  <si>
    <t>Research Speed</t>
  </si>
  <si>
    <t>Awakening Research Speed</t>
  </si>
  <si>
    <t>Cells Cost</t>
  </si>
  <si>
    <t>Awakening Cells Cost</t>
  </si>
  <si>
    <t>Btad Cost</t>
  </si>
  <si>
    <t>Awakening Btad Cost</t>
  </si>
  <si>
    <t>Free Speedup (min)</t>
  </si>
  <si>
    <t>Awakening Free Speedup</t>
  </si>
  <si>
    <t xml:space="preserve">   Double Helix DNA</t>
  </si>
  <si>
    <t>Lottery Machine #1 (0.09%), Wishing (0.07%), Grandmaster Scrolls (0.81%), Relic Forge (120 Relic RF)</t>
  </si>
  <si>
    <t xml:space="preserve">   The Analects</t>
  </si>
  <si>
    <t>Wish Box, Lottery Machine #1 (0.09%), Wishing (0.08%), Grandmaster Scrolls (0.81%), Relic Forge (120 Relic RF)</t>
  </si>
  <si>
    <t xml:space="preserve">   Voynich Script</t>
  </si>
  <si>
    <t>Form Evo Pack</t>
  </si>
  <si>
    <t>PARTNER</t>
  </si>
  <si>
    <t xml:space="preserve">   Toraemon</t>
  </si>
  <si>
    <t>ORGANS</t>
  </si>
  <si>
    <t xml:space="preserve">   Savant Eye</t>
  </si>
  <si>
    <t>Organ Chest (3% chance), 1st Purchase Gift Pack Day 3 Reward($Any)</t>
  </si>
  <si>
    <t xml:space="preserve">   Brainworm Neuron</t>
  </si>
  <si>
    <t>Organ Value Pack I ($14.99)</t>
  </si>
  <si>
    <t>MAX ORGANS</t>
  </si>
  <si>
    <t>NEBULA</t>
  </si>
  <si>
    <t xml:space="preserve">   Microscopium</t>
  </si>
  <si>
    <t>Beta Galaxy</t>
  </si>
  <si>
    <t xml:space="preserve">   Circinus</t>
  </si>
  <si>
    <t>Delta Galaxy</t>
  </si>
  <si>
    <t>MAX NEBULA</t>
  </si>
  <si>
    <t>COLLECTORS TALENTS</t>
  </si>
  <si>
    <t xml:space="preserve">   Genetic Engineering I</t>
  </si>
  <si>
    <t>15 Purple Talent Points</t>
  </si>
  <si>
    <t xml:space="preserve">   Genetic Engineering II</t>
  </si>
  <si>
    <t>15 Orange Talent Points</t>
  </si>
  <si>
    <t xml:space="preserve">   Gene SPD II (purple)</t>
  </si>
  <si>
    <t xml:space="preserve">   Gene SPD II (orange)</t>
  </si>
  <si>
    <t>MAX COLLECTORS TALENTS</t>
  </si>
  <si>
    <t>FUNGUS</t>
  </si>
  <si>
    <t xml:space="preserve">    Purple</t>
  </si>
  <si>
    <t>500 Purple Fungus Consumed</t>
  </si>
  <si>
    <t xml:space="preserve">   Silence Hall</t>
  </si>
  <si>
    <t>lv5</t>
  </si>
  <si>
    <t>AVATAR BONUS</t>
  </si>
  <si>
    <t xml:space="preserve">   Event Avatar</t>
  </si>
  <si>
    <t xml:space="preserve">  BLUE</t>
  </si>
  <si>
    <t xml:space="preserve">    Research Speed</t>
  </si>
  <si>
    <t xml:space="preserve">      Chakana</t>
  </si>
  <si>
    <t>Lottery Machine #1 (0.03%), Wishing (0.85%), Soul Chest (2%)</t>
  </si>
  <si>
    <t xml:space="preserve">      Great Wave</t>
  </si>
  <si>
    <t xml:space="preserve">      Janssen Microscope</t>
  </si>
  <si>
    <t>Lottery Machine #1 (0.07%), Wishing (2.6%), Evolution Chest (2%), Novice Scrolls (1%)</t>
  </si>
  <si>
    <t xml:space="preserve">      Royal Doll</t>
  </si>
  <si>
    <t>Lottery Machine #1 (0.03%), Wishing (0.82%)</t>
  </si>
  <si>
    <t xml:space="preserve">      Mask of Zorro</t>
  </si>
  <si>
    <t>Lottery Machine #1 (0.03%), Wish (1.2%), Zorro (B+B Reward)</t>
  </si>
  <si>
    <t xml:space="preserve">      Moai</t>
  </si>
  <si>
    <t>Lottery Machine #1 (0.36%), Wishing (10.6%), Soul Chest (2%), Novice Scrolls (5%)</t>
  </si>
  <si>
    <t xml:space="preserve">  PURPLE</t>
  </si>
  <si>
    <t xml:space="preserve">      Fuchun Mountains</t>
  </si>
  <si>
    <t>Fragment Crafting (3.9%), Lottery Machine #1 (0.08%), Wishing (0.36%), Expert Scrolls (0.95%)</t>
  </si>
  <si>
    <t xml:space="preserve">      Tyr's Arm</t>
  </si>
  <si>
    <t>Fragment Crafting (3.8%), Lottery Machine #1 (0.08%), Wishing (0.35%), Expert Scrolls (0.95%)</t>
  </si>
  <si>
    <t xml:space="preserve">      Platinum Record</t>
  </si>
  <si>
    <t>Fragment Crafting (3.9%), Lottery Machine #1 (0.08%), Wishing (0.35%), Expert Scrolls (0.95%)</t>
  </si>
  <si>
    <t xml:space="preserve">      Schindler's List</t>
  </si>
  <si>
    <t>Fragment Crafting (1.5%), Lottery Machine #1 (0.03%), Wishing (0.14%), Soul Chest (1.5%), Relic Forge (80 Relic RF)</t>
  </si>
  <si>
    <t xml:space="preserve">      Polonium</t>
  </si>
  <si>
    <t>Fragment Crafting (3.9%), Lottery Machine #1 (0.08%), Wishes (0.36%), Time Chests (1.5%), Expert Scrolls (0.95%)</t>
  </si>
  <si>
    <t xml:space="preserve">      Cavendish's Scales</t>
  </si>
  <si>
    <t>Fragment Crafting (1.6%), Lottery Machine #1 (0.03%), Wishing (0.14%), Relic Forge (80 Relic RF)</t>
  </si>
  <si>
    <t>General Research Speed</t>
  </si>
  <si>
    <t>General Cells Cost Reduction</t>
  </si>
  <si>
    <t>General Btad Cost Reduction</t>
  </si>
  <si>
    <t>General Research Speed (min)</t>
  </si>
  <si>
    <t xml:space="preserve">   3-Faced Statue</t>
  </si>
  <si>
    <t>Fragment Crafting (4.4%), Lottery Machine #1 (0.24%), Wishing (0.16%), Demon God Chest (5%), Master Scrolls (1.9%), Grandmaster Scrolls (2.1%), FTH Master Scrolls (9.2%)</t>
  </si>
  <si>
    <t xml:space="preserve">   Red Dot Award</t>
  </si>
  <si>
    <t>Decoration Bonus Relic #1</t>
  </si>
  <si>
    <t xml:space="preserve">   Death of Marat</t>
  </si>
  <si>
    <t xml:space="preserve">   Hannibal's Cup</t>
  </si>
  <si>
    <t xml:space="preserve">   Cloisters Cards</t>
  </si>
  <si>
    <t>Lottery Machine #2 (0.26%)</t>
  </si>
  <si>
    <t>Lottery Machine #1 (0.07%), Wishing (2.6%), Novice Scrolls (1%)</t>
  </si>
  <si>
    <t xml:space="preserve">   Gecko Tail Specimen</t>
  </si>
  <si>
    <t>Shop Easter Egg</t>
  </si>
  <si>
    <t xml:space="preserve">   Zadako</t>
  </si>
  <si>
    <t xml:space="preserve">      Ranjyatai Incense</t>
  </si>
  <si>
    <t>Lottery Machine #1 (0.07%), Wishing (2.1%), Novice Scrolls (1%)</t>
  </si>
  <si>
    <t xml:space="preserve">      Ancient Block</t>
  </si>
  <si>
    <t>Lottery Machine #1 (0.07%), Wishing (2.1%), Soul Chest (2%), Novice Scrolls (1%)</t>
  </si>
  <si>
    <t xml:space="preserve">    Free Speedup</t>
  </si>
  <si>
    <t xml:space="preserve">      Instant Noodle Recipe</t>
  </si>
  <si>
    <t xml:space="preserve">      Appert's Glass Bottle</t>
  </si>
  <si>
    <t>Lottery Machine #2 (0.03%)</t>
  </si>
  <si>
    <t xml:space="preserve">      Jade Burial Suit</t>
  </si>
  <si>
    <t>Fragment Crafting (1.5%), Lottery Machine #1 (0.03%), Wishing (0.14%), Cathay Treasure Map (10% chance), Relic Forge (80 Relic RF)</t>
  </si>
  <si>
    <t xml:space="preserve">      Yamato Mirror</t>
  </si>
  <si>
    <t xml:space="preserve">    Cells Consumed</t>
  </si>
  <si>
    <t xml:space="preserve">      Crystal Skull</t>
  </si>
  <si>
    <t xml:space="preserve">      Truth Crystal</t>
  </si>
  <si>
    <t>Fragment Crating (1.5%), Lottery Machine #1 (0.03%), Wishing (0.14%), Relic Forge (80 Relic RF), Nebula Chest (1.5%)</t>
  </si>
  <si>
    <t xml:space="preserve">  ORANGE</t>
  </si>
  <si>
    <t xml:space="preserve">      SkyWeb Hub</t>
  </si>
  <si>
    <t xml:space="preserve">      Fu Hao Scripts</t>
  </si>
  <si>
    <t>Fragment Crafting (4.1%), Lottery Machine #1 (0.18%), Wishing (0.15%), Grandmaster Scrolls (1.6%)</t>
  </si>
  <si>
    <t xml:space="preserve">      Buddha Finger Sarira</t>
  </si>
  <si>
    <t>Fragment Crafting (3.3%), Lottery Machine #1 (0.18%), Wishing (0.12%), Bharata Treasure Maps (%), Grandmaster Scrolls (1.6%)</t>
  </si>
  <si>
    <t xml:space="preserve">      Proclamation 95</t>
  </si>
  <si>
    <t>Fragment Crafting (0.61), Lottery Machine #1 (0.24%), Wishing (0.22%), Master Scrolls (0.19%), Grandmaster Scrolls (2.1%), FAME Master Scroll (9.2%)</t>
  </si>
  <si>
    <t xml:space="preserve">      Mummy of Ramesses</t>
  </si>
  <si>
    <t>T7.5 Zombie Gene Research</t>
  </si>
  <si>
    <t xml:space="preserve">      Ark of the Covenant</t>
  </si>
  <si>
    <t xml:space="preserve">   5th Element</t>
  </si>
  <si>
    <t>Fragment Crafting (5.2%), Lottery Machine #1 (0.24%), Wishing (0.19%), Master Scrolls (1.9%), Grandmaster Scrolls (2.1%), TECH Master Scrolls (9.2%)</t>
  </si>
  <si>
    <t xml:space="preserve">   Dream Top</t>
  </si>
  <si>
    <t>Fragment Crafting (1.5%), Lottery Machine #1 (0.03%), Wishing (0.14%), Time Chest (1.5%), Relic Forge (80 Relic RF)</t>
  </si>
  <si>
    <t xml:space="preserve">   Corinthian Pillar</t>
  </si>
  <si>
    <t xml:space="preserve">   Pompeii</t>
  </si>
  <si>
    <t xml:space="preserve">   Opera Phantom</t>
  </si>
  <si>
    <t xml:space="preserve">   Death Vase</t>
  </si>
  <si>
    <t xml:space="preserve">      Ludovisi Gaul</t>
  </si>
  <si>
    <t>Lottery Machine #1 (0.07%), Wishing (3%), Novice Scrolls (1%)</t>
  </si>
  <si>
    <t xml:space="preserve">      Twelve Tables</t>
  </si>
  <si>
    <t xml:space="preserve">      Pompeii</t>
  </si>
  <si>
    <t xml:space="preserve">      The Fall of Phaethon</t>
  </si>
  <si>
    <t>Lottery Machine #2 (0.03%), Indigent Nobleman (72K B-tads)</t>
  </si>
  <si>
    <t xml:space="preserve">      Blood of Dracula</t>
  </si>
  <si>
    <t>Fragment Crafting (3.8%), Lottery Machine #1 (0.08%), Wishing (0.35%), Soul Chest (1.5%), Expert Scrolls (0.95%)</t>
  </si>
  <si>
    <t xml:space="preserve">      Death of Marat</t>
  </si>
  <si>
    <t xml:space="preserve">      Augustus' Medal</t>
  </si>
  <si>
    <t xml:space="preserve">      Plantagenet Badge</t>
  </si>
  <si>
    <t xml:space="preserve">      The Key of Solomon</t>
  </si>
  <si>
    <t>T7.5 Demon Gene Research</t>
  </si>
  <si>
    <t xml:space="preserve">      Eye of Akamoddo</t>
  </si>
  <si>
    <t xml:space="preserve">      Soul Stone</t>
  </si>
  <si>
    <t>Lottery Machine #1 (0.09%), Wishing (0.06%), Soul Chest (0.01%), Grandmaster Scrolls (0.81%), Relic Forge (120 Relic RF)</t>
  </si>
  <si>
    <t xml:space="preserve">      Scale of Anubis</t>
  </si>
  <si>
    <t>Fissure Level 550, Ad Chest (0.2%)</t>
  </si>
  <si>
    <t xml:space="preserve">   Hubble Telescope</t>
  </si>
  <si>
    <t>Fragment Crafting (17.8%), Lottery Machine #1 (0.80%), Wishing (0.65%), Super Treasure Maps (15%), Relic Forge (90 Relic RF)</t>
  </si>
  <si>
    <t xml:space="preserve">   Azoth</t>
  </si>
  <si>
    <t>Domain Exploration Reward</t>
  </si>
  <si>
    <t xml:space="preserve">   The Nutcracker</t>
  </si>
  <si>
    <t xml:space="preserve">   Ouroboros Mark</t>
  </si>
  <si>
    <t xml:space="preserve">   Peter Pan's Flute</t>
  </si>
  <si>
    <t>Lottery Machine #1 (0.03%), Wishing (1.2%), Britland Treasure Map (20%)</t>
  </si>
  <si>
    <t xml:space="preserve">   Leeku</t>
  </si>
  <si>
    <t xml:space="preserve">      Faraday's Dynamo</t>
  </si>
  <si>
    <t>Lottery Machine #1 (0.07%), Wishing (2.6%), Tool Chest (2%), Novice Scrolls (1%)</t>
  </si>
  <si>
    <t xml:space="preserve">      Linde's Fridge</t>
  </si>
  <si>
    <t>Mecha Gene Research T2</t>
  </si>
  <si>
    <t xml:space="preserve">      Acta Apostolicae Sedis</t>
  </si>
  <si>
    <t>Lottery Machine #2 (0.07%)</t>
  </si>
  <si>
    <t xml:space="preserve">      Innocent III Armorial</t>
  </si>
  <si>
    <t xml:space="preserve">      Tesla Coil</t>
  </si>
  <si>
    <t xml:space="preserve">      ENIAC Prototype</t>
  </si>
  <si>
    <t>Fragment Crafting (3.9%), Lottery Machine #1 (0.08%), Wishing (0.36%), Murikan Treasure Map (10%), Expert Scrolls (0.95%)</t>
  </si>
  <si>
    <t xml:space="preserve">      Zoroaster's Torch</t>
  </si>
  <si>
    <t>Fragment Crafting (3.8%), Lottery Machine #1 (0.08%), Wishing (0.35%), Hellas Treasure Maps (%), Expert Scrolls (0.95%)</t>
  </si>
  <si>
    <t xml:space="preserve">      Cornucopia</t>
  </si>
  <si>
    <t>Fragment Crafting (1.5%), Lottery Machine #1 (0.03%), Wishing (0.14%), Fungus Chest (1.5%), Relic Forge (80 Relic RF)</t>
  </si>
  <si>
    <t xml:space="preserve">      The Thinker</t>
  </si>
  <si>
    <t>Fragment Crafting (5.3%), Lottery Machine #1 (0.24%), Wishing (0.2%), Demon God Chest (5%), Master Scrolls (1.9%), Grandmaster Scrolls (2.1%), ART Master Scrolls (10.2%)</t>
  </si>
  <si>
    <t xml:space="preserve">      David</t>
  </si>
  <si>
    <t>Fragment Crafting (4%), Lottery Machine #1 (0.18%), Wishing (0.15%), Demon God Chest (5%), Grandmaster Scrolls (1.6%)</t>
  </si>
  <si>
    <t xml:space="preserve">      The Pieta</t>
  </si>
  <si>
    <t>Fragment Crafting (18.8%), Lottery Machine #1 (0.81%), Wishing (0.69%), Relic Forge (90 Relic RF)</t>
  </si>
  <si>
    <t xml:space="preserve">      Venus de Milo</t>
  </si>
  <si>
    <t>T7.5 Angel Gene Research</t>
  </si>
  <si>
    <t xml:space="preserve">      Devol's Robot</t>
  </si>
  <si>
    <t>Fragment Crafting (17.8%), Wishing (0.65%), Ad Chest (3%), Master Scrolls (6.5%), TECH Master Scrolls (31.5%), Relic Forge (90 Relic RF)</t>
  </si>
  <si>
    <t xml:space="preserve">   Turin Papyrus</t>
  </si>
  <si>
    <t>Wish Box Album Relic #2</t>
  </si>
  <si>
    <t xml:space="preserve">   Tokamak</t>
  </si>
  <si>
    <t>Fragment Crafting (5.2%), Lottery Machine #1 (0.24%), Wishing (1.9%), Master Scrolls (1.9%), Grandmaster Scrolls (2.1%), TECH Master Scrolls (9.2%)</t>
  </si>
  <si>
    <t xml:space="preserve">   Mermaid Statue</t>
  </si>
  <si>
    <t xml:space="preserve">   Mars Rover</t>
  </si>
  <si>
    <t>Fragment Crafting (1.6%), Lottery Machine #1 (0.03%), Wishing (0.14%), Evolution Chest (1.5%), Relic Forge (80 Relic RF)</t>
  </si>
  <si>
    <t xml:space="preserve">   Hina Doll</t>
  </si>
  <si>
    <t xml:space="preserve">   Sleeping Gypsy</t>
  </si>
  <si>
    <t>Lottery Machine #1 (0.03%), Wishing (1.2%), Indigent Nobleman for 72k B-tads</t>
  </si>
  <si>
    <t xml:space="preserve">   Dwarf Specimen</t>
  </si>
  <si>
    <t>Defeat Milk White</t>
  </si>
  <si>
    <t xml:space="preserve">   Red Doe</t>
  </si>
  <si>
    <t xml:space="preserve">      Pumpkin Coach</t>
  </si>
  <si>
    <t xml:space="preserve">      Leo's Plant</t>
  </si>
  <si>
    <t>Lottery Machine #1 (0.36%), Wishing (10.3%), Fungus Chest (2%), Novice Scrolls (5%)</t>
  </si>
  <si>
    <t xml:space="preserve">      Hina Doll</t>
  </si>
  <si>
    <t xml:space="preserve">      Tawla</t>
  </si>
  <si>
    <t xml:space="preserve">      Glass Coffin</t>
  </si>
  <si>
    <t xml:space="preserve">      Chinchorro Mummy</t>
  </si>
  <si>
    <t>Koryeon Domain, Fragment Crafting (3.8%), Lottery Machine #1 (0.08%), Wishing (0.36%), Soul Chest (1.5%), Expert Scrolls (0.95%)</t>
  </si>
  <si>
    <t xml:space="preserve">      Socrates's Poison</t>
  </si>
  <si>
    <t>Fragment Crafting (3.7%), Lottery Machine #1 (0.08%), Wishing (0.34%), Hellenic Treasure Maps (%), Expert Scrolls (0.95%)</t>
  </si>
  <si>
    <t xml:space="preserve">      Element R.</t>
  </si>
  <si>
    <t xml:space="preserve">      Noah's Ark</t>
  </si>
  <si>
    <t xml:space="preserve">      Einstein's Brain</t>
  </si>
  <si>
    <t xml:space="preserve">   Causality</t>
  </si>
  <si>
    <t>Fragment Crafting (3.9%), Lottery Machine #1 (0.18%), Alchemy Furnace (0.14%), Grandmaster Scrolls (1.6%)</t>
  </si>
  <si>
    <t xml:space="preserve">   Hawking's Wheelchair</t>
  </si>
  <si>
    <t>Fragment Crafting (1.6%), Lottery Machine #1 (0.03%), Wishing (0.35%), Relic Forge (80 Relic RF)</t>
  </si>
  <si>
    <t xml:space="preserve">   Tesla Coil</t>
  </si>
  <si>
    <t xml:space="preserve">   Kilby's IC</t>
  </si>
  <si>
    <t>Museum Operation Reward</t>
  </si>
  <si>
    <t xml:space="preserve">   Chain Reaction Model</t>
  </si>
  <si>
    <t xml:space="preserve">   Aztec Calendar</t>
  </si>
  <si>
    <t>Lottery Machine #1 (0.03%), Wishing (1.1%), Time Chest (2%)</t>
  </si>
  <si>
    <t xml:space="preserve">   Jiro</t>
  </si>
  <si>
    <t xml:space="preserve">      Big Fish Bone</t>
  </si>
  <si>
    <t>Lottery Machine #1 (0.36%), Wishing (10.3%), Novice Scrolls (5%)</t>
  </si>
  <si>
    <t xml:space="preserve">      Eye of Medusa</t>
  </si>
  <si>
    <t>Defeat Medusa, Mutant Gene Research T2</t>
  </si>
  <si>
    <t xml:space="preserve">      Spencer's Microwave</t>
  </si>
  <si>
    <t>Lottery Machine #2 (0.26%), Indigent Nobleman (72K B-tads)</t>
  </si>
  <si>
    <t xml:space="preserve">      Roentgen Ray Photo</t>
  </si>
  <si>
    <t xml:space="preserve">      Wealth of Nations</t>
  </si>
  <si>
    <t xml:space="preserve">      Treaty of Versailles</t>
  </si>
  <si>
    <t xml:space="preserve">      Shakespeare Scripts</t>
  </si>
  <si>
    <t>Fragment Crafting (3.7%), Lottery Machine #1 (0.08%), Wishing (0.34%), Relic Forge (80 Relic RF)</t>
  </si>
  <si>
    <t xml:space="preserve">      Codex Leicester</t>
  </si>
  <si>
    <t>A</t>
  </si>
  <si>
    <t>Fragment Crafting (29.9%), Lottery Machine #1 (0.66%), Wishing (2.7%), Expert Scrolls (7.6%)</t>
  </si>
  <si>
    <t xml:space="preserve">      Ape's Footprint Fossil</t>
  </si>
  <si>
    <t xml:space="preserve">      Gravitation Scripts</t>
  </si>
  <si>
    <t xml:space="preserve">      Agamemnon Mask</t>
  </si>
  <si>
    <t>Fragment Crafting (4%), Lottery Machine #1 (0.18%), Wishing (0.15%), Grandmaster Scrolls (1.6%)</t>
  </si>
  <si>
    <t xml:space="preserve">      Tutankhamun Mask</t>
  </si>
  <si>
    <t>Fragment Crafting (18.1%), Lottery Machine #1 (0.81%), Wishing (0.68%), Super Treasure Maps (15%), Master Scrolls (6.5%), ART Master Scrolls (34.7%), Relic Forge (90 Relic RF)</t>
  </si>
  <si>
    <t xml:space="preserve">   Ancient Dragon Crystal</t>
  </si>
  <si>
    <t>Ultimate Divine Dragon Reward</t>
  </si>
  <si>
    <t xml:space="preserve">   Guernica</t>
  </si>
  <si>
    <t>Fragment Crafting (1.6%), Lottery Machine #1 (0.03%), Wishing (0.14%), Bharata Treasure Maps (%), Relic Forge (Relic RF 80)</t>
  </si>
  <si>
    <t xml:space="preserve">   Twin Lions Lantern</t>
  </si>
  <si>
    <t xml:space="preserve">   Golden Fleece</t>
  </si>
  <si>
    <t xml:space="preserve">      Commercial Code</t>
  </si>
  <si>
    <t>Lottery Machine #1 (0.07%), Wishing (3.1%), Club Chest (2%), Novice Scrolls (1%), Peter Jr. rare rent (5 frags)</t>
  </si>
  <si>
    <t xml:space="preserve">      Rubik's Cube</t>
  </si>
  <si>
    <t>Lottery Machine #1 (0.07%), Wishing (2.1%), Novice Scroll (1%)</t>
  </si>
  <si>
    <t xml:space="preserve">      Tee Virus</t>
  </si>
  <si>
    <t>Zombie Gene Research T2</t>
  </si>
  <si>
    <t xml:space="preserve">      Wet Gardener Poster</t>
  </si>
  <si>
    <t xml:space="preserve">      Gertie the Dinosaur</t>
  </si>
  <si>
    <t xml:space="preserve">      Prehistoric Fossil</t>
  </si>
  <si>
    <t xml:space="preserve">      Ark Reactor</t>
  </si>
  <si>
    <t xml:space="preserve">      The Black Book</t>
  </si>
  <si>
    <t>Silence Hall (Rebel Cabin) Reward</t>
  </si>
  <si>
    <t xml:space="preserve">      Higgs Boson</t>
  </si>
  <si>
    <t>Daily Gold Pack Relic #3</t>
  </si>
  <si>
    <t>Zombie</t>
  </si>
  <si>
    <t>Demon</t>
  </si>
  <si>
    <t>Angel</t>
  </si>
  <si>
    <t>Mutant</t>
  </si>
  <si>
    <t>Mecha</t>
  </si>
  <si>
    <t>Dragon</t>
  </si>
  <si>
    <t>Zombie Cells</t>
  </si>
  <si>
    <t>Zombie Cells (Awakened)</t>
  </si>
  <si>
    <t>Demon Cells</t>
  </si>
  <si>
    <t>Demon Cells (Awakened)</t>
  </si>
  <si>
    <t>Angel Cells</t>
  </si>
  <si>
    <t>Angel Cells (Awakened)</t>
  </si>
  <si>
    <t>Mutant Cells</t>
  </si>
  <si>
    <t>Mutant Cells (Awakened)</t>
  </si>
  <si>
    <t>Mecha Cells</t>
  </si>
  <si>
    <t>Mecha Cells (Awakened)</t>
  </si>
  <si>
    <t xml:space="preserve">   Time-Travel Box</t>
  </si>
  <si>
    <t>Fragment Crafting (4.6%), Lottery Machine #1 (0.18%), Wishing (0.17%), Dragon Chest (5%), Grandmaster Scrolls (1.6%)</t>
  </si>
  <si>
    <t xml:space="preserve">   Element R</t>
  </si>
  <si>
    <t xml:space="preserve">   SkyWeb Hub</t>
  </si>
  <si>
    <t xml:space="preserve">   Prehistoric Fossil</t>
  </si>
  <si>
    <t xml:space="preserve">   Imperial Lamp</t>
  </si>
  <si>
    <t xml:space="preserve">   Ranjyatai Incense</t>
  </si>
  <si>
    <t xml:space="preserve">   Izu Dancer</t>
  </si>
  <si>
    <t xml:space="preserve">   Euclid's Elements</t>
  </si>
  <si>
    <t>Lottery Machine #1 (0.03%), Wishing (1.1%), Hellenic Treasure Map (%)</t>
  </si>
  <si>
    <t xml:space="preserve">   Evil Pattern</t>
  </si>
  <si>
    <t>Tutorial (Evolution)</t>
  </si>
  <si>
    <t xml:space="preserve">   Demon Spine</t>
  </si>
  <si>
    <t>Demon God Matrix (Demon God Rocket Cabin) Reward</t>
  </si>
  <si>
    <t xml:space="preserve">   Eden Neuron</t>
  </si>
  <si>
    <t>Garden of Eden (Earth's Will Rocket Cabin) Reward</t>
  </si>
  <si>
    <t xml:space="preserve">   Dark Matter's Heart</t>
  </si>
  <si>
    <t>Dark Matter Reactor (Rebel Cabin) Reward</t>
  </si>
  <si>
    <t xml:space="preserve">   Alveolus of Gaia</t>
  </si>
  <si>
    <t>Feast Rewards</t>
  </si>
  <si>
    <t>ROCKET CABINS</t>
  </si>
  <si>
    <t xml:space="preserve">   Eternal Hall</t>
  </si>
  <si>
    <t>Demon God Cabin</t>
  </si>
  <si>
    <t>Rebel Cabin</t>
  </si>
  <si>
    <t xml:space="preserve">   Apocalypse Hall</t>
  </si>
  <si>
    <t>Earth's Will Cabin</t>
  </si>
  <si>
    <t xml:space="preserve">   Revelation Hall</t>
  </si>
  <si>
    <t xml:space="preserve">   Steel Hall</t>
  </si>
  <si>
    <t>MAX ROCKET CABIN</t>
  </si>
  <si>
    <t xml:space="preserve">    Zombie</t>
  </si>
  <si>
    <t xml:space="preserve">      Voynich Script</t>
  </si>
  <si>
    <t xml:space="preserve">      The Nutcracker</t>
  </si>
  <si>
    <t xml:space="preserve">    Demon</t>
  </si>
  <si>
    <t xml:space="preserve">      Andersen's Fairytales</t>
  </si>
  <si>
    <t xml:space="preserve">      Magic Mirror</t>
  </si>
  <si>
    <t xml:space="preserve">    Angel</t>
  </si>
  <si>
    <t xml:space="preserve">      Napoleon Painting</t>
  </si>
  <si>
    <t>Fragment Crafting (1.6%), Lottery Machine #1 (0.03%), Wishing (0.14%), Relic Forge (Relic RF x80)</t>
  </si>
  <si>
    <t xml:space="preserve">      Phoenician Tablet</t>
  </si>
  <si>
    <t>Fragment Crafting (3.7%), Lottery Machine #1 (0.8%), Wishing (0.34%), Kemetic Treasure Maps (10%), Expert Scrolls (0.95%)</t>
  </si>
  <si>
    <t xml:space="preserve">      Hawking's Wheelchair</t>
  </si>
  <si>
    <t xml:space="preserve">      Rosetta Stone</t>
  </si>
  <si>
    <t>Fragment Crafting (31%), Lottery Machine #1 (0.66%), Wishing (2.8%), Kemetic Treasure Maps (10%), Expert Scrolls (7.6%)</t>
  </si>
  <si>
    <t xml:space="preserve">    Mutant</t>
  </si>
  <si>
    <t xml:space="preserve">      Sword Throne</t>
  </si>
  <si>
    <t>Power Pack</t>
  </si>
  <si>
    <t xml:space="preserve">      Marquis Bell</t>
  </si>
  <si>
    <t>Fragment Crafting (1.6%), Lottery Machine #1 (0.03%), Wishing (1.4%), Cathay Treasure Maps (10%), Relic Forge (80 Relic RF)</t>
  </si>
  <si>
    <t xml:space="preserve">      Lennon's Guitar</t>
  </si>
  <si>
    <t xml:space="preserve">    Mecha</t>
  </si>
  <si>
    <t xml:space="preserve">      Dolly Specimen</t>
  </si>
  <si>
    <t>Fragment Crafting (31.5%), Lottery Machine #1 (0.66%), Wishing (2.9%), Expert Scrolls (7.6%)</t>
  </si>
  <si>
    <t xml:space="preserve">      Augustus Medal</t>
  </si>
  <si>
    <t>General Cell Gain</t>
  </si>
  <si>
    <t>FORM SPECIFIC BONUSES</t>
  </si>
  <si>
    <t xml:space="preserve">   Nobel's Will</t>
  </si>
  <si>
    <t>Lottery Machine #1 (0.09%), Wishing (0.08%), Grandmaster Scrolls (0.79%), Lottery Event 9/22/2023-9/28/2023</t>
  </si>
  <si>
    <t xml:space="preserve">   Death Claw</t>
  </si>
  <si>
    <t>Organ Chest (3% chance), Koryeo INTEL Exchange "Flesh Modification II"(x4), Wishing Event Value Pack V</t>
  </si>
  <si>
    <t xml:space="preserve">   St. Louisa Goblet</t>
  </si>
  <si>
    <t>Weekly Special Reward Relic #2</t>
  </si>
  <si>
    <t xml:space="preserve">   Demon Skull</t>
  </si>
  <si>
    <t>Organ Chest (3%), Organ Value Pack II ($49.99), Grand Pack Day 2 Reward ($15.00 total anywhere in-game)</t>
  </si>
  <si>
    <t xml:space="preserve">   Creation of Adam</t>
  </si>
  <si>
    <t>Lottery Machine (0.09%), Wishing (0.08%), Grandmaster Scrolls (0.79%)</t>
  </si>
  <si>
    <t xml:space="preserve">   Strength Crystal</t>
  </si>
  <si>
    <t>Organ Chest (3% chance)</t>
  </si>
  <si>
    <t xml:space="preserve">   Kepler Telescope</t>
  </si>
  <si>
    <t>Ultimate Special Reward Relic #1</t>
  </si>
  <si>
    <t>Cells Collected (Zombie Form)</t>
  </si>
  <si>
    <t>Cells Collected (Demon Form)</t>
  </si>
  <si>
    <t>Cells Collected (Angel Form)</t>
  </si>
  <si>
    <t>Cells Collected (Mutant Form)</t>
  </si>
  <si>
    <t>Cells Collected (Mecha Form)</t>
  </si>
  <si>
    <t>Cells Collected (Dragon Form)</t>
  </si>
  <si>
    <t>AFFCT</t>
  </si>
  <si>
    <t>Main AFFCT</t>
  </si>
  <si>
    <t>Total AFFCT</t>
  </si>
  <si>
    <t>Medal Output</t>
  </si>
  <si>
    <t>Wish Coin Cost</t>
  </si>
  <si>
    <t>Btad Output</t>
  </si>
  <si>
    <t>AFFCT Boost</t>
  </si>
  <si>
    <t>Effective AFFCT</t>
  </si>
  <si>
    <t>Total Effective AFFCT</t>
  </si>
  <si>
    <t xml:space="preserve">   Ordinary Casket</t>
  </si>
  <si>
    <t>Relic Power Rewards (8M - 15M Relic Power)</t>
  </si>
  <si>
    <t xml:space="preserve">   Leaf of Yggdrasil</t>
  </si>
  <si>
    <t>Fragment Crafting (20.7%), Lottery Machine #1 (0.81%), Wishing (0.75%), Super Treasure Map (15%), Master Scrolls (6.5%), FAME Master Scrolls (31.5%), Relic Forge (90 Relic RF)</t>
  </si>
  <si>
    <t xml:space="preserve">   Mischief Map</t>
  </si>
  <si>
    <t xml:space="preserve">   View of Le Gras</t>
  </si>
  <si>
    <t>Lottery Machine #2 (0.55%)</t>
  </si>
  <si>
    <t xml:space="preserve">   Annals of Joseon</t>
  </si>
  <si>
    <t>Koryeo Treasure Map (20%)</t>
  </si>
  <si>
    <t xml:space="preserve">   Hun Min Jong Um</t>
  </si>
  <si>
    <t xml:space="preserve">   King's Gayageum</t>
  </si>
  <si>
    <t>Daily Pack Relic #7</t>
  </si>
  <si>
    <t xml:space="preserve">   Irises</t>
  </si>
  <si>
    <t>Star Chart Shop</t>
  </si>
  <si>
    <t xml:space="preserve">   Suger's Eagle</t>
  </si>
  <si>
    <t>Lottery Machine #2 (1.59%)</t>
  </si>
  <si>
    <t xml:space="preserve">   King Dangun Statue</t>
  </si>
  <si>
    <t>Fragment Crafting (15.1%), Lottery Machine #1 (0.81%), Wishing (0.81%), Koryeo Treasure Map (5%), Relic Forge (90 Relic RF)</t>
  </si>
  <si>
    <t xml:space="preserve">   Tree of Life</t>
  </si>
  <si>
    <t>Fragment Crafting (1.5%), Wishing (0.03%), Lottery Machine #1 (0.14%), Fungus chest (1.5%), Relic Forge (80 Relic RF), Home Value Pack II ($4.99)</t>
  </si>
  <si>
    <t xml:space="preserve">   Tyr's Arm</t>
  </si>
  <si>
    <t>Supreme Relic ($2k)</t>
  </si>
  <si>
    <t xml:space="preserve">   Divine Comedy</t>
  </si>
  <si>
    <t>Lottery Machine #1 (0.09%), Wishing (0.08%), Grandmaster Scrolls (0.81%), Relic Forge (120 Relic RF)</t>
  </si>
  <si>
    <t xml:space="preserve">   Koryeon Sutra</t>
  </si>
  <si>
    <t>Fragment Crafting (1.5%), Lottery Machine #1 (0.03%), Wishing (0.14%), Koryeon Treasure Maps (10%), Relic Forge (80 Relic RF)</t>
  </si>
  <si>
    <t xml:space="preserve">   Im's Arrow</t>
  </si>
  <si>
    <t xml:space="preserve">   Energy Missile</t>
  </si>
  <si>
    <t>Clover Vendor Reward</t>
  </si>
  <si>
    <t xml:space="preserve">   Devol's Robot</t>
  </si>
  <si>
    <t xml:space="preserve">   Artificial Blackhole</t>
  </si>
  <si>
    <t>Wish Box, Lottery Machine #1 (0.09%), Wishing (0.07%), Demon God Chest (0.1%), Grandmaster Scrolls (0.81%), Relic Forge (120 Relic RF), Nebula Chest (0.01%)</t>
  </si>
  <si>
    <t xml:space="preserve">   Arirang Satillite</t>
  </si>
  <si>
    <t>MUSEUM LAYOUT</t>
  </si>
  <si>
    <t>Restriction</t>
  </si>
  <si>
    <t>Used</t>
  </si>
  <si>
    <t>Museum Score</t>
  </si>
  <si>
    <t>ALL</t>
  </si>
  <si>
    <t>Irises</t>
  </si>
  <si>
    <t>King Dangun Statue</t>
  </si>
  <si>
    <t>Hun Min Jong Um</t>
  </si>
  <si>
    <t>Annals of Joseon</t>
  </si>
  <si>
    <t>Ordinary Casket</t>
  </si>
  <si>
    <t>King's Gayageum</t>
  </si>
  <si>
    <t>FILLER</t>
  </si>
  <si>
    <t>Aries</t>
  </si>
  <si>
    <t>Divine Comedy</t>
  </si>
  <si>
    <t>Energy Missile</t>
  </si>
  <si>
    <t>Devol's Robot</t>
  </si>
  <si>
    <t>Artificial Blackhole</t>
  </si>
  <si>
    <t>TOTAL</t>
  </si>
  <si>
    <t xml:space="preserve">   Metchnikoff's Manuscripts</t>
  </si>
  <si>
    <r>
      <rPr>
        <rFont val="Calibri, sans-serif"/>
        <color theme="1"/>
        <sz val="12.0"/>
      </rPr>
      <t>3/8 Voucher Shop Reward,</t>
    </r>
    <r>
      <rPr>
        <rFont val="Calibri, sans-serif"/>
        <strike/>
        <color theme="1"/>
        <sz val="12.0"/>
      </rPr>
      <t xml:space="preserve"> </t>
    </r>
    <r>
      <rPr>
        <rFont val="Calibri, sans-serif"/>
        <strike/>
        <color rgb="FFFF0000"/>
        <sz val="12.0"/>
      </rPr>
      <t>Lottery Machine #2 (?%)</t>
    </r>
  </si>
  <si>
    <t xml:space="preserve">   Manga Manuscript</t>
  </si>
  <si>
    <t>Daily Pack Relic #20</t>
  </si>
  <si>
    <t xml:space="preserve">   Cross of Lorraine</t>
  </si>
  <si>
    <t>Lottery Machine #2 (0.23%)</t>
  </si>
  <si>
    <t xml:space="preserve">   Costa Rica Stone</t>
  </si>
  <si>
    <t>Lottery Machine #1 (0.36%), Wishing (15.5%), Novice Scrolls (5%)</t>
  </si>
  <si>
    <t xml:space="preserve">   Sistine Madonna</t>
  </si>
  <si>
    <t xml:space="preserve">   Veiled Lady</t>
  </si>
  <si>
    <t>Lottery Machine #2 (0.47%), Indigent Nobleman (570K B-tads)</t>
  </si>
  <si>
    <t xml:space="preserve">   Nishijin Fabric</t>
  </si>
  <si>
    <t>Lottery Box Relic #8</t>
  </si>
  <si>
    <t xml:space="preserve">   Pine Trees Screen</t>
  </si>
  <si>
    <t>Fragment Crafting (3.9%), Lottery Machine #1 (0.08%), Wishing (0.36%), Yamato Treasure Maps (10%), Expert Scrolls (0.95%)</t>
  </si>
  <si>
    <t xml:space="preserve">   Universe Bowl</t>
  </si>
  <si>
    <t>Lottery Machine #1 (0.07%), Wishing (3%), Fungus Chest (2%), Novice Scrolls (1%)</t>
  </si>
  <si>
    <t xml:space="preserve">   Cuckoo Clock</t>
  </si>
  <si>
    <t>Lottery Machine #1 (0.07%), Wishing (3%), Time Chest (2%), Novice Scrolls (1%)</t>
  </si>
  <si>
    <t xml:space="preserve">   Medium Rune</t>
  </si>
  <si>
    <t>Halloween Event, Lottery Machine #2 (0.12%)</t>
  </si>
  <si>
    <t xml:space="preserve">   Bhagavata Purana</t>
  </si>
  <si>
    <t>Lottery Machine #2 (0.47%)</t>
  </si>
  <si>
    <t xml:space="preserve">   Golden Finger</t>
  </si>
  <si>
    <t>Fragment Crafting (15.1%), Lottery Machine #1 (0.81%), Wishing (0.53%), Master Scrolls (6.5%), FTH Master Scrolls (31.5%), Relic Forge (90 Relic RF)</t>
  </si>
  <si>
    <t xml:space="preserve">   Yamato Mirror</t>
  </si>
  <si>
    <t xml:space="preserve">   Kani Jade</t>
  </si>
  <si>
    <t>Yamato INTEL, Yamato Treasure Maps (10% chance)</t>
  </si>
  <si>
    <t xml:space="preserve">   Lion-dogs Statue</t>
  </si>
  <si>
    <t xml:space="preserve">   Aladdin Carpet</t>
  </si>
  <si>
    <t>Daily Silver Pack Relic #1</t>
  </si>
  <si>
    <t xml:space="preserve">   Eight Proposals</t>
  </si>
  <si>
    <t xml:space="preserve">   The Tale of Genji</t>
  </si>
  <si>
    <t>Fragment Crafting (18.8%), Lottery Machine #1 (0.81%), Wishing (0.69%), Yamoto Treasure Map (5%), Master Scroll (6.5%), CIV Master Scroll (37.5%), Relic Forge (90 Relic RF)</t>
  </si>
  <si>
    <t xml:space="preserve">   Paradise Lost</t>
  </si>
  <si>
    <t>Fragment Crafting (18.8%), Lottery Machine #1 (0.81%), Wishing (0.69%), Super Treasure Maps (15%), Master Scrolls (6.5%), CIV Master Scrolls (34.7%), Relic Forge (90 Relic RF)</t>
  </si>
  <si>
    <t xml:space="preserve">   Rashomon</t>
  </si>
  <si>
    <t>Gastric Pouch</t>
  </si>
  <si>
    <t xml:space="preserve">   Art of Ninja</t>
  </si>
  <si>
    <t>Yamato Treasure Maps (20%)</t>
  </si>
  <si>
    <t xml:space="preserve">   Mendel's Law</t>
  </si>
  <si>
    <t>Maneater Sunny Feed</t>
  </si>
  <si>
    <t xml:space="preserve">   Species Plantarum</t>
  </si>
  <si>
    <t xml:space="preserve">   SC Energy Storage Unit</t>
  </si>
  <si>
    <t xml:space="preserve">   Sputnik 1</t>
  </si>
  <si>
    <t>Fragment Crafting (3.9%), Lottery Machine #1 (0.18%), Wishing (0.14%), Club Chest (1%), Grandmaster Scrolls (1.5%)</t>
  </si>
  <si>
    <t xml:space="preserve">   Diffraction Device</t>
  </si>
  <si>
    <t>Fragment Crafting (1.6%), Lottery Machine #1(0.03%), Wishing (0.14%), Evolution Chest (1.5%), Relic Forge (80 Relic RF)</t>
  </si>
  <si>
    <t xml:space="preserve">   Klein Bottle</t>
  </si>
  <si>
    <t>Species Plantarum</t>
  </si>
  <si>
    <t>Tales of Genji</t>
  </si>
  <si>
    <t>Kani Jade</t>
  </si>
  <si>
    <t>Great Wave</t>
  </si>
  <si>
    <t>Metchnikoff's Manuscripts</t>
  </si>
  <si>
    <t>Manga Manuscript</t>
  </si>
  <si>
    <t>Cross of Lorraine</t>
  </si>
  <si>
    <t>Veiled Lady</t>
  </si>
  <si>
    <t>Taurus</t>
  </si>
  <si>
    <t>Medium Rune</t>
  </si>
  <si>
    <t>Bhagawata Purana</t>
  </si>
  <si>
    <t>Aladdin Carpet</t>
  </si>
  <si>
    <t>Eight Proposals</t>
  </si>
  <si>
    <t>Mendel's Law</t>
  </si>
  <si>
    <t>Sputnik 1</t>
  </si>
  <si>
    <t>SC Energy Storage Unit</t>
  </si>
  <si>
    <t xml:space="preserve">   Imperial Jade</t>
  </si>
  <si>
    <t>Fragment Crafting (20.7%), Lottery Machine #1 (0.81%), Wishing (0.75%), Cathay Treasure Maps (5%), Relic Forge (90 Relic RF)</t>
  </si>
  <si>
    <t xml:space="preserve">   Yongle Encyclopedia</t>
  </si>
  <si>
    <t>Traveler's Pack Reward #8</t>
  </si>
  <si>
    <t>Fragment Crafting (4.6%), Lottery Machine #1 (0.18%), Wishing (0.17%), Dragon Chest (5%), Grandmaster Scrolls (1.5%)</t>
  </si>
  <si>
    <t xml:space="preserve">   Terracotta Warrior</t>
  </si>
  <si>
    <t>Lottery Machine #2 (0.12%), Relic Forge (120 Relic RF)</t>
  </si>
  <si>
    <t xml:space="preserve">   Gordian Knot</t>
  </si>
  <si>
    <t xml:space="preserve">   Along the River</t>
  </si>
  <si>
    <t>Lottery Machine #2 (0.12%), Indigent Nobelman (810k B-tads)</t>
  </si>
  <si>
    <t xml:space="preserve">   Tail-burned Guqin</t>
  </si>
  <si>
    <t>Traveler's Pack Reward #6</t>
  </si>
  <si>
    <t xml:space="preserve">   Panther Brooch</t>
  </si>
  <si>
    <t>Lottery Machine #2 (0.35%)</t>
  </si>
  <si>
    <t xml:space="preserve">   Jade Cup</t>
  </si>
  <si>
    <t xml:space="preserve">   Marquis Bell</t>
  </si>
  <si>
    <t xml:space="preserve">   Fuchun Mountains</t>
  </si>
  <si>
    <t>Lottery Machine #1 (0.36%), Wishing (15%), Novice Scrolls (5%)</t>
  </si>
  <si>
    <t>Supreme Relic ($8k)</t>
  </si>
  <si>
    <t>Wish Box, Lottery Machine #1 (0.09%), Wishing (0.06%), Super Treasure Maps (0.03%), Grandmaster Scrolls (0.81%), Relic Forge (120 Relic RF)</t>
  </si>
  <si>
    <t xml:space="preserve">   Buddha Finger Sarira</t>
  </si>
  <si>
    <t>Fragment Crafting (3.3%), Lottery Machine #1 (0.18%), Wishing (0.12%), Bharata Treasure Maps (%), Grandmaster Scrolls (1.5%)</t>
  </si>
  <si>
    <t xml:space="preserve">   Buddha Skull Sarira</t>
  </si>
  <si>
    <t>Fragment Crafting (4.4%), Lottery Machine #1 (0.24%), Wishing (0.16%), Dragon Chest (5%), Master Scrolls(1.9%), Grandmaster Scrolls (2.1%), FTH Master Scrolls (9.2%)</t>
  </si>
  <si>
    <t xml:space="preserve">   Frigga's Wheel</t>
  </si>
  <si>
    <t>Fragment Crafting (30.8%), Lottery Machine #1 (0.66%), Wishing (2.8%), Expert Scrolls (7.6%)</t>
  </si>
  <si>
    <t xml:space="preserve">   Tetrabiblos</t>
  </si>
  <si>
    <t>Lottery Machine #1 (0.03%), Wishing (0.85%), Nebula Chest (2%)</t>
  </si>
  <si>
    <t xml:space="preserve">   Charlemagne Statue</t>
  </si>
  <si>
    <t>Lucky Stars</t>
  </si>
  <si>
    <t xml:space="preserve">   The Art of War</t>
  </si>
  <si>
    <t xml:space="preserve">   Fu Hao Scripts</t>
  </si>
  <si>
    <t>Fragment Crafting (4.1%), Lottery Machine #1 (0.18%), Wishing (0.15%), Grandmaster Scrolls (1.5%)</t>
  </si>
  <si>
    <t xml:space="preserve">   Jade Burial Suit</t>
  </si>
  <si>
    <t xml:space="preserve">   Musician Figurine</t>
  </si>
  <si>
    <t>Lottery Machine #1 (0.03%), Wish (0.82%), Cathay Treasure Maps (20%)</t>
  </si>
  <si>
    <t xml:space="preserve">   Jiuzhang</t>
  </si>
  <si>
    <t>Lottery Machine #2 (0.12%)</t>
  </si>
  <si>
    <t xml:space="preserve">   Top Idea Award</t>
  </si>
  <si>
    <t>Decoration Bonus Relic #4</t>
  </si>
  <si>
    <t xml:space="preserve">   The Works of Nature</t>
  </si>
  <si>
    <t>Fragment Crafting (3.9%), Lottery Machine #1 (0.18%), Alchemy Furnace (0.14%), Grandmaster Scrolls (1.5%)</t>
  </si>
  <si>
    <t xml:space="preserve">   Observatory</t>
  </si>
  <si>
    <t>Fragment Crafting (31.5%), Lottery Machine #1 (0.66%), Wishing (2.9%), Fungus Chest (1.5%), Expert Scrolls (7.6%)</t>
  </si>
  <si>
    <t xml:space="preserve">   Seismograph</t>
  </si>
  <si>
    <t>Charlemange Statue</t>
  </si>
  <si>
    <t>Imperial Jade</t>
  </si>
  <si>
    <t>Jade Burial Suit</t>
  </si>
  <si>
    <t>Bronze Bird</t>
  </si>
  <si>
    <t>Yongle Encyclopedia</t>
  </si>
  <si>
    <t>Tail-burned Guqin</t>
  </si>
  <si>
    <t>Along the River</t>
  </si>
  <si>
    <t>Panther Brooch</t>
  </si>
  <si>
    <t>Gemini</t>
  </si>
  <si>
    <t>Somersault Cloud</t>
  </si>
  <si>
    <t>Buddha Finger Sarira</t>
  </si>
  <si>
    <t>The Art of War</t>
  </si>
  <si>
    <t>Houmuwu Ding</t>
  </si>
  <si>
    <t>Jiuzhang</t>
  </si>
  <si>
    <t>Top Idea Award</t>
  </si>
  <si>
    <t>The Works of Nature</t>
  </si>
  <si>
    <t>Golden Trophy</t>
  </si>
  <si>
    <t>Lottery Machine #1 (0.12%), Wishing (0.11%), Grandmaster Scrolls (1%), Relic Forge (100 Relic RF)</t>
  </si>
  <si>
    <t>Hugo Award</t>
  </si>
  <si>
    <t>Traveler Pack Relic #4</t>
  </si>
  <si>
    <t>Pandora's Box</t>
  </si>
  <si>
    <t>Einstein's Brain</t>
  </si>
  <si>
    <t>Medal of Honor</t>
  </si>
  <si>
    <t>Wish Box, Lottery Machine #1 (0.09%), Wishing (0.09%), Grandmaster Scrolls (0.81%), Relic Forge (120 Relic RF)</t>
  </si>
  <si>
    <t>Proclamation 95</t>
  </si>
  <si>
    <t>Grimmy Awards</t>
  </si>
  <si>
    <t>Mayflower</t>
  </si>
  <si>
    <t>Fragment Crafting (6.1%), Lottery Machine #1 (0.24%), Wishing (0.22%), Murikan Treasure Maps (5%), Master Scrolls (1.9%), Grandmaster Scrolls (2.1%), FAME Master Scrolls (9.2%)</t>
  </si>
  <si>
    <t>DOI</t>
  </si>
  <si>
    <t>Fragment Crafting (6.1%), Lottery Machine #1 (0.24%), Wishing (0.22%), Super Treasure Map (5%), Master Scrolls (1.9%),Grandmaster Scrolls (2.1%), FAME Master Scrolls (9.2%)</t>
  </si>
  <si>
    <t>SDI</t>
  </si>
  <si>
    <t>Fragment Crafting (6.1%), Lottery Machine #1 (0.24%), Wishing (0.22%), Master Scrolls (1.9%), Grandmaster Scrolls (2.1%), FAME Master Scrolls (9.2%), Nebula Chest (1%), Super Species Chest (5.5%)</t>
  </si>
  <si>
    <t>Wealth Magazine Vol.1</t>
  </si>
  <si>
    <t>The Kiss</t>
  </si>
  <si>
    <t>Ruby Laser</t>
  </si>
  <si>
    <t>Lucky Box Reward</t>
  </si>
  <si>
    <t>Speech of MLK</t>
  </si>
  <si>
    <t>ARPAnet</t>
  </si>
  <si>
    <t>Fragment Crafting (1.6%), Lottery Machine #1 (0.03%), Wishing (0.14%), Tool Chest(1.5%), Relic Forge (80 Relic RF)</t>
  </si>
  <si>
    <t>Franklin's Kite</t>
  </si>
  <si>
    <t>Lottery Machine #1 (0.07%), Wishing (3.1%), Murikan Treasure Map (20%), Novice Scrolls (1%)</t>
  </si>
  <si>
    <t>Mystic Mountain</t>
  </si>
  <si>
    <t>Lottery Machine #2 (0.12%),  Nebula Value Pack III ($99.99)</t>
  </si>
  <si>
    <t>Cancer</t>
  </si>
  <si>
    <t>Supreme Relic #12 ($12K)</t>
  </si>
  <si>
    <t>David</t>
  </si>
  <si>
    <t>Fragment Crafting (4%), Lottery Machine #1 (0.18%), Wishing (0.15%), Demon God Chest (5%), Grandmaster Scrolls (1.5%)</t>
  </si>
  <si>
    <t>Ship in a Bottle</t>
  </si>
  <si>
    <t>Fragment Crafting (4%), Lottery Machine #1 (0.18%), Wishing (0.15%), Grandmaster Scrolls (1.5%)</t>
  </si>
  <si>
    <t>The Goodbye Kiss</t>
  </si>
  <si>
    <t>Lottery Box Relic #2</t>
  </si>
  <si>
    <t>Peacock Suit</t>
  </si>
  <si>
    <t>Fragment Crafting (1.6%), Lottery Machine #1 (0.03%), Wishing (0.14%), Murikan Treasure Maps (10%), Relic Forge (80 Relic RF)</t>
  </si>
  <si>
    <t>Silver Nugget Awards</t>
  </si>
  <si>
    <t>Decoration Bonus Relic #2</t>
  </si>
  <si>
    <t>Pinocchio</t>
  </si>
  <si>
    <t>Cthaat Aquadingen</t>
  </si>
  <si>
    <t>Weekly Special Relic #4</t>
  </si>
  <si>
    <t>Eye of Akamoddo</t>
  </si>
  <si>
    <t>Forbidden Fruit</t>
  </si>
  <si>
    <t>Lottery Machine #1 (0.12%), Wishing (0.8%), Super Treasure Maps (5%), Grandmaster Scrolls (1%), Relic Forge (100 Relic RF)</t>
  </si>
  <si>
    <t>Star of David</t>
  </si>
  <si>
    <t>T2 Angel Research</t>
  </si>
  <si>
    <t>Don Quixote</t>
  </si>
  <si>
    <t>Badge Shop</t>
  </si>
  <si>
    <t>MUSE Award</t>
  </si>
  <si>
    <t>Decoration Bonus Relic #5</t>
  </si>
  <si>
    <t>Era Magazine Vol.1</t>
  </si>
  <si>
    <t>Lottery Machine #1 (0.12%), Wishing (0.1%), Ad Chest (1%), Grandmaster Scrolls (1%), Relic Forge (100 Relic RF)</t>
  </si>
  <si>
    <t>Pakal's Sarcophagus</t>
  </si>
  <si>
    <t>Truth Crystal</t>
  </si>
  <si>
    <t>Fragment Crafting (1.5%), Lottery Machine #1 (0.03%), Wishing (0.14%), Relic Forge (80 Relic RF), Nebula Chest (1.5%)</t>
  </si>
  <si>
    <t>Crystal Piano</t>
  </si>
  <si>
    <t>Fragment Crafting (1.5%), Lottery Machine #1 (0.03%), Wishing (0.14%), Relic Forge (80 Relic RF), Indigent Nobleman (210k btads)</t>
  </si>
  <si>
    <t>Lennon's Guitar</t>
  </si>
  <si>
    <t>Sholes' Typewriter</t>
  </si>
  <si>
    <t>Viking Horn</t>
  </si>
  <si>
    <t>Gone with the Wind</t>
  </si>
  <si>
    <t>Chemical Bond Theory</t>
  </si>
  <si>
    <t>Unknown</t>
  </si>
  <si>
    <t>Aegis System</t>
  </si>
  <si>
    <t>Steel Hall (Rebel Cabin) Reward</t>
  </si>
  <si>
    <t>Nuclear Bomb</t>
  </si>
  <si>
    <t>Wish Box, Lottery Machine #1 (0.09%), Wishing (0.07%), Grandmaster Scrolls (0.81%), Relic Forge (120 Relic RF)</t>
  </si>
  <si>
    <t>Hubble Telescope</t>
  </si>
  <si>
    <t>Sparkler Award</t>
  </si>
  <si>
    <t>Decoration Bonus Relic #3</t>
  </si>
  <si>
    <t>Kilby's IC</t>
  </si>
  <si>
    <t>ENIAC Prototype</t>
  </si>
  <si>
    <t>Flyer I</t>
  </si>
  <si>
    <t>MEDALS</t>
  </si>
  <si>
    <t>Leo</t>
  </si>
  <si>
    <t>Supreme Relic</t>
  </si>
  <si>
    <t>Encyclopedia</t>
  </si>
  <si>
    <t>Travels of Marco Polo</t>
  </si>
  <si>
    <t>Edict of Milan</t>
  </si>
  <si>
    <t>Plantagenet Badge</t>
  </si>
  <si>
    <t>Magna Carta</t>
  </si>
  <si>
    <t>Fragment Crafting (3.9%), Lottery Machine #1 (0.08%), Wishing (0.35%), Britland Treasure Map (10%), Expert Scrolls (0.95%)</t>
  </si>
  <si>
    <t>Nuremberg Egg</t>
  </si>
  <si>
    <t>Churchhill's Cigar</t>
  </si>
  <si>
    <t>Lottery Machine #1 (0.07%), Wishing (3.1%), Novice Scrolls (1%)</t>
  </si>
  <si>
    <t>Salvator Mundi</t>
  </si>
  <si>
    <t>Daily Pack Relic #14</t>
  </si>
  <si>
    <t>Pearl Earring Girl</t>
  </si>
  <si>
    <t>Lottery Machine #2 (0.11%)</t>
  </si>
  <si>
    <t>Ode to Joy</t>
  </si>
  <si>
    <t>Lottery Machine #2 (?%)</t>
  </si>
  <si>
    <t>Africa Star</t>
  </si>
  <si>
    <t>Wish Box, Lottery Machine #1 (0.09%), Wishing (0.08%), Britland Treasure Maps (0.01%), Grandmaster Scrolls (0.81%), Relic Forge (120 Relic RF)</t>
  </si>
  <si>
    <t>Agamemnon Mask</t>
  </si>
  <si>
    <t>Hermes &amp; Dionysus</t>
  </si>
  <si>
    <t>Koh-i-Noor Diamond</t>
  </si>
  <si>
    <t>Fragment Crafting (18.1%), Lottery Machine #1 (0.81%), Wishing (0.68%), Master Scrolls (6.5%), ART Master Scrolls (34.7%), Relic Forge (90 Relic RF)</t>
  </si>
  <si>
    <t>Diamond Peacock Brooch</t>
  </si>
  <si>
    <t>Opera Phantom</t>
  </si>
  <si>
    <t>Book of the Dead</t>
  </si>
  <si>
    <t>Traveler Pack Relic #1</t>
  </si>
  <si>
    <t>Soul Stone</t>
  </si>
  <si>
    <t>Silmarils</t>
  </si>
  <si>
    <t>Bimaran Casket</t>
  </si>
  <si>
    <t>Valaroma</t>
  </si>
  <si>
    <t>Lottery Box Relic #3</t>
  </si>
  <si>
    <t>Lionheart</t>
  </si>
  <si>
    <t>Runes</t>
  </si>
  <si>
    <t>Penny Black</t>
  </si>
  <si>
    <t>Chair of Busby</t>
  </si>
  <si>
    <t>Arthur's Roundtable</t>
  </si>
  <si>
    <t>Relic Forge (120 RF)</t>
  </si>
  <si>
    <t>Faust</t>
  </si>
  <si>
    <t>The Song of Roland</t>
  </si>
  <si>
    <t>Fragment Crafting (5.5%), Lottery Machine #1 (0.24%), Wishing (0.2%), Master Scroll (1.9%), Grandmaster Scroll (2.1%), CIV Master Scroll (10.2%)</t>
  </si>
  <si>
    <t>Meditations</t>
  </si>
  <si>
    <t>The Decameron</t>
  </si>
  <si>
    <t>Fragment Crafting (3.7%), Lottery Machine #1 (0.8%), Wishing (0.34%), Britland Treasure Maps (10%), Expert Scrolls (0.95%)</t>
  </si>
  <si>
    <t>Holmes's Pipe</t>
  </si>
  <si>
    <t>Periodic Table Scripts</t>
  </si>
  <si>
    <t>Revelation Hall (Earth's Will Cabin) Reward</t>
  </si>
  <si>
    <t>Fermat's Scripts</t>
  </si>
  <si>
    <t>Daily Pack Relic #3</t>
  </si>
  <si>
    <t>Dyson Sphere</t>
  </si>
  <si>
    <t>Watt Steam Engine</t>
  </si>
  <si>
    <t>Lottery Machine #1 (0.12%), Wishing (0.1%), Grandmaster Scrolls (1%), Relic Forge (100 Relic RF)</t>
  </si>
  <si>
    <t>Babbage Engine</t>
  </si>
  <si>
    <t>Wilson Cloud Chamber</t>
  </si>
  <si>
    <t>Lottery Box Relic #7</t>
  </si>
  <si>
    <t>Cavendish Scales</t>
  </si>
  <si>
    <t>Dolly Specimen</t>
  </si>
  <si>
    <t>Chronometer</t>
  </si>
  <si>
    <t>Lottery Machine #1 (0.03%), Wishing (1.1%), Tool Chest (2%)</t>
  </si>
  <si>
    <t>Spinning Jenny</t>
  </si>
  <si>
    <t>Lottery Machine #1 (0.36%), Wishing (13.2%), Tool Chest (2%), Novice Scroll (5%)</t>
  </si>
  <si>
    <t>Churchill's Cigar</t>
  </si>
  <si>
    <t>Red Algae Fossil</t>
  </si>
  <si>
    <t>Cairo Declaration</t>
  </si>
  <si>
    <t>Fragment Crafting (4.6%), Lottery Machine #1 (0.18%), Wishing (0.17%), Grandmaster Scrolls (1.5%)</t>
  </si>
  <si>
    <t>Silver Treaty</t>
  </si>
  <si>
    <t>Lottery Box Relic #1</t>
  </si>
  <si>
    <t>Code of Law</t>
  </si>
  <si>
    <t>Stela of Djet</t>
  </si>
  <si>
    <t>St. Louisa Goblet</t>
  </si>
  <si>
    <t>Tutankhamun Mask</t>
  </si>
  <si>
    <t>Hope Diamond</t>
  </si>
  <si>
    <t>Nefertiti Bust</t>
  </si>
  <si>
    <t>Fragment Crafting (31.2%), Lottery Machine #1 (0.66%), Wishing (2.8%), Expert Scrolls (7.6%)</t>
  </si>
  <si>
    <t>Benin Statue</t>
  </si>
  <si>
    <t>Emerald Tablet</t>
  </si>
  <si>
    <t>Daily Pack Relic #24</t>
  </si>
  <si>
    <t>The Black Book</t>
  </si>
  <si>
    <t>Virgo</t>
  </si>
  <si>
    <t>Mummy of Ramesses</t>
  </si>
  <si>
    <t>T7.5 Zombie Research</t>
  </si>
  <si>
    <t>Dream Stele</t>
  </si>
  <si>
    <t>Ark of the Covenant</t>
  </si>
  <si>
    <t>Chinchorro Mummy</t>
  </si>
  <si>
    <t>Jormungandr Scale</t>
  </si>
  <si>
    <t>T6.5 Dragon Research</t>
  </si>
  <si>
    <t>Dendera Tablet</t>
  </si>
  <si>
    <t>Lottery Machine #1 (0.03%), Wishing (0.85%), Kemetic Treasure Maps (20%)</t>
  </si>
  <si>
    <t>Turin Papyrus</t>
  </si>
  <si>
    <t>Gutenberg's Press</t>
  </si>
  <si>
    <t>Daily Pack Relic #9</t>
  </si>
  <si>
    <t>Phoenician Tablet</t>
  </si>
  <si>
    <t>Codex Leicester</t>
  </si>
  <si>
    <t>Seated Scribe</t>
  </si>
  <si>
    <t>Lottery Machine #1 (0.03%), Wishing (0.82%), Kemetic Treasure Map (20%)</t>
  </si>
  <si>
    <t>AH602</t>
  </si>
  <si>
    <t>Lottery Machine #2 (0.12%), Relic Forge (120 Relic RF), 120 Objects Shot Down Reward</t>
  </si>
  <si>
    <t>Kola Drilling Rig</t>
  </si>
  <si>
    <t>5th Element</t>
  </si>
  <si>
    <t>Turing Machine</t>
  </si>
  <si>
    <t>Fragment Crafting (3.9%), Lottery Machine #1 (0.08%), Wishing (0.36%), Tool Chest (1.5%), Expert Scrolls (0.95%)</t>
  </si>
  <si>
    <t>Otto Engine</t>
  </si>
  <si>
    <t>Persian Star Chart</t>
  </si>
  <si>
    <t>Lottery Machine #1 (0.36%), Wishing (13.2%), Novice Scrolls (5%), Nebula Chest (2%)</t>
  </si>
  <si>
    <t>Note: 5th Element used in Yamato Museum</t>
  </si>
  <si>
    <t>HELLAS</t>
  </si>
  <si>
    <t>Trojan Horse</t>
  </si>
  <si>
    <t>Archimedes Lever</t>
  </si>
  <si>
    <t>Galileo's Ball</t>
  </si>
  <si>
    <t>Bellum Gallicum</t>
  </si>
  <si>
    <t>Ansidei Madonna</t>
  </si>
  <si>
    <t>Lottery Machine #1 (0.09%), Wishing (0.08%), Grandmaster Scrolls (0.8%)</t>
  </si>
  <si>
    <t>Caesar Statue</t>
  </si>
  <si>
    <t>Daily Silver Pack Relic #2</t>
  </si>
  <si>
    <t>Parthenon Marbles</t>
  </si>
  <si>
    <t>Hellas Costume Lottery</t>
  </si>
  <si>
    <t>Lyre of Hermes</t>
  </si>
  <si>
    <t>The School of Athens</t>
  </si>
  <si>
    <t>Fragment Crafting (5.3%), Lottery Machine #1 (0.24%), Wishing (0.2%), Super Treasure Maps (5%), Master Scrolls (1.9%), Grandmaster Scrolls (2.1%), ART Master Scrolls (10.2%)</t>
  </si>
  <si>
    <t>Venus de Milo</t>
  </si>
  <si>
    <t>T7.5 Angel Research</t>
  </si>
  <si>
    <t>Figaro Marriage</t>
  </si>
  <si>
    <t>Portland Vase</t>
  </si>
  <si>
    <t>Lottery Machine #1 (0.03%), Wishing (1.2%), Fungus Chest (2%)</t>
  </si>
  <si>
    <t>Marsellies Statue</t>
  </si>
  <si>
    <t>Lottery Machine #1 (0.03%), Wishing (1.2%), Hellas Treasure Map (%)</t>
  </si>
  <si>
    <t>Blood of Cain</t>
  </si>
  <si>
    <t>Apocalypse Hall (Demon God Cabin) Reward</t>
  </si>
  <si>
    <t>Wheel of Fortune</t>
  </si>
  <si>
    <t>Daily Pack Relic #5</t>
  </si>
  <si>
    <t>Royal Celtic Harp</t>
  </si>
  <si>
    <t>Golden Chariot</t>
  </si>
  <si>
    <t>Fragment Crafting (3.3%), Lottery Machine #1 (0.18%), Wishing (0.12%), Hellas Treasure Maps (%), Grandmaster Scrolls (1.5%)</t>
  </si>
  <si>
    <t>Lamassu Statue</t>
  </si>
  <si>
    <t>Lottery Machine #2 (1.59%), Indigent Nobleman (570k B-tads)</t>
  </si>
  <si>
    <t>Azoth</t>
  </si>
  <si>
    <t>Zoroaster's Torch</t>
  </si>
  <si>
    <t>Bowl of Hygieia</t>
  </si>
  <si>
    <t>Tetrabiblos</t>
  </si>
  <si>
    <t>Eye of Medusa</t>
  </si>
  <si>
    <t>Golden Fleece</t>
  </si>
  <si>
    <t>Aesop's Fables</t>
  </si>
  <si>
    <t>Iliad &amp; Odyssey</t>
  </si>
  <si>
    <t>Daily Pack Relic #6</t>
  </si>
  <si>
    <t>Kepler Telescope</t>
  </si>
  <si>
    <t>Weekly Special Reward Relic #1</t>
  </si>
  <si>
    <t>Libra</t>
  </si>
  <si>
    <t>Edison's Phonograph</t>
  </si>
  <si>
    <t>Euclid's Elements</t>
  </si>
  <si>
    <t>Kilogram Prototype</t>
  </si>
  <si>
    <t>Lottery Machine #1 (0.03%), Wishing (1.1%), Fungus Chest (2%)</t>
  </si>
  <si>
    <t>BHARATA</t>
  </si>
  <si>
    <t>Cytopathology</t>
  </si>
  <si>
    <t>Spirit of Laws</t>
  </si>
  <si>
    <t>Mordan Bullet</t>
  </si>
  <si>
    <t>Lottery Machine #1 (0.07%), Wish (3.1%), Novice Scrolls (1%)</t>
  </si>
  <si>
    <t>Bronze Shiva Statue</t>
  </si>
  <si>
    <t>Silver Daily Pack Relic #3</t>
  </si>
  <si>
    <t>GIlded Buddha</t>
  </si>
  <si>
    <t>Wish Box, Lottery Machine No.1 (0.09%), Alchemy Furnace (0.06%), Grandmaster Scrolls (0.75%)</t>
  </si>
  <si>
    <t>Head of Sargon</t>
  </si>
  <si>
    <t>Guernica</t>
  </si>
  <si>
    <t>Peacock Clock</t>
  </si>
  <si>
    <t>Lottery Machine #1 (0.03%), Wishing (1.2%), Bharata Treasure Maps (20%), Time Chest (2%)</t>
  </si>
  <si>
    <t>Maya Slate</t>
  </si>
  <si>
    <t>Ashoka Tower</t>
  </si>
  <si>
    <t>Hera's Peacock Fan</t>
  </si>
  <si>
    <t>Wish Box, Lottery Machine #1 (0.09%), Wishing (0.06%), Grandmaster Scrolls (0.81%), Relic Forge (120 Relic RF)</t>
  </si>
  <si>
    <t>Aladdin Lamp</t>
  </si>
  <si>
    <t>Lottery Machine #1 (0.12%), Wishing (0.08%), Grandmaster Scrolls (1%), Relic Forge (100 Relic RF)</t>
  </si>
  <si>
    <t>3-Faced Statue</t>
  </si>
  <si>
    <t>Buddha Skull Sarira</t>
  </si>
  <si>
    <t>Leaf Manuscript</t>
  </si>
  <si>
    <t>Cintamani</t>
  </si>
  <si>
    <t>Indigent Nobleman (210K B-tads)</t>
  </si>
  <si>
    <t>Deity Quetzalcoatl</t>
  </si>
  <si>
    <t>Buddha Tooth Sarira</t>
  </si>
  <si>
    <t>Ancient Block</t>
  </si>
  <si>
    <t>Scorpio</t>
  </si>
  <si>
    <t>Shahnameh</t>
  </si>
  <si>
    <t>Indus Seal</t>
  </si>
  <si>
    <t>Maya Codices</t>
  </si>
  <si>
    <t>Musketeer Mask</t>
  </si>
  <si>
    <t>Lottery Machine #1 (0.36%), Wishing (10.3%), Novice Scroll (5%)</t>
  </si>
  <si>
    <t>No. 1 Majesty</t>
  </si>
  <si>
    <t>Nautilus</t>
  </si>
  <si>
    <t>Daily Pack Relic #8</t>
  </si>
  <si>
    <t>Matrix System</t>
  </si>
  <si>
    <t>T7.5 Mecha Research</t>
  </si>
  <si>
    <t>BetaGo</t>
  </si>
  <si>
    <t>Gilded Buddha</t>
  </si>
  <si>
    <t>Note: Aladdin Lamp used in quarry</t>
  </si>
  <si>
    <t>Base Effect</t>
  </si>
  <si>
    <t>Base Effect (Awakened)</t>
  </si>
  <si>
    <t>REBEL CABIN</t>
  </si>
  <si>
    <t>Resonance: Orange</t>
  </si>
  <si>
    <t xml:space="preserve">  Mysterious Relic</t>
  </si>
  <si>
    <t xml:space="preserve">  Atlantis Crystal</t>
  </si>
  <si>
    <t>Lottery Machine #2 (0.12%), Relic Forge (120 RF)</t>
  </si>
  <si>
    <t xml:space="preserve">  Lawrence's Cyclotron</t>
  </si>
  <si>
    <t xml:space="preserve">  Science Magazine Vol.1</t>
  </si>
  <si>
    <t xml:space="preserve">  Phaistos Disc</t>
  </si>
  <si>
    <t>MAX REBEL CABIN</t>
  </si>
  <si>
    <t>Photonic Communicator (Angel)</t>
  </si>
  <si>
    <t>Akebono</t>
  </si>
  <si>
    <t xml:space="preserve">  Rutherford Model</t>
  </si>
  <si>
    <t xml:space="preserve">  SC Energy Storage Unit</t>
  </si>
  <si>
    <t>MAX PHOTONIC COMMUNICATOR</t>
  </si>
  <si>
    <t>Prismatic Armor (Mecha)</t>
  </si>
  <si>
    <t>Model G Loom</t>
  </si>
  <si>
    <t xml:space="preserve">  Crime and Punishment</t>
  </si>
  <si>
    <t xml:space="preserve">  Palermo Stone</t>
  </si>
  <si>
    <t>Lottery Machine #2 (1.59%), Rift Treasure Maps (5%)</t>
  </si>
  <si>
    <t>MAX PRISMATIC ARMOR</t>
  </si>
  <si>
    <t>Auto-reload Device (Demon)</t>
  </si>
  <si>
    <t>The Knotted Pistol</t>
  </si>
  <si>
    <t>MAX AUTO-RELOAD DEVICE</t>
  </si>
  <si>
    <t>Biochemical MOD Module (Zombie)</t>
  </si>
  <si>
    <t>Swimming Reindeer</t>
  </si>
  <si>
    <t>Bastet Bronze Statue</t>
  </si>
  <si>
    <t>MAX BIOCHEMICAL MOD MODULE</t>
  </si>
  <si>
    <t>Anti-gravity Device (Mecha)</t>
  </si>
  <si>
    <t>Oxus Treasure</t>
  </si>
  <si>
    <t>DNA Microarray</t>
  </si>
  <si>
    <t xml:space="preserve">  Hevelius Chart</t>
  </si>
  <si>
    <t xml:space="preserve">  Veiled Lady</t>
  </si>
  <si>
    <t xml:space="preserve">  The Kiss</t>
  </si>
  <si>
    <t>MAX ANTI-GRAVITY DEVICE</t>
  </si>
  <si>
    <t>Dark Matter Reactor (Zombie)</t>
  </si>
  <si>
    <t>Black Body</t>
  </si>
  <si>
    <t>Mother and Daughter</t>
  </si>
  <si>
    <t xml:space="preserve">  Stockholm Declaration</t>
  </si>
  <si>
    <t xml:space="preserve">  Last Self Portrait</t>
  </si>
  <si>
    <t>Daily Pack Relic #15</t>
  </si>
  <si>
    <t xml:space="preserve">  Tao Te Ching</t>
  </si>
  <si>
    <t>MAX DARK MATTER REACTOR</t>
  </si>
  <si>
    <t>Steel Hall (All)</t>
  </si>
  <si>
    <t>Atlantis Crystal</t>
  </si>
  <si>
    <t>Le Verrier's Scripts</t>
  </si>
  <si>
    <t>Lottery Machine #2 (0.06%)</t>
  </si>
  <si>
    <t>MAX STEEL HALL</t>
  </si>
  <si>
    <t>Silence Hall (All)</t>
  </si>
  <si>
    <t>Solar Sail</t>
  </si>
  <si>
    <t>Lottery Machine #2 (0.06%), Rift Treasure Maps (10%)</t>
  </si>
  <si>
    <t>MAX SILENCE HALL</t>
  </si>
  <si>
    <t>DEMON GOD CABIN</t>
  </si>
  <si>
    <t xml:space="preserve">  Orphic Egg</t>
  </si>
  <si>
    <t xml:space="preserve">  Two-headed Serpent</t>
  </si>
  <si>
    <t xml:space="preserve">  Antarctic Treaty</t>
  </si>
  <si>
    <t xml:space="preserve">  Black Body</t>
  </si>
  <si>
    <t>MAX DEMON GOD CABIN</t>
  </si>
  <si>
    <t>Particle Accelerator (Demon)</t>
  </si>
  <si>
    <t>Rutherford Model</t>
  </si>
  <si>
    <t>Lissajous Figure</t>
  </si>
  <si>
    <t xml:space="preserve">  AMS</t>
  </si>
  <si>
    <t>MAX PARTICLE ACCELERATOR</t>
  </si>
  <si>
    <t>Assist System (Dragon)</t>
  </si>
  <si>
    <t>Grimmy Award</t>
  </si>
  <si>
    <t>The Prayer</t>
  </si>
  <si>
    <t xml:space="preserve">  Pride &amp; Prejudice</t>
  </si>
  <si>
    <t xml:space="preserve">  Grimmy Award</t>
  </si>
  <si>
    <t>MAX ASSIST SYSTEM</t>
  </si>
  <si>
    <t>Orbit Assimilator (Mecha)</t>
  </si>
  <si>
    <t>Ruska's Microscope</t>
  </si>
  <si>
    <t>Montgolfier Balloon</t>
  </si>
  <si>
    <t>MAX ORBIT ASSIMILATOR</t>
  </si>
  <si>
    <t>Gravity Propeller (Mutant)</t>
  </si>
  <si>
    <t>Zircon of Jack Hills</t>
  </si>
  <si>
    <t>The Fall of Phaethon</t>
  </si>
  <si>
    <t>MAX GRAVITY PROPELLER</t>
  </si>
  <si>
    <t>Demon God Matrix (Demon)</t>
  </si>
  <si>
    <t>The Silver Key</t>
  </si>
  <si>
    <t>Rift Treasure Maps (0.01%), Lottery Machine #2 (0.12%)</t>
  </si>
  <si>
    <t>Celaeno Fragments</t>
  </si>
  <si>
    <t xml:space="preserve">  L'Art de la Guerre</t>
  </si>
  <si>
    <t xml:space="preserve">  Bronze Longhu Cup</t>
  </si>
  <si>
    <t>Lottery Machine #2 (?%), Relic Forge (120 RF)</t>
  </si>
  <si>
    <t xml:space="preserve">  Ludovisi Ares</t>
  </si>
  <si>
    <t>MAX DEMON GOD MATRIX</t>
  </si>
  <si>
    <t>Curvature Engine (Dragon)</t>
  </si>
  <si>
    <t>Wilford's Engine</t>
  </si>
  <si>
    <t>Newton's Prism</t>
  </si>
  <si>
    <t xml:space="preserve">  Great Mogul Diamond</t>
  </si>
  <si>
    <t xml:space="preserve">  Columbus Chart</t>
  </si>
  <si>
    <t>Daily Relic Pack Relic #24</t>
  </si>
  <si>
    <t xml:space="preserve">  Ancient Dragon Crystal</t>
  </si>
  <si>
    <t>MAX CURVATURE ENGINE</t>
  </si>
  <si>
    <t>Apocalypse Hall (All)</t>
  </si>
  <si>
    <t>Crime and Punishment</t>
  </si>
  <si>
    <t>CAL 9000</t>
  </si>
  <si>
    <t>Lottery Machine #2 (0.06%), Indigent Nobleman (210K B-tads)</t>
  </si>
  <si>
    <t>MAX APOCALYPSE HALL</t>
  </si>
  <si>
    <t>Eternal Hall (All)</t>
  </si>
  <si>
    <t>Enuma Elish</t>
  </si>
  <si>
    <t>Theory of Population</t>
  </si>
  <si>
    <t>MAX ETERNAL HALL</t>
  </si>
  <si>
    <t>GAIA CABIN</t>
  </si>
  <si>
    <t>Parker Solar Probe</t>
  </si>
  <si>
    <t>Indigent Nobleman (810K B-tads), Lottery Machine #2 (0.11%)</t>
  </si>
  <si>
    <t xml:space="preserve">  Holy Grail</t>
  </si>
  <si>
    <t xml:space="preserve">  Ansidei Madonna</t>
  </si>
  <si>
    <t xml:space="preserve">  Nightingale Medal</t>
  </si>
  <si>
    <t xml:space="preserve">  Boat of Serenity</t>
  </si>
  <si>
    <t>Lucky Stars Reward</t>
  </si>
  <si>
    <t>MAX GAIA CABIN</t>
  </si>
  <si>
    <t>Rainbow Generator (Angel)</t>
  </si>
  <si>
    <t>Susan's Horn</t>
  </si>
  <si>
    <t>MAX RAINBOW GENERATOR</t>
  </si>
  <si>
    <t>Gamma Ray (Mutant)</t>
  </si>
  <si>
    <t>Grignard Reagent</t>
  </si>
  <si>
    <t xml:space="preserve">  R'lyeh Text</t>
  </si>
  <si>
    <t xml:space="preserve">  The Silver Key</t>
  </si>
  <si>
    <t>MAX GAMMA RAY</t>
  </si>
  <si>
    <t>EMP (Zombie)</t>
  </si>
  <si>
    <t>Oersted's Compass</t>
  </si>
  <si>
    <t xml:space="preserve">  CRISPR</t>
  </si>
  <si>
    <t xml:space="preserve">  Ruska's Microscope</t>
  </si>
  <si>
    <t>MAX EMP</t>
  </si>
  <si>
    <t>Space-sensing Radar (Dragon)</t>
  </si>
  <si>
    <t>Nebra Sky Disc</t>
  </si>
  <si>
    <t>Rift Treasure Maps (20%), Lottery Machine #2 (0.03%)</t>
  </si>
  <si>
    <t>MAX SPACE-SENSING RADAR</t>
  </si>
  <si>
    <t>Garden of Eden (Angel)</t>
  </si>
  <si>
    <t>Two-headed Serpent</t>
  </si>
  <si>
    <t>Gold Croeseid</t>
  </si>
  <si>
    <t xml:space="preserve">  Hermes &amp; Dionysus</t>
  </si>
  <si>
    <t xml:space="preserve">  The Champa Flower</t>
  </si>
  <si>
    <t>MAX GARDEN OF EDEN</t>
  </si>
  <si>
    <t>Domain Holograph (Mutant)</t>
  </si>
  <si>
    <t>Aeneid</t>
  </si>
  <si>
    <t>Boy with Apple</t>
  </si>
  <si>
    <t xml:space="preserve">  Scales of Astraea</t>
  </si>
  <si>
    <t xml:space="preserve">  Book of the Dead</t>
  </si>
  <si>
    <t xml:space="preserve">  Manga Manuscript</t>
  </si>
  <si>
    <t>MAX DOMAIN HOLOGRAPH</t>
  </si>
  <si>
    <t>Oracle Hall (All)</t>
  </si>
  <si>
    <t>Holy Grail</t>
  </si>
  <si>
    <t>Portrait of Innocent X</t>
  </si>
  <si>
    <t>MAX ORACLE HALL</t>
  </si>
  <si>
    <t>Revelation Hall (All)</t>
  </si>
  <si>
    <t>Annunciation</t>
  </si>
  <si>
    <t>MAX REVELATION HALL</t>
  </si>
  <si>
    <t>GENERAL</t>
  </si>
  <si>
    <t>HP</t>
  </si>
  <si>
    <t>Awakening Base</t>
  </si>
  <si>
    <t>Percentage</t>
  </si>
  <si>
    <t>Awakening Percentage</t>
  </si>
  <si>
    <t>Per Minion</t>
  </si>
  <si>
    <t>Per Minion Boost</t>
  </si>
  <si>
    <t>HP (Per Minion)</t>
  </si>
  <si>
    <t>HP (%)</t>
  </si>
  <si>
    <t>ATK (Per Minion)</t>
  </si>
  <si>
    <t>ATK (%)</t>
  </si>
  <si>
    <t>RUSH (Per Minion)</t>
  </si>
  <si>
    <t>RUSH (%)</t>
  </si>
  <si>
    <t>DEF (Per Minion)</t>
  </si>
  <si>
    <t>DEF (%)</t>
  </si>
  <si>
    <t>HARD (Per Minion)</t>
  </si>
  <si>
    <t>HARD (%)</t>
  </si>
  <si>
    <t>Last Self Portrait</t>
  </si>
  <si>
    <t>General</t>
  </si>
  <si>
    <t>Wild Pansy's Juice</t>
  </si>
  <si>
    <t>Arianrhod's Wheel</t>
  </si>
  <si>
    <t>Daily Pack Relic #47</t>
  </si>
  <si>
    <t>Treasure Island</t>
  </si>
  <si>
    <t>Time Beacon Reward</t>
  </si>
  <si>
    <t>Supreme Relic #12</t>
  </si>
  <si>
    <t xml:space="preserve">Pisces </t>
  </si>
  <si>
    <t>Supreme Relic #20</t>
  </si>
  <si>
    <t>Supreme Relic #16</t>
  </si>
  <si>
    <t>Ludovisi Ares</t>
  </si>
  <si>
    <t>Scales of Astraea</t>
  </si>
  <si>
    <t>Ebers Papyrus</t>
  </si>
  <si>
    <t>Ink Chrysanths</t>
  </si>
  <si>
    <t>La Marseillaise</t>
  </si>
  <si>
    <t>Discobolus</t>
  </si>
  <si>
    <t>Orphic Egg</t>
  </si>
  <si>
    <t xml:space="preserve">  Shahnameh</t>
  </si>
  <si>
    <t xml:space="preserve">  The Art of War</t>
  </si>
  <si>
    <t xml:space="preserve">  Smug's Chalice</t>
  </si>
  <si>
    <t>T7.5 Dragon Gene Research</t>
  </si>
  <si>
    <t xml:space="preserve">  Imperial Jade</t>
  </si>
  <si>
    <t>Resonance: Purple</t>
  </si>
  <si>
    <t xml:space="preserve">  Prehistoric Fossil</t>
  </si>
  <si>
    <t xml:space="preserve">  Koryeon Sutra</t>
  </si>
  <si>
    <t>Resonance: Blue</t>
  </si>
  <si>
    <t xml:space="preserve">  Matsushima Pot</t>
  </si>
  <si>
    <t xml:space="preserve">  Pompeii</t>
  </si>
  <si>
    <t xml:space="preserve">  The Moon and Sixpence</t>
  </si>
  <si>
    <t xml:space="preserve">  Species Plantarum</t>
  </si>
  <si>
    <t>TOTAL HP</t>
  </si>
  <si>
    <t>ATK</t>
  </si>
  <si>
    <t>EPR Paradox</t>
  </si>
  <si>
    <t>Wish Box Relic #8</t>
  </si>
  <si>
    <t>Infin. Improb. Eng.</t>
  </si>
  <si>
    <t>Daily Pack Relic #51</t>
  </si>
  <si>
    <t>Capricorn</t>
  </si>
  <si>
    <t>Supreme Relic #18</t>
  </si>
  <si>
    <t>Supreme Relic #14</t>
  </si>
  <si>
    <t>Supreme Relic #10</t>
  </si>
  <si>
    <t>Dead Sea Scrolls</t>
  </si>
  <si>
    <t>Daily Pack Relic #13</t>
  </si>
  <si>
    <t>Gutenberg Press</t>
  </si>
  <si>
    <t>Modern Times</t>
  </si>
  <si>
    <t>Terracotta Warrior</t>
  </si>
  <si>
    <t>War and Peace</t>
  </si>
  <si>
    <t>Daily Silver Pack Relic #5</t>
  </si>
  <si>
    <t>Olympic Torch</t>
  </si>
  <si>
    <t>Wish Box Relic #3</t>
  </si>
  <si>
    <t>Beowulf</t>
  </si>
  <si>
    <t xml:space="preserve">  Pillars of Creation</t>
  </si>
  <si>
    <t xml:space="preserve">  Energy Missile</t>
  </si>
  <si>
    <t>Lucky Box Reward Batch no. 1-7</t>
  </si>
  <si>
    <t xml:space="preserve">  Parker Solar Probe</t>
  </si>
  <si>
    <r>
      <rPr>
        <rFont val="Calibri"/>
        <color theme="1"/>
        <sz val="12.0"/>
      </rPr>
      <t xml:space="preserve">Indigent Nobleman (810K B-tads), </t>
    </r>
    <r>
      <rPr>
        <rFont val="Calibri"/>
        <color theme="1"/>
        <sz val="12.0"/>
      </rPr>
      <t>Lottery Machine #2 (0.11%)</t>
    </r>
  </si>
  <si>
    <t xml:space="preserve">  Bronze Shiva Statue</t>
  </si>
  <si>
    <t>Daily Silver Pack Relic #3</t>
  </si>
  <si>
    <t xml:space="preserve">  Creation of Adam</t>
  </si>
  <si>
    <t>Lottery Machine #1 (0.09%), Wishing (0.08%), Grandmaster Scrolls (0.77%)</t>
  </si>
  <si>
    <t xml:space="preserve">  War and Peace</t>
  </si>
  <si>
    <t xml:space="preserve">  1001 Nights</t>
  </si>
  <si>
    <t>Wish Box, Lottery Machine #1 (0.09%), Wishing (0.08%), Bharata Treasure Maps(%), Grandmaster Scrolls (0.81%), Relic Forge (120 Relic RF)</t>
  </si>
  <si>
    <t xml:space="preserve">  The Augustus Statue</t>
  </si>
  <si>
    <t xml:space="preserve">  Alexander the Great</t>
  </si>
  <si>
    <t xml:space="preserve">  Turing Machine</t>
  </si>
  <si>
    <t xml:space="preserve">  Tree of Life</t>
  </si>
  <si>
    <t xml:space="preserve">  Figaro Marriage</t>
  </si>
  <si>
    <t xml:space="preserve">  Mermaid Statue</t>
  </si>
  <si>
    <t xml:space="preserve">  Statue of Gudea</t>
  </si>
  <si>
    <t xml:space="preserve">  Diesel Engine</t>
  </si>
  <si>
    <t xml:space="preserve">  Warren Cup</t>
  </si>
  <si>
    <t xml:space="preserve">  Orichalcum</t>
  </si>
  <si>
    <t xml:space="preserve">  Crookes Tube</t>
  </si>
  <si>
    <t xml:space="preserve">  The Prince</t>
  </si>
  <si>
    <t xml:space="preserve">  Beowulf</t>
  </si>
  <si>
    <t xml:space="preserve">  Enuma Elish</t>
  </si>
  <si>
    <t>Lottery Machine #2 (0.12%), Indigent Nobleman (810K B-tads)</t>
  </si>
  <si>
    <t xml:space="preserve">  Oxus Treasure</t>
  </si>
  <si>
    <t xml:space="preserve">  Jiuzhang</t>
  </si>
  <si>
    <t>TOTAL ATK</t>
  </si>
  <si>
    <t>RUSH</t>
  </si>
  <si>
    <t>Maya Mural</t>
  </si>
  <si>
    <t>Napoleonic Code</t>
  </si>
  <si>
    <t>Daily Pack Relic #11</t>
  </si>
  <si>
    <t>Head of Bhairava</t>
  </si>
  <si>
    <t>Daily Pack Relic #17</t>
  </si>
  <si>
    <t>Traveler's Pack Relic #4</t>
  </si>
  <si>
    <t>Lawrence's Cyclotron</t>
  </si>
  <si>
    <t xml:space="preserve">  Buddha Finger Sarira</t>
  </si>
  <si>
    <t xml:space="preserve">  Buddha's Skull Sarira</t>
  </si>
  <si>
    <t xml:space="preserve">  Boltzmann Brain</t>
  </si>
  <si>
    <t>Fragment Crafting (17.8%), Lottery Machine #1 (0.81%), Wishing (0.65%), Master Scrolls (6.5%), TECH Master Scrolls (31.5%), Relic Forge (90 Relic RF)</t>
  </si>
  <si>
    <t xml:space="preserve">  Mind Controller</t>
  </si>
  <si>
    <t>T7.5 Mutant Gene Research</t>
  </si>
  <si>
    <t xml:space="preserve">  Speech of MLK</t>
  </si>
  <si>
    <t xml:space="preserve">  Platinum Record</t>
  </si>
  <si>
    <t xml:space="preserve">  Haulers on Volga</t>
  </si>
  <si>
    <t>Fragment Crafting (1.6%), Lottery Machine (0.03%), Wishing (0.14%), Relic Forge (Relic RF 80)</t>
  </si>
  <si>
    <t xml:space="preserve">  Peacock Suit</t>
  </si>
  <si>
    <t>Fragment Crafting (1.6%), Lottery Machine (0.03%), Wishing (0.14%), Murikan Treasure Maps (10%), Relic Forge (80 Relic RF)</t>
  </si>
  <si>
    <t xml:space="preserve">  Tangram</t>
  </si>
  <si>
    <t xml:space="preserve">  Basse Yutz Flagons</t>
  </si>
  <si>
    <t xml:space="preserve">  Ganesha Statue</t>
  </si>
  <si>
    <t xml:space="preserve">  Woman in Blue</t>
  </si>
  <si>
    <t xml:space="preserve">  Lissajous Figure</t>
  </si>
  <si>
    <t xml:space="preserve">  Chang'e and Laurel</t>
  </si>
  <si>
    <t xml:space="preserve">  Narmer Palette</t>
  </si>
  <si>
    <t>Traveler's Pack Relic #3</t>
  </si>
  <si>
    <t>TOTAL RUSH</t>
  </si>
  <si>
    <t>DEF</t>
  </si>
  <si>
    <t>Draupnir</t>
  </si>
  <si>
    <t>Daily Pack Relic #42</t>
  </si>
  <si>
    <t>Status of Isis</t>
  </si>
  <si>
    <t>MoCA</t>
  </si>
  <si>
    <t>Lucky Box Reward Batch no. 15-21</t>
  </si>
  <si>
    <t>Night Watch</t>
  </si>
  <si>
    <t xml:space="preserve">  Receiving the Envoy</t>
  </si>
  <si>
    <t xml:space="preserve">  Cuneiform Tablet</t>
  </si>
  <si>
    <t>Fragment Crafting (5.5%), Lottery Machine #1 (0.24%), Wishing (0.2%), Master Scrolls (1.9%), Grandmaster Scrolls (2.1%), CIV Master Scrolls (10.2%), Super Species Chest (5.5%)</t>
  </si>
  <si>
    <t xml:space="preserve">  Fu Hao Scripts</t>
  </si>
  <si>
    <t xml:space="preserve">  Sputnik 1</t>
  </si>
  <si>
    <t xml:space="preserve">  Quantum Radio</t>
  </si>
  <si>
    <t>Super Species Chest (0.03%)</t>
  </si>
  <si>
    <t xml:space="preserve">  Moonlight Sonata</t>
  </si>
  <si>
    <t xml:space="preserve">  Crystal Piano</t>
  </si>
  <si>
    <t xml:space="preserve">  Innsmouth Statue</t>
  </si>
  <si>
    <t xml:space="preserve">  Broken Queen Statue</t>
  </si>
  <si>
    <t xml:space="preserve">  Camellias Lady</t>
  </si>
  <si>
    <t xml:space="preserve">  Messier Catalogue</t>
  </si>
  <si>
    <t xml:space="preserve">  Ink Chrysanths</t>
  </si>
  <si>
    <t>TOTAL DEF</t>
  </si>
  <si>
    <t>HARD</t>
  </si>
  <si>
    <t>Daily Silver Pack Relic #12</t>
  </si>
  <si>
    <t>Mischief Map</t>
  </si>
  <si>
    <t>Lion-dogs Statue</t>
  </si>
  <si>
    <t>Avesta</t>
  </si>
  <si>
    <t>Daily Silver Pack Relic #7</t>
  </si>
  <si>
    <t>Brave New World</t>
  </si>
  <si>
    <t>Daily Pack Relic #16</t>
  </si>
  <si>
    <t>Decor Award Relic #4</t>
  </si>
  <si>
    <t>Quark Model</t>
  </si>
  <si>
    <t>Lucky Box Reward Batch no. 8-14</t>
  </si>
  <si>
    <t>Wish Box Album Relic #3</t>
  </si>
  <si>
    <t>Britland Academy Award</t>
  </si>
  <si>
    <t>Relic Avatar Category S+ Reward</t>
  </si>
  <si>
    <t xml:space="preserve">  Napoleonic Code</t>
  </si>
  <si>
    <t xml:space="preserve">  Encyclopedia</t>
  </si>
  <si>
    <t xml:space="preserve">  Divine Comedy</t>
  </si>
  <si>
    <t xml:space="preserve">  Hope Diamond</t>
  </si>
  <si>
    <t xml:space="preserve">  Otto Engine</t>
  </si>
  <si>
    <t xml:space="preserve">  Avesta</t>
  </si>
  <si>
    <t xml:space="preserve">  Don Quixote</t>
  </si>
  <si>
    <t xml:space="preserve">  La Marseillaise</t>
  </si>
  <si>
    <t xml:space="preserve">  Olympic Torch</t>
  </si>
  <si>
    <r>
      <rPr>
        <rFont val="Calibri"/>
        <color theme="1"/>
        <sz val="12.0"/>
      </rPr>
      <t xml:space="preserve">Indigent Nobleman (810K B-tads), </t>
    </r>
    <r>
      <rPr>
        <rFont val="Calibri"/>
        <color theme="1"/>
        <sz val="12.0"/>
      </rPr>
      <t>Lottery Machine #2 (0.11%)</t>
    </r>
  </si>
  <si>
    <t>TOTAL HARD</t>
  </si>
  <si>
    <t>Gastic Pouch</t>
  </si>
  <si>
    <t>Gee Virus</t>
  </si>
  <si>
    <t>T6.5 Zombie Gene Research</t>
  </si>
  <si>
    <t>Stockholm Declaration</t>
  </si>
  <si>
    <t>Mummy of Ramses</t>
  </si>
  <si>
    <t>Control Unit</t>
  </si>
  <si>
    <t>Hamilton's Washer</t>
  </si>
  <si>
    <t>Albucasis Medical Book</t>
  </si>
  <si>
    <t>Lasker Medical Research Award</t>
  </si>
  <si>
    <t>Lottery Machine #3 (?%)</t>
  </si>
  <si>
    <t>Lottery Machine #2 (0.6%)</t>
  </si>
  <si>
    <t>Moon Faucet</t>
  </si>
  <si>
    <t>Einthoven's ECG</t>
  </si>
  <si>
    <t xml:space="preserve">  Arabian Bronze Hand</t>
  </si>
  <si>
    <t xml:space="preserve">  Xiuhtecuhtli Mask</t>
  </si>
  <si>
    <t>Nobel's Will</t>
  </si>
  <si>
    <t>Dewar Flask</t>
  </si>
  <si>
    <t>Treaty of Lorcano</t>
  </si>
  <si>
    <t>Hurrian Songs</t>
  </si>
  <si>
    <t>Theremin</t>
  </si>
  <si>
    <t xml:space="preserve">  Euclid's Elements</t>
  </si>
  <si>
    <t>Lottery Machine #1 (0.03%), Wishing (1.1%), Hellenic Treasure Map (20%)</t>
  </si>
  <si>
    <t xml:space="preserve">  Eye of Medusa</t>
  </si>
  <si>
    <t>Mutant Gene Research T2</t>
  </si>
  <si>
    <t xml:space="preserve">  Franklin's Kite</t>
  </si>
  <si>
    <t xml:space="preserve">  The Rose Garden</t>
  </si>
  <si>
    <t xml:space="preserve">  Rose Cross</t>
  </si>
  <si>
    <t xml:space="preserve">  Miss Universe Crown</t>
  </si>
  <si>
    <t xml:space="preserve">  Theory of Population</t>
  </si>
  <si>
    <t>Burgundian Laws</t>
  </si>
  <si>
    <t>Constantine Statue</t>
  </si>
  <si>
    <t>Convention on the Laws of the Sea</t>
  </si>
  <si>
    <t>The Prince</t>
  </si>
  <si>
    <t>Actor Training</t>
  </si>
  <si>
    <t>Economy World Vol.1</t>
  </si>
  <si>
    <t>Dicycle</t>
  </si>
  <si>
    <t>The Walking Man</t>
  </si>
  <si>
    <t xml:space="preserve">  Ghanta</t>
  </si>
  <si>
    <t xml:space="preserve">  Nemean Lion's Hide</t>
  </si>
  <si>
    <t xml:space="preserve">  De Motu Cordis Model</t>
  </si>
  <si>
    <t>Fragment Crafting (3.8%), Lottery Machine #1 (0.08%), Wishing (0.36%), Soul Chest (1.5%), Expert Scrolls (0.95%)</t>
  </si>
  <si>
    <t>Lomekwi Stoneware</t>
  </si>
  <si>
    <t>Gastic Pouch F17+</t>
  </si>
  <si>
    <t>Appert's Glass Bottle</t>
  </si>
  <si>
    <t>Carothers Nylon</t>
  </si>
  <si>
    <t xml:space="preserve">  Bobby's Golf Club</t>
  </si>
  <si>
    <t xml:space="preserve">  Montgolfier Balloon</t>
  </si>
  <si>
    <t xml:space="preserve">  Taketori Tale</t>
  </si>
  <si>
    <t xml:space="preserve">  Jane Eyre</t>
  </si>
  <si>
    <t>Maitreya in Meditation</t>
  </si>
  <si>
    <t>Night Bloom II</t>
  </si>
  <si>
    <t>Capitoline Wolf</t>
  </si>
  <si>
    <t>Glass Coffin</t>
  </si>
  <si>
    <t>Hedwig Glass</t>
  </si>
  <si>
    <t>Tucket Award</t>
  </si>
  <si>
    <t>Decor Bonus</t>
  </si>
  <si>
    <t>Kojiki</t>
  </si>
  <si>
    <t>Pharaoh and Hist Wife</t>
  </si>
  <si>
    <t>Divination Book</t>
  </si>
  <si>
    <t>Innsmouth Statue</t>
  </si>
  <si>
    <t xml:space="preserve">  Lavosier's Bell Jar</t>
  </si>
  <si>
    <t xml:space="preserve">  Pavlov's Bell</t>
  </si>
  <si>
    <t xml:space="preserve">  The Count of Monti Christi</t>
  </si>
  <si>
    <t xml:space="preserve">  No Longer Human</t>
  </si>
  <si>
    <t>Weekly Special Reward #2</t>
  </si>
  <si>
    <t>Giant Book</t>
  </si>
  <si>
    <t>The Key of Solomon</t>
  </si>
  <si>
    <t>Ape's Footprint Fossil</t>
  </si>
  <si>
    <t>Peacock Ceramic Plate</t>
  </si>
  <si>
    <t>Fallen Lucifer</t>
  </si>
  <si>
    <t>T6.5 Demon Gene Research</t>
  </si>
  <si>
    <t>Isabella I Portrait</t>
  </si>
  <si>
    <t>Bill of Rights</t>
  </si>
  <si>
    <t>Daily Silver Pack Relic #8</t>
  </si>
  <si>
    <t>Murders in Rue Morgue</t>
  </si>
  <si>
    <t xml:space="preserve">  Churchill's Cigar</t>
  </si>
  <si>
    <t xml:space="preserve">  San Damiano Cross</t>
  </si>
  <si>
    <t xml:space="preserve">  Mother and Daughter</t>
  </si>
  <si>
    <t xml:space="preserve">  Night Bloom II</t>
  </si>
  <si>
    <t>Dream Top</t>
  </si>
  <si>
    <t>Aurelius on Horse</t>
  </si>
  <si>
    <t>The Yellow Christ</t>
  </si>
  <si>
    <t>Traveler's Pack Relic #12</t>
  </si>
  <si>
    <t>The Birth of Venus</t>
  </si>
  <si>
    <r>
      <rPr>
        <rFont val="Calibri"/>
        <color theme="1"/>
        <sz val="12.0"/>
      </rPr>
      <t xml:space="preserve">Arbor Day Event, </t>
    </r>
    <r>
      <rPr>
        <rFont val="Calibri"/>
        <color theme="1"/>
        <sz val="12.0"/>
      </rPr>
      <t>Lottery Machine #2 (0.11%)</t>
    </r>
  </si>
  <si>
    <t>Premonition of Civil War</t>
  </si>
  <si>
    <t>Agamemnon Ambdassadors</t>
  </si>
  <si>
    <t>Silver Stag Vessel</t>
  </si>
  <si>
    <t xml:space="preserve">  Hunter's Suitcase</t>
  </si>
  <si>
    <t xml:space="preserve">  1900's Vinyl Record</t>
  </si>
  <si>
    <t xml:space="preserve">  Book of Shadows</t>
  </si>
  <si>
    <t xml:space="preserve">  Giant Book</t>
  </si>
  <si>
    <t>Persistence of Memory</t>
  </si>
  <si>
    <t>Moses' Well</t>
  </si>
  <si>
    <t>San Damiano Cross</t>
  </si>
  <si>
    <t xml:space="preserve">  Cupid and Psyche</t>
  </si>
  <si>
    <t xml:space="preserve">  Maitreya in Meditation</t>
  </si>
  <si>
    <t xml:space="preserve">  Letters for Josephine</t>
  </si>
  <si>
    <t xml:space="preserve">  Rashomon</t>
  </si>
  <si>
    <t>Demon Gene Research T7</t>
  </si>
  <si>
    <t>Book of Soyga</t>
  </si>
  <si>
    <t>Marseilles Statue</t>
  </si>
  <si>
    <t>Lottery Machine #1 (0.03%), Wishing (1.2%), Hellas Treasure Map (20%)</t>
  </si>
  <si>
    <t>Moon Plum Teapot</t>
  </si>
  <si>
    <t xml:space="preserve">  Emerald Tablet</t>
  </si>
  <si>
    <t>Holy Nail</t>
  </si>
  <si>
    <t>T6.5 Angel Gene Research</t>
  </si>
  <si>
    <t>Vedas</t>
  </si>
  <si>
    <t>Theogony</t>
  </si>
  <si>
    <t>Aeschylus Statue</t>
  </si>
  <si>
    <t>Eden Scepter</t>
  </si>
  <si>
    <t>Wish Box Relic #10</t>
  </si>
  <si>
    <t>Book of Vespa</t>
  </si>
  <si>
    <t>The Bell at St. Mura</t>
  </si>
  <si>
    <t>Rift Treasure Maps (10%)</t>
  </si>
  <si>
    <t>Stone of Destiny</t>
  </si>
  <si>
    <t>Earthly Delight Garden</t>
  </si>
  <si>
    <t xml:space="preserve">  The Knotted Pistol</t>
  </si>
  <si>
    <t xml:space="preserve">  The Final Communique</t>
  </si>
  <si>
    <t xml:space="preserve">  The Bell at St. Mura</t>
  </si>
  <si>
    <t xml:space="preserve">  Divination Book</t>
  </si>
  <si>
    <t>Creation of Adam</t>
  </si>
  <si>
    <t>True Cross</t>
  </si>
  <si>
    <t>Jade Cup</t>
  </si>
  <si>
    <t>Kanner's Report</t>
  </si>
  <si>
    <t>Nightingale Medal</t>
  </si>
  <si>
    <t>Etana Story</t>
  </si>
  <si>
    <t>Luthor Rose</t>
  </si>
  <si>
    <t>Neptune the Sea God</t>
  </si>
  <si>
    <t>Acta Apostolicae Sedis</t>
  </si>
  <si>
    <t xml:space="preserve">  Mask of Zorro</t>
  </si>
  <si>
    <t xml:space="preserve">  Musketeer Mask</t>
  </si>
  <si>
    <t xml:space="preserve">  Neptune the Sea God</t>
  </si>
  <si>
    <t xml:space="preserve">  Nestor's Cup</t>
  </si>
  <si>
    <t xml:space="preserve">  Portrait of Innocent X</t>
  </si>
  <si>
    <t xml:space="preserve">  Annunciation</t>
  </si>
  <si>
    <t>Popol Vuh</t>
  </si>
  <si>
    <t>Catherine II Portrait</t>
  </si>
  <si>
    <t>Silver-armed Nadua</t>
  </si>
  <si>
    <t>Brisingamen</t>
  </si>
  <si>
    <t xml:space="preserve">  George VI's Speech</t>
  </si>
  <si>
    <t xml:space="preserve">  Ariadne's Thread</t>
  </si>
  <si>
    <t xml:space="preserve">  Carmen Lucia's Ring</t>
  </si>
  <si>
    <t xml:space="preserve">  Isabella</t>
  </si>
  <si>
    <t>Pine Trees Screen</t>
  </si>
  <si>
    <t>Feather of Justice</t>
  </si>
  <si>
    <t>Daily Pack Relic #52</t>
  </si>
  <si>
    <t>Mead Poetry</t>
  </si>
  <si>
    <t>St. Patrick's Trefoil</t>
  </si>
  <si>
    <t>Charlotte's Web</t>
  </si>
  <si>
    <t xml:space="preserve">  Earthly Delight Garden</t>
  </si>
  <si>
    <t xml:space="preserve">  The Blue Marble</t>
  </si>
  <si>
    <t xml:space="preserve">  Cintamani</t>
  </si>
  <si>
    <t xml:space="preserve">  Nishijin Fabric</t>
  </si>
  <si>
    <t>The Bell of St Mura</t>
  </si>
  <si>
    <t>Ganesha Statue</t>
  </si>
  <si>
    <t>Royal Doll</t>
  </si>
  <si>
    <t>Benben</t>
  </si>
  <si>
    <t xml:space="preserve">  Head of Bhairava</t>
  </si>
  <si>
    <t>Dragonfly-woman</t>
  </si>
  <si>
    <t>Mars Rover</t>
  </si>
  <si>
    <t>Palermo Stone</t>
  </si>
  <si>
    <t>Rift Treasure Maps (5%)</t>
  </si>
  <si>
    <t>Butterball</t>
  </si>
  <si>
    <t>Ulysses</t>
  </si>
  <si>
    <t>R'lyeh Text</t>
  </si>
  <si>
    <t>Meidum Goose</t>
  </si>
  <si>
    <t>A Tale of Two Cities</t>
  </si>
  <si>
    <t>Pavlov's Bell</t>
  </si>
  <si>
    <t xml:space="preserve">  Omphalos</t>
  </si>
  <si>
    <t xml:space="preserve">  Ouroboros Mark</t>
  </si>
  <si>
    <t xml:space="preserve">  Bird on a Rock</t>
  </si>
  <si>
    <t xml:space="preserve">  La Peregrina</t>
  </si>
  <si>
    <t>Hunting Heraldry</t>
  </si>
  <si>
    <t>Sorron's Eye</t>
  </si>
  <si>
    <t>T6.5 Mutant Gene Research</t>
  </si>
  <si>
    <t>Mind Controller</t>
  </si>
  <si>
    <t>George VI's Speech</t>
  </si>
  <si>
    <t>Poetics-Aristotle</t>
  </si>
  <si>
    <t>Daily Pack Relic #54</t>
  </si>
  <si>
    <t>Young Werther's Troubles</t>
  </si>
  <si>
    <t>Thus Spoke Zarathustra</t>
  </si>
  <si>
    <t>Lottery Box Relic #23</t>
  </si>
  <si>
    <t>Hinderson's Letter</t>
  </si>
  <si>
    <t>Gulliver's Travels</t>
  </si>
  <si>
    <t xml:space="preserve">  Gregor Specimen</t>
  </si>
  <si>
    <t>Lottery Machine #1 (0.03%), Wishing (1.2%), Evolution Chest (2%)</t>
  </si>
  <si>
    <t xml:space="preserve">  Moai</t>
  </si>
  <si>
    <t xml:space="preserve">  The Prayer</t>
  </si>
  <si>
    <t xml:space="preserve">  Clytie Bust Sculpture</t>
  </si>
  <si>
    <t xml:space="preserve">  Hinderson's Letter</t>
  </si>
  <si>
    <t xml:space="preserve">  Konjaku Tale</t>
  </si>
  <si>
    <t>Old Edda</t>
  </si>
  <si>
    <t>Taketori Tale</t>
  </si>
  <si>
    <t>Tom Sawyer Adventures</t>
  </si>
  <si>
    <t xml:space="preserve">  Walking Man Statue</t>
  </si>
  <si>
    <t xml:space="preserve">  The Walking Man</t>
  </si>
  <si>
    <t xml:space="preserve">  Chidori Incense Burner</t>
  </si>
  <si>
    <t xml:space="preserve">  Hurian Songs</t>
  </si>
  <si>
    <t>Supersoldier Serum</t>
  </si>
  <si>
    <t>Xi Ping Stele Script</t>
  </si>
  <si>
    <t>Wish Box Relic #9</t>
  </si>
  <si>
    <t>Bhagavata Purana</t>
  </si>
  <si>
    <t>Dying Lioness</t>
  </si>
  <si>
    <t>Herbal Anesthetic</t>
  </si>
  <si>
    <t xml:space="preserve">  Peacock Ceramic Plate</t>
  </si>
  <si>
    <t xml:space="preserve">  The Goodbye Kiss</t>
  </si>
  <si>
    <t xml:space="preserve">  The Fifer</t>
  </si>
  <si>
    <t>Nestor's Cup</t>
  </si>
  <si>
    <t>Otis Elevator</t>
  </si>
  <si>
    <t>Diffraction Device</t>
  </si>
  <si>
    <t>Swan Neck Flask</t>
  </si>
  <si>
    <t>AMS</t>
  </si>
  <si>
    <t>Pioneer 11</t>
  </si>
  <si>
    <t>Fleming's Diode</t>
  </si>
  <si>
    <t>Diesel Engine</t>
  </si>
  <si>
    <t xml:space="preserve">  Swan Neck Flask</t>
  </si>
  <si>
    <t xml:space="preserve">  Grignard Reagent</t>
  </si>
  <si>
    <t xml:space="preserve">  Galton Board</t>
  </si>
  <si>
    <t xml:space="preserve">  DNA Microarray</t>
  </si>
  <si>
    <t>Von Neumann Arch.</t>
  </si>
  <si>
    <t>Daily Pack Relic #21</t>
  </si>
  <si>
    <t>Deep Navy Computer</t>
  </si>
  <si>
    <t>Voltaic Cell</t>
  </si>
  <si>
    <t>Quantum Radio</t>
  </si>
  <si>
    <t>Geiger Counter</t>
  </si>
  <si>
    <t>The Gate</t>
  </si>
  <si>
    <t>Daily Pack Relic #46</t>
  </si>
  <si>
    <t>Antarctic Treaty</t>
  </si>
  <si>
    <t>Microscope Illustrations</t>
  </si>
  <si>
    <t>Foucault Pendulum</t>
  </si>
  <si>
    <t xml:space="preserve">  Guillotine</t>
  </si>
  <si>
    <t>Lottery Machine #1 (0.07%), Wishing (3.1%), Soul Chest (2%), Novice Scrolls (1%)</t>
  </si>
  <si>
    <t xml:space="preserve">  Minnie Ball</t>
  </si>
  <si>
    <t>Koryeon Domain, Lottery Machine #1 (0.03%), Wish (1.2%)</t>
  </si>
  <si>
    <t xml:space="preserve">  Kay's Flying Shuttle</t>
  </si>
  <si>
    <t xml:space="preserve">  Oersted's Compass</t>
  </si>
  <si>
    <t xml:space="preserve">  Voltaic Cell</t>
  </si>
  <si>
    <t xml:space="preserve">  Adari 2600</t>
  </si>
  <si>
    <t>Marconi Telegraph</t>
  </si>
  <si>
    <t>T6.5 Mecha Gene Research</t>
  </si>
  <si>
    <t>T7.5 Mecha Gene Research</t>
  </si>
  <si>
    <t>Leyden Jar</t>
  </si>
  <si>
    <t>WIsh Box Relic #8</t>
  </si>
  <si>
    <t>Kola Peninsula Drill</t>
  </si>
  <si>
    <t>Lucky Box Reward Batch no. 15</t>
  </si>
  <si>
    <t>Zeppelin</t>
  </si>
  <si>
    <t>Daguerrotype Camera</t>
  </si>
  <si>
    <t xml:space="preserve">  Hamilton's Washer</t>
  </si>
  <si>
    <t xml:space="preserve">  M. Interferometer</t>
  </si>
  <si>
    <t xml:space="preserve">  Fleming's Diode</t>
  </si>
  <si>
    <t>Caspian Sea Monster</t>
  </si>
  <si>
    <t>Lavoisier's Bell Jar</t>
  </si>
  <si>
    <t xml:space="preserve">  Pascal's Barrel</t>
  </si>
  <si>
    <t xml:space="preserve">  Geiger Counter</t>
  </si>
  <si>
    <t xml:space="preserve">  Lion-dogs Statue</t>
  </si>
  <si>
    <t>Museum Operations Reward</t>
  </si>
  <si>
    <t xml:space="preserve">  Azoth</t>
  </si>
  <si>
    <t>Crookes Tube</t>
  </si>
  <si>
    <t>Atomic Clock</t>
  </si>
  <si>
    <t xml:space="preserve">  WHC</t>
  </si>
  <si>
    <t>Lottery Machine #3, Museum Operation Value Pack III</t>
  </si>
  <si>
    <t>Hoxne Hoard</t>
  </si>
  <si>
    <t>Cyrus Cylinder</t>
  </si>
  <si>
    <t>Holy Dragon Gem</t>
  </si>
  <si>
    <t>Arkanrok</t>
  </si>
  <si>
    <t>Urashima Taro's Box</t>
  </si>
  <si>
    <t>Crystal Skull</t>
  </si>
  <si>
    <t>Biography of a Master</t>
  </si>
  <si>
    <t>Forsman Cardiac Catheter</t>
  </si>
  <si>
    <t>Lottery Box Relic #10</t>
  </si>
  <si>
    <t>Das Rheingold</t>
  </si>
  <si>
    <t xml:space="preserve">  Sampo</t>
  </si>
  <si>
    <t xml:space="preserve">  Aulos Pipe</t>
  </si>
  <si>
    <t xml:space="preserve">  First World Cup Ticket</t>
  </si>
  <si>
    <t xml:space="preserve">  Gold Croeseid</t>
  </si>
  <si>
    <t xml:space="preserve">  Erdapfel</t>
  </si>
  <si>
    <t xml:space="preserve">  Kekule Structure</t>
  </si>
  <si>
    <t>Dragonspine Medal</t>
  </si>
  <si>
    <t>Nemean Lion's Hide</t>
  </si>
  <si>
    <t>T6.5 Dragon Gene Research</t>
  </si>
  <si>
    <t>Gertie the Dinosaur</t>
  </si>
  <si>
    <t>Higgs Boson</t>
  </si>
  <si>
    <t>Erdapfel</t>
  </si>
  <si>
    <t>Venetian Mask</t>
  </si>
  <si>
    <t>Ariadne's Thread</t>
  </si>
  <si>
    <t xml:space="preserve">  Haradric Cube</t>
  </si>
  <si>
    <t xml:space="preserve">  Im's Arrow</t>
  </si>
  <si>
    <t xml:space="preserve">  Peacock Clock</t>
  </si>
  <si>
    <t xml:space="preserve">  Dewar Flask</t>
  </si>
  <si>
    <t xml:space="preserve">  Bastet Bronze Statue</t>
  </si>
  <si>
    <t xml:space="preserve">  Das Rheingold</t>
  </si>
  <si>
    <t xml:space="preserve">  Charles's Gold Ticket</t>
  </si>
  <si>
    <t xml:space="preserve">  Twin Lions Lantern</t>
  </si>
  <si>
    <t xml:space="preserve">  Magdeberg Hemispheres</t>
  </si>
  <si>
    <t xml:space="preserve">  Nomad Flute Songs</t>
  </si>
  <si>
    <t>Nugget Awards</t>
  </si>
  <si>
    <t>Smug's Chalice</t>
  </si>
  <si>
    <t>Diety Quetzacoatl</t>
  </si>
  <si>
    <t>Celestial Throne</t>
  </si>
  <si>
    <t>Bacchus</t>
  </si>
  <si>
    <t>Silver Candlestick</t>
  </si>
  <si>
    <t>The Moon and Sixpence</t>
  </si>
  <si>
    <t xml:space="preserve">  Murders in Rue Morgue</t>
  </si>
  <si>
    <t xml:space="preserve">  Murder On The Train</t>
  </si>
  <si>
    <t xml:space="preserve">  Hagakure</t>
  </si>
  <si>
    <t xml:space="preserve">  Popol Vuh</t>
  </si>
  <si>
    <t xml:space="preserve">  Ambika Statue  </t>
  </si>
  <si>
    <t xml:space="preserve">  Moon Plum Teapot</t>
  </si>
  <si>
    <t>Tao Te Ching</t>
  </si>
  <si>
    <t>Gem Globe</t>
  </si>
  <si>
    <t>The Rose Garden</t>
  </si>
  <si>
    <t xml:space="preserve">  Celaeno Fragments</t>
  </si>
  <si>
    <t xml:space="preserve">  Indus Seal</t>
  </si>
  <si>
    <t xml:space="preserve">  Silver Treaty</t>
  </si>
  <si>
    <t xml:space="preserve">  Dream Control System</t>
  </si>
  <si>
    <t>Wheel of Taranis</t>
  </si>
  <si>
    <t>Dragon Medal</t>
  </si>
  <si>
    <t>Defeat Amelia</t>
  </si>
  <si>
    <t xml:space="preserve">  Earth Magnetic Field</t>
  </si>
  <si>
    <t>RIft Treasure Map (20%)</t>
  </si>
  <si>
    <t xml:space="preserve">  Holy Dragon Gem</t>
  </si>
  <si>
    <t xml:space="preserve">  Untitled</t>
  </si>
  <si>
    <t>Daily Silver Pack Relic #6</t>
  </si>
  <si>
    <t xml:space="preserve">  Salvator Mundi</t>
  </si>
  <si>
    <t>BASE</t>
  </si>
  <si>
    <t>(Credit FunFreddyBon)</t>
  </si>
  <si>
    <t>Base Leadership</t>
  </si>
  <si>
    <t>Starter leadership</t>
  </si>
  <si>
    <t>MAX BASE LEADERSHIP</t>
  </si>
  <si>
    <t>Pisces</t>
  </si>
  <si>
    <t>Daily Silver Pack #8</t>
  </si>
  <si>
    <t>Apollo Program</t>
  </si>
  <si>
    <t>Daily Silver Pack #11</t>
  </si>
  <si>
    <t>Lottery Machine No.1 (0.09%), Alchemy Furnace (0.08%), Grandmaster Scrolls (0.75%), Relic Forge (120)</t>
  </si>
  <si>
    <t>Lottery Machine No.2 (0.11%), Relic Forge 2 (120)</t>
  </si>
  <si>
    <t>Lottery Machine No.2 (0.11%)</t>
  </si>
  <si>
    <t>Cross of Will</t>
  </si>
  <si>
    <t>Secret Mission (Bird)</t>
  </si>
  <si>
    <t>Daily Pack #11</t>
  </si>
  <si>
    <t>Travelers Pack #4</t>
  </si>
  <si>
    <t>Badge Shop #4</t>
  </si>
  <si>
    <t>Bust of Hammurabi</t>
  </si>
  <si>
    <t>Lottery Machine No.3 (?%)</t>
  </si>
  <si>
    <t>Convention on the Rights of the Child</t>
  </si>
  <si>
    <t>Lottery Machine No.2 (?%)</t>
  </si>
  <si>
    <t>Woman at Her Toilette</t>
  </si>
  <si>
    <t>Minion Skin Lottery</t>
  </si>
  <si>
    <t>Golden Chan-hee</t>
  </si>
  <si>
    <t>4th Anniversary Event, Badge Shop (1000 medals) starting 5th year of launch</t>
  </si>
  <si>
    <t>Seated Voltaire</t>
  </si>
  <si>
    <t>Wish Relic #1</t>
  </si>
  <si>
    <t>Lottery Machine No.2(0.11%)</t>
  </si>
  <si>
    <t>Woman with a Veil</t>
  </si>
  <si>
    <t>Han Hee-Jae's Night Banquet</t>
  </si>
  <si>
    <t>Apollo &amp; Daphne</t>
  </si>
  <si>
    <t>Daily Pack #27</t>
  </si>
  <si>
    <t>Arnolfini Portrait</t>
  </si>
  <si>
    <t>Grace of Divine Dragon</t>
  </si>
  <si>
    <t>Laocoon</t>
  </si>
  <si>
    <t>The Bronze Age</t>
  </si>
  <si>
    <t>Daily Pack #31</t>
  </si>
  <si>
    <t>Water Lilies</t>
  </si>
  <si>
    <t>Travelers Relic #9</t>
  </si>
  <si>
    <t>Travelers Pack #?</t>
  </si>
  <si>
    <t>Tyet</t>
  </si>
  <si>
    <t>Golden Snail</t>
  </si>
  <si>
    <t>1st Anniversary Event, Badge Shop (1000 medals) starting 2nd year of launch</t>
  </si>
  <si>
    <t>Lottery Machine No.2 (0.11%), Rift Treasure Maps (0.01%)</t>
  </si>
  <si>
    <t>Colossus of Rhodes</t>
  </si>
  <si>
    <t>Daily Pack #24</t>
  </si>
  <si>
    <t>Jerusalem Walls</t>
  </si>
  <si>
    <t>Ra's Solar Barque</t>
  </si>
  <si>
    <t>Atenism</t>
  </si>
  <si>
    <t>Hetu Luoshu</t>
  </si>
  <si>
    <t>Primavera</t>
  </si>
  <si>
    <t>Washington Portrait</t>
  </si>
  <si>
    <t>Volsunga Saga</t>
  </si>
  <si>
    <t>Daily Golden Pack #6</t>
  </si>
  <si>
    <t>Daily Silver Pack #5</t>
  </si>
  <si>
    <t>Golden Monkey</t>
  </si>
  <si>
    <t>3rd Anniversary Event, Badge Shop (1000 medals) starting 4th year of launch</t>
  </si>
  <si>
    <t>Daily Pack #9</t>
  </si>
  <si>
    <t>Fenian Legends</t>
  </si>
  <si>
    <t>Daily Pack #34</t>
  </si>
  <si>
    <t>Anna Karenina</t>
  </si>
  <si>
    <t>The Poetics Edda</t>
  </si>
  <si>
    <t>Copper Galloping Horse</t>
  </si>
  <si>
    <t>Daily Pack #16</t>
  </si>
  <si>
    <t>The Ultimate Manual</t>
  </si>
  <si>
    <t>Lottery Machine No.3 Unlock Reward</t>
  </si>
  <si>
    <t>Daily Gold Pack #3</t>
  </si>
  <si>
    <t>Gold-plated Bird</t>
  </si>
  <si>
    <t>2nd Anniversary Event, Badge Shop (1000 medals) starting 3rd year of launch</t>
  </si>
  <si>
    <t>Lucky Clover Vendor Reward (batch 1-7)</t>
  </si>
  <si>
    <t>Star Chart Shop Maneater Pack (2000 star tickets)</t>
  </si>
  <si>
    <t>Mathematical Principles of Natural Philosophy</t>
  </si>
  <si>
    <t>Daily Pack #38</t>
  </si>
  <si>
    <t>Philosophie Zoologique</t>
  </si>
  <si>
    <t>Avogadro's Law</t>
  </si>
  <si>
    <t>Travelers Relic #5</t>
  </si>
  <si>
    <t>Webb Space Telescope</t>
  </si>
  <si>
    <t>Antimatter Thruster</t>
  </si>
  <si>
    <t>General Guide to Governance</t>
  </si>
  <si>
    <t>Wish Box Album #5</t>
  </si>
  <si>
    <t>Alexander's Anabasis</t>
  </si>
  <si>
    <t>Effect activates after conquering Bharata; Obtained from Hellas Exploration</t>
  </si>
  <si>
    <t>Certificate of Courage</t>
  </si>
  <si>
    <t>Cross of Will Mirage Reward</t>
  </si>
  <si>
    <t>Dark Lord's Dairy</t>
  </si>
  <si>
    <t>Hellenic Domain</t>
  </si>
  <si>
    <t>Father's Photo</t>
  </si>
  <si>
    <t>Laser Pig with Incense (10 shots)</t>
  </si>
  <si>
    <t>The Astrology</t>
  </si>
  <si>
    <t>Star Chart Shop Solo Relic #3 (1000 star tickets)</t>
  </si>
  <si>
    <t>Effective Manager</t>
  </si>
  <si>
    <t>Hatching Room Admin</t>
  </si>
  <si>
    <t>Athena</t>
  </si>
  <si>
    <t>Max LV = 30; Per level: +1 leadership</t>
  </si>
  <si>
    <t>TACTICAL LOGS</t>
  </si>
  <si>
    <t>Wildhammer</t>
  </si>
  <si>
    <t>Other</t>
  </si>
  <si>
    <t>Sim Shop Special Tactical Log #1</t>
  </si>
  <si>
    <t>Chief General Witte</t>
  </si>
  <si>
    <t>Dung Beetle</t>
  </si>
  <si>
    <t>Unknown Log (0.03%), Precious Log (0.86%)</t>
  </si>
  <si>
    <t>Sergeant Jurgen</t>
  </si>
  <si>
    <t>Logistics Officer Uman</t>
  </si>
  <si>
    <t>Unknown Log (0.05%), Precious Log (1.71%)</t>
  </si>
  <si>
    <t>Military Scientist</t>
  </si>
  <si>
    <t>Senator Marius</t>
  </si>
  <si>
    <t>Priest School Director</t>
  </si>
  <si>
    <t>Blade SWAT Team</t>
  </si>
  <si>
    <t>Chief's Guard</t>
  </si>
  <si>
    <t>Marshal Halder</t>
  </si>
  <si>
    <t>Engineer CDR Reinhardt</t>
  </si>
  <si>
    <t>Intel. Director Sorge</t>
  </si>
  <si>
    <t>Mech Captain Schaul</t>
  </si>
  <si>
    <t>Politician Kenshin</t>
  </si>
  <si>
    <t>Goldfish</t>
  </si>
  <si>
    <t>Samurai Gen. Kiyomasa</t>
  </si>
  <si>
    <t>Lady Nohime</t>
  </si>
  <si>
    <t>Shinpan Ujizane</t>
  </si>
  <si>
    <t>Fudai Keiji</t>
  </si>
  <si>
    <t>Grand Elder Naomasa</t>
  </si>
  <si>
    <t>Iga Leader Hanzo</t>
  </si>
  <si>
    <t>Kendo Master Jubei</t>
  </si>
  <si>
    <t>Masamune Oshu Kanrei</t>
  </si>
  <si>
    <t>Oshu Counselor Hanbei</t>
  </si>
  <si>
    <t>Witch-elect Osomatsu</t>
  </si>
  <si>
    <t>Kosa the Sohei CDR</t>
  </si>
  <si>
    <t>Tozama Daimyo Takahisa</t>
  </si>
  <si>
    <t>Spiritualist</t>
  </si>
  <si>
    <t>Surf Clam</t>
  </si>
  <si>
    <t>North Prophet Merlin</t>
  </si>
  <si>
    <t>Magic Minister</t>
  </si>
  <si>
    <t>Black Magic Professor</t>
  </si>
  <si>
    <t>Bard Dandelion</t>
  </si>
  <si>
    <t>Sleeping Witch</t>
  </si>
  <si>
    <t>Soulwalker</t>
  </si>
  <si>
    <t>Alchemist</t>
  </si>
  <si>
    <t>Dolph the Ice Blade</t>
  </si>
  <si>
    <t>Ritual of Sea Creature</t>
  </si>
  <si>
    <t>Battle Mage</t>
  </si>
  <si>
    <t>Pres. of Wiz. Council</t>
  </si>
  <si>
    <t>Michael the Big Short</t>
  </si>
  <si>
    <t>Hamster</t>
  </si>
  <si>
    <t>Finance Expert John</t>
  </si>
  <si>
    <t>Dalio the Hedge Expert</t>
  </si>
  <si>
    <t>Angel Investor Musk</t>
  </si>
  <si>
    <t>Real Estate Manager</t>
  </si>
  <si>
    <t>Container Manager</t>
  </si>
  <si>
    <t>D. P. the Chem. Giant</t>
  </si>
  <si>
    <t>Media Giant</t>
  </si>
  <si>
    <t>Night King</t>
  </si>
  <si>
    <t>Steel King</t>
  </si>
  <si>
    <t>Tech Firm Founder</t>
  </si>
  <si>
    <t>Retail Giant</t>
  </si>
  <si>
    <t>Transport Tycoon Tarago</t>
  </si>
  <si>
    <t>Heartless</t>
  </si>
  <si>
    <t>Mantis</t>
  </si>
  <si>
    <t>Iron Fist</t>
  </si>
  <si>
    <t>Chaser</t>
  </si>
  <si>
    <t>Cold Blood</t>
  </si>
  <si>
    <t>Precise Shot</t>
  </si>
  <si>
    <t>Broken World</t>
  </si>
  <si>
    <t>Demonic Swordsman</t>
  </si>
  <si>
    <t>Cult Leader</t>
  </si>
  <si>
    <t>Head of Dharma Academy</t>
  </si>
  <si>
    <t>Greenwood Hall Leader</t>
  </si>
  <si>
    <t>The Great Three of KL</t>
  </si>
  <si>
    <t>Five Sects Chief</t>
  </si>
  <si>
    <t>Northern Blade</t>
  </si>
  <si>
    <t>Southern Sword</t>
  </si>
  <si>
    <t>Space Water Bear</t>
  </si>
  <si>
    <t>Unknown Log (0.02%), Precious Log (0.51%)</t>
  </si>
  <si>
    <t>Panda Hero</t>
  </si>
  <si>
    <t>Monkey King</t>
  </si>
  <si>
    <t>Xmas Tree Bonus 2024 (1230 Draws)</t>
  </si>
  <si>
    <t>MAX TACTICAL LOGS</t>
  </si>
  <si>
    <t>ANOMALY RECORDS</t>
  </si>
  <si>
    <t>X-4</t>
  </si>
  <si>
    <t>Anomaly Record #4</t>
  </si>
  <si>
    <t>D-9</t>
  </si>
  <si>
    <t>Anomaly Record #9</t>
  </si>
  <si>
    <t>U-13</t>
  </si>
  <si>
    <t>Anomaly Record #13</t>
  </si>
  <si>
    <t>H-19</t>
  </si>
  <si>
    <t>Anomaly Record #19</t>
  </si>
  <si>
    <t>N-23</t>
  </si>
  <si>
    <t>Anomaly Record #23</t>
  </si>
  <si>
    <t>K-29</t>
  </si>
  <si>
    <t>Anomaly Record #29</t>
  </si>
  <si>
    <t>Z-33</t>
  </si>
  <si>
    <t>Anomaly Record #33</t>
  </si>
  <si>
    <t>Q-39</t>
  </si>
  <si>
    <t>Anomaly Record #39</t>
  </si>
  <si>
    <t>U-43</t>
  </si>
  <si>
    <t>Anomaly Record #43</t>
  </si>
  <si>
    <t>Y-49</t>
  </si>
  <si>
    <t>Anomaly Record #49</t>
  </si>
  <si>
    <t>B-53</t>
  </si>
  <si>
    <t>Anomaly Record #53</t>
  </si>
  <si>
    <t>J-58</t>
  </si>
  <si>
    <t>Anomaly Record #58</t>
  </si>
  <si>
    <t>O-64</t>
  </si>
  <si>
    <t>Anomaly Record #64</t>
  </si>
  <si>
    <t>R-68</t>
  </si>
  <si>
    <t>Anomaly Record #68</t>
  </si>
  <si>
    <t>M-75</t>
  </si>
  <si>
    <t>Anomaly Record #75</t>
  </si>
  <si>
    <t>T-79</t>
  </si>
  <si>
    <t>Anomaly Record #79</t>
  </si>
  <si>
    <t>U-83</t>
  </si>
  <si>
    <t>Anomaly Record #83</t>
  </si>
  <si>
    <t>C-89</t>
  </si>
  <si>
    <t>Anomaly Record #89</t>
  </si>
  <si>
    <t>MAX ANOMALY RECORDS</t>
  </si>
  <si>
    <t>Leadership</t>
  </si>
  <si>
    <t>Right Floor 1</t>
  </si>
  <si>
    <t>Right Floor 3</t>
  </si>
  <si>
    <t>Right Floor 5</t>
  </si>
  <si>
    <t>Right Floor 7</t>
  </si>
  <si>
    <t>Right Floor 9</t>
  </si>
  <si>
    <t>Right Floor 11</t>
  </si>
  <si>
    <t>Right Floor 13</t>
  </si>
  <si>
    <t>GENE RESEARCH</t>
  </si>
  <si>
    <t>Zombie Gene Mutation (T4)</t>
  </si>
  <si>
    <t>T4.5 Zombie Gene Research</t>
  </si>
  <si>
    <t>Demon Gene Mutation (T4)</t>
  </si>
  <si>
    <t>T4.5 Demon Gene Research</t>
  </si>
  <si>
    <t>Angel Gene Mutation (T4)</t>
  </si>
  <si>
    <t>T4.5 Angel Gene Research</t>
  </si>
  <si>
    <t>Mutant Gene Mutation (T4)</t>
  </si>
  <si>
    <t>T4.5 Mutant Gene Research</t>
  </si>
  <si>
    <t>Mecha Gene Mutation (T4)</t>
  </si>
  <si>
    <t>T4.5 Mecha Gene Research</t>
  </si>
  <si>
    <t>Dragon Gene Mutation (T4)</t>
  </si>
  <si>
    <t>T4.5 Dragon Gene Research</t>
  </si>
  <si>
    <t>Immortal Blood</t>
  </si>
  <si>
    <t>Blessing II</t>
  </si>
  <si>
    <t>Alien Eye</t>
  </si>
  <si>
    <t>Radio</t>
  </si>
  <si>
    <t>Dragon's Scale</t>
  </si>
  <si>
    <t>Zombie Gene Mutation (T8)</t>
  </si>
  <si>
    <t>T8.5 Zombie Gene Research</t>
  </si>
  <si>
    <t>Demon Gene Mutation (T8)</t>
  </si>
  <si>
    <t>T8.5 Demon Gene Research</t>
  </si>
  <si>
    <t>Angel Gene Mutation (T8)</t>
  </si>
  <si>
    <t>T8.5 Angel Gene Research</t>
  </si>
  <si>
    <t>Mutant Gene Mutation (T8)</t>
  </si>
  <si>
    <t>T8.5 Mutant Gene Research</t>
  </si>
  <si>
    <t>Mecha Gene Mutation (T8)</t>
  </si>
  <si>
    <t>T8.5 Mecha Gene Research</t>
  </si>
  <si>
    <t>Dragon Gene Mutation (T8)</t>
  </si>
  <si>
    <t>T8.5 Dragon Gene Research</t>
  </si>
  <si>
    <t>MAX GENE RESEARCH</t>
  </si>
  <si>
    <t>SPECIES MAPS</t>
  </si>
  <si>
    <t>Cost</t>
  </si>
  <si>
    <t>Prestige</t>
  </si>
  <si>
    <t>Swarm Grouping</t>
  </si>
  <si>
    <t>Dung Beetle Map Orange</t>
  </si>
  <si>
    <t>Pheromone Command</t>
  </si>
  <si>
    <t>Essence of Piranha</t>
  </si>
  <si>
    <t>Goldfish Map Orange</t>
  </si>
  <si>
    <t>The Big Fish Array</t>
  </si>
  <si>
    <t>Winter Legion</t>
  </si>
  <si>
    <t>Surf Clam Map Orange</t>
  </si>
  <si>
    <t>Imperial Order</t>
  </si>
  <si>
    <t>Oil Payment</t>
  </si>
  <si>
    <t>Hamster Map Orange</t>
  </si>
  <si>
    <t>Golden Chain Store</t>
  </si>
  <si>
    <t>Command the World</t>
  </si>
  <si>
    <t>Mantis Map Orange</t>
  </si>
  <si>
    <t>Top Martial Artist</t>
  </si>
  <si>
    <t>Top Overlord I</t>
  </si>
  <si>
    <t>Divine Dragon Gene Map Orange</t>
  </si>
  <si>
    <t>Top Overlord II</t>
  </si>
  <si>
    <t>Intertwined Roots</t>
  </si>
  <si>
    <t>Maneater</t>
  </si>
  <si>
    <t>Maneater Map Orange</t>
  </si>
  <si>
    <t>Overlord Blossom</t>
  </si>
  <si>
    <t>MAX SPECIES MAPS NO PRESTIGE</t>
  </si>
  <si>
    <t>TRAVELER MAPS</t>
  </si>
  <si>
    <t>The Mightiest</t>
  </si>
  <si>
    <t>Main Species</t>
  </si>
  <si>
    <t>Needs Snail Map 99/100</t>
  </si>
  <si>
    <t>Bird Strikes Back</t>
  </si>
  <si>
    <t>Needs Bird Map 99/100 Completed</t>
  </si>
  <si>
    <t>MAX TRAVELER MAPS</t>
  </si>
  <si>
    <t>WAR WEAPON</t>
  </si>
  <si>
    <t>Red+</t>
  </si>
  <si>
    <t>HULC MK II</t>
  </si>
  <si>
    <t>Red</t>
  </si>
  <si>
    <t>Species War</t>
  </si>
  <si>
    <t>Training Value Pack</t>
  </si>
  <si>
    <t>Mind Control Helmet</t>
  </si>
  <si>
    <t>Trace of Lilith</t>
  </si>
  <si>
    <t>Simulation</t>
  </si>
  <si>
    <t>Sim Value Pack</t>
  </si>
  <si>
    <t>Thermohammer</t>
  </si>
  <si>
    <t>Warhammer Log</t>
  </si>
  <si>
    <t>The Six Paths</t>
  </si>
  <si>
    <t>Sim Shop</t>
  </si>
  <si>
    <t>Legendary Nethrone Coffin</t>
  </si>
  <si>
    <t>Lottery Machine No.2; Murika Domain</t>
  </si>
  <si>
    <t>Legendary Bladden Sword</t>
  </si>
  <si>
    <t>Legendary Minerva Staff</t>
  </si>
  <si>
    <t>Legendary Pawson Claw</t>
  </si>
  <si>
    <t>Legendary Racky Cannon</t>
  </si>
  <si>
    <t>Legendary Jaden Spear</t>
  </si>
  <si>
    <t>MAX LIMIT: 6</t>
  </si>
  <si>
    <t>Hydra</t>
  </si>
  <si>
    <t>Purple</t>
  </si>
  <si>
    <t>Gamma</t>
  </si>
  <si>
    <t>30 Singularity</t>
  </si>
  <si>
    <t>Orion</t>
  </si>
  <si>
    <t>No. 8 Nebula</t>
  </si>
  <si>
    <t>Lyra</t>
  </si>
  <si>
    <t>Charealeon</t>
  </si>
  <si>
    <t>Orange</t>
  </si>
  <si>
    <t>Delta</t>
  </si>
  <si>
    <t>? Singularity</t>
  </si>
  <si>
    <t xml:space="preserve">  Forest and Pidgeons</t>
  </si>
  <si>
    <t xml:space="preserve">  Insect Chronicles</t>
  </si>
  <si>
    <t xml:space="preserve">  St. Patrick's Trefoil</t>
  </si>
  <si>
    <t xml:space="preserve">  Luther Rose</t>
  </si>
  <si>
    <t xml:space="preserve">  The Mildenhall Treasure</t>
  </si>
  <si>
    <t xml:space="preserve">  Peanut Necklace</t>
  </si>
  <si>
    <t xml:space="preserve">  Angel Bell</t>
  </si>
  <si>
    <t xml:space="preserve">  Miss Pogany</t>
  </si>
  <si>
    <t xml:space="preserve">  The Turkish Stonepeople</t>
  </si>
  <si>
    <t xml:space="preserve">  Captain Singleton</t>
  </si>
  <si>
    <t xml:space="preserve">  Rameau's Nephew</t>
  </si>
  <si>
    <t xml:space="preserve">  Napoleon's Mother</t>
  </si>
  <si>
    <t xml:space="preserve">  The Adventures of Robin Hood</t>
  </si>
  <si>
    <t xml:space="preserve">  Sigil Idol</t>
  </si>
  <si>
    <t xml:space="preserve">  Tlaloc Stone Statue</t>
  </si>
  <si>
    <t xml:space="preserve">  Parnell's Experiment</t>
  </si>
  <si>
    <t xml:space="preserve">  Skeptical Chemist</t>
  </si>
  <si>
    <t xml:space="preserve">  The Reckless Traveler</t>
  </si>
  <si>
    <t xml:space="preserve">  Ollantay</t>
  </si>
  <si>
    <t xml:space="preserve">  Golden Shoe</t>
  </si>
  <si>
    <t xml:space="preserve">  Incan Knot</t>
  </si>
  <si>
    <t xml:space="preserve">  Melancholic Boy</t>
  </si>
  <si>
    <t xml:space="preserve">  Frigg's Robe</t>
  </si>
  <si>
    <t xml:space="preserve">  The Nectar of Poetry</t>
  </si>
  <si>
    <t xml:space="preserve">  The Complete Map of the World</t>
  </si>
  <si>
    <t xml:space="preserve">  Enheduanna's Tablet</t>
  </si>
  <si>
    <t xml:space="preserve">  V8 Engine</t>
  </si>
  <si>
    <t xml:space="preserve">  Phial of Galadrial</t>
  </si>
  <si>
    <t>Gastric Pouch Relic #1 (F1-F4)</t>
  </si>
  <si>
    <t>Lottery Relic #4</t>
  </si>
  <si>
    <t xml:space="preserve">  Nugget Awards</t>
  </si>
  <si>
    <t>Home Decor Relic #2</t>
  </si>
  <si>
    <t xml:space="preserve">  San Plate</t>
  </si>
  <si>
    <t>Museum Operation Relic #?</t>
  </si>
  <si>
    <t xml:space="preserve">  Helmholtz Coil</t>
  </si>
  <si>
    <t>Lottery Relic #5</t>
  </si>
  <si>
    <t xml:space="preserve">  Crown of Thorns Reliquary</t>
  </si>
  <si>
    <t xml:space="preserve">  The Barrel of the Marquis</t>
  </si>
  <si>
    <t xml:space="preserve">  Tricolor Gold Flower Language Jewelry</t>
  </si>
  <si>
    <t xml:space="preserve">  Dresden Green</t>
  </si>
  <si>
    <t xml:space="preserve">  Lycurgus Holy Grail</t>
  </si>
  <si>
    <t xml:space="preserve">  Soma</t>
  </si>
  <si>
    <t xml:space="preserve">  Mysterioud Relic (Dragon Bowl)</t>
  </si>
  <si>
    <t xml:space="preserve">  Mysterious Relic (Ninja Bowl</t>
  </si>
  <si>
    <t xml:space="preserve">  Mysterious Relic (Mechanized Music Box)</t>
  </si>
  <si>
    <t xml:space="preserve">  Cyclops</t>
  </si>
  <si>
    <t xml:space="preserve">  Mysterious Relic (Yellow Amulet)</t>
  </si>
  <si>
    <t xml:space="preserve">  Mysterious Relic (Barted Man Book)</t>
  </si>
  <si>
    <t xml:space="preserve">  Mysterious Relic (Brown Vase)</t>
  </si>
  <si>
    <t xml:space="preserve">  Mysterious Relic (Dirt Rock)</t>
  </si>
  <si>
    <t xml:space="preserve">  Mysterious Relic (Ancient Notebook)</t>
  </si>
  <si>
    <t xml:space="preserve">  Mysterious Relic (Crystal Keeper)</t>
  </si>
  <si>
    <t>Lottery Machine No.2(1.48%), Rift Treasure Map (5%)</t>
  </si>
  <si>
    <t xml:space="preserve">  Head of Sargon</t>
  </si>
  <si>
    <t>Lottery Machine No.2(1.48%)</t>
  </si>
  <si>
    <t xml:space="preserve">  Lamassu Statue</t>
  </si>
  <si>
    <t xml:space="preserve">  Golden Snail</t>
  </si>
  <si>
    <t>1st Anniversary Event, Badge Shop (1000 medals x7) starting 2nd year of launch</t>
  </si>
  <si>
    <t xml:space="preserve">  Golden Bird</t>
  </si>
  <si>
    <t>2nd Anniversary Event, Badge Shop (1000 medals x7) starting 3rd year of launch</t>
  </si>
  <si>
    <t xml:space="preserve">  Golden Chan-hee</t>
  </si>
  <si>
    <t xml:space="preserve">  Golden Autumn</t>
  </si>
  <si>
    <t xml:space="preserve">  Leap Year Mid-Autumn Moon Letter</t>
  </si>
  <si>
    <t xml:space="preserve">  Qin Bronze Chariot</t>
  </si>
  <si>
    <t xml:space="preserve">  Four Sheep Dieties</t>
  </si>
  <si>
    <t xml:space="preserve">  Antimatter Thruster</t>
  </si>
  <si>
    <t xml:space="preserve">  Vector Engine</t>
  </si>
  <si>
    <t xml:space="preserve">  Atenism</t>
  </si>
  <si>
    <t xml:space="preserve">  Manhattan Project</t>
  </si>
  <si>
    <t xml:space="preserve">  Lu Ji's Calligraphy</t>
  </si>
  <si>
    <t xml:space="preserve">  The King in Yellow</t>
  </si>
  <si>
    <t xml:space="preserve">  Arnolfini Portrait</t>
  </si>
  <si>
    <t xml:space="preserve">  Feather of Justice</t>
  </si>
  <si>
    <t xml:space="preserve">  Chemical Bond Theory</t>
  </si>
  <si>
    <t xml:space="preserve">  Cthaat Aquadingen</t>
  </si>
  <si>
    <t xml:space="preserve">  Journey to Earth Core</t>
  </si>
  <si>
    <t>Weekly Special Relic #5</t>
  </si>
  <si>
    <t xml:space="preserve">  Ordinary Casket</t>
  </si>
  <si>
    <t xml:space="preserve">  Simarils</t>
  </si>
  <si>
    <t>Lottery Machine No.2(0.33%)</t>
  </si>
  <si>
    <t xml:space="preserve">  Kojiki</t>
  </si>
  <si>
    <t xml:space="preserve">  Zircon of Jack Hills</t>
  </si>
  <si>
    <t>Lottery Machine No.2(0.43%)</t>
  </si>
  <si>
    <t xml:space="preserve">  Metchnikoff's Notes</t>
  </si>
  <si>
    <t>Badge Shop Relic #3 (600 medals x7)</t>
  </si>
  <si>
    <t xml:space="preserve">  Phenomenology of Spirit</t>
  </si>
  <si>
    <t xml:space="preserve">  Dream Interpretation</t>
  </si>
  <si>
    <t xml:space="preserve">  Napolen's Coronation</t>
  </si>
  <si>
    <t xml:space="preserve">  Albucasis Medical Book</t>
  </si>
  <si>
    <t xml:space="preserve">  SAGE</t>
  </si>
  <si>
    <t>Star Chart Shop Minion Pack 7x</t>
  </si>
  <si>
    <t xml:space="preserve">  Mystic Mountain</t>
  </si>
  <si>
    <t>Lottery Machine No.2(0.11%), Nebula Value Pack (100$)</t>
  </si>
  <si>
    <t xml:space="preserve">  Potsdam Declaration</t>
  </si>
  <si>
    <t>Daily Gold Pack #4</t>
  </si>
  <si>
    <t xml:space="preserve">  World Cooking Contest</t>
  </si>
  <si>
    <t xml:space="preserve">  Lasker Medical Research Award</t>
  </si>
  <si>
    <t xml:space="preserve">  Negis World Record</t>
  </si>
  <si>
    <t xml:space="preserve">  Abel Prize in Mathematics</t>
  </si>
  <si>
    <t xml:space="preserve">  Grace of Divine Dragon</t>
  </si>
  <si>
    <t xml:space="preserve">  Santa Maria</t>
  </si>
  <si>
    <t xml:space="preserve">  Philosophie Zoologique</t>
  </si>
  <si>
    <t xml:space="preserve">  R'yleh Text</t>
  </si>
  <si>
    <t>Lottery Machine No.2(0.22%)</t>
  </si>
  <si>
    <t xml:space="preserve">  The Last Judgement</t>
  </si>
  <si>
    <t>Daily Pack #18</t>
  </si>
  <si>
    <t xml:space="preserve">  Louis XIV Portrait</t>
  </si>
  <si>
    <t>Lottery Machine No.2 (0.11%), Relic Forge (120 RF)</t>
  </si>
  <si>
    <t xml:space="preserve">  Bill of Rights</t>
  </si>
  <si>
    <t xml:space="preserve">  Red Algae Fossil</t>
  </si>
  <si>
    <t>Star Chart Shop Maneater Pack x7</t>
  </si>
  <si>
    <t xml:space="preserve">  Natural History</t>
  </si>
  <si>
    <t xml:space="preserve">  Jerusalem Walls</t>
  </si>
  <si>
    <t xml:space="preserve">  Battle of San Romano</t>
  </si>
  <si>
    <t xml:space="preserve">  Convention on Biological Diversity</t>
  </si>
  <si>
    <t xml:space="preserve">  Statue of John William</t>
  </si>
  <si>
    <t xml:space="preserve">  Aurelius on Horse</t>
  </si>
  <si>
    <t xml:space="preserve">  Draupnir</t>
  </si>
  <si>
    <t xml:space="preserve">  Space Elevator</t>
  </si>
  <si>
    <t xml:space="preserve">  Ram in a Thicket</t>
  </si>
  <si>
    <t xml:space="preserve">  EPR Paradox</t>
  </si>
  <si>
    <t xml:space="preserve">  Hypercube</t>
  </si>
  <si>
    <t xml:space="preserve">  Othello</t>
  </si>
  <si>
    <t xml:space="preserve">  Eden Scepter</t>
  </si>
  <si>
    <t xml:space="preserve">  Xi Ping Stele Script</t>
  </si>
  <si>
    <t>Total Leadership</t>
  </si>
  <si>
    <t>Base Output</t>
  </si>
  <si>
    <t>Awakening Output</t>
  </si>
  <si>
    <t>Base Cap</t>
  </si>
  <si>
    <t>Awakening Cap</t>
  </si>
  <si>
    <t>W-tad Generation</t>
  </si>
  <si>
    <t>Awakening W-tad Gen</t>
  </si>
  <si>
    <t>AFFECT Boost</t>
  </si>
  <si>
    <t xml:space="preserve">   Faust</t>
  </si>
  <si>
    <t>Wish Box, Lottery Machine #1 0.09%), Wishing (0.08%), Grandmaster Scrolls (0.81%), Relic Forge (120 Relic RF)</t>
  </si>
  <si>
    <t xml:space="preserve">   Golden Wheat</t>
  </si>
  <si>
    <t>Wish Pack, Lottery Machine #1 (0.09%), Wishing (0.08%), Yamato Treasure Maps (0.01%), Grandmaster Scrolls (0.81%), Relic Forge (120 Relic RF)</t>
  </si>
  <si>
    <t>Fragment Crafting (15.1%), Lottery Machine #1 (0.81%), Wishing (0.81%), Koryeo Treasure Map (5%), Relic Forge (90 Relic RF), Museum Value Pack I ($14.99)</t>
  </si>
  <si>
    <t xml:space="preserve">   Sunflowers</t>
  </si>
  <si>
    <t>Lottery Machine #1 (0.12%), Wishing (0.1%), Fungus Chest (1%), Grandmaster Scrolls (1%), Relic Forge (100 Relic RF)</t>
  </si>
  <si>
    <t xml:space="preserve">   The Song of Roland</t>
  </si>
  <si>
    <t xml:space="preserve">   Haulers on Volga</t>
  </si>
  <si>
    <t>Fragment Crafting (1.6%), Lottery Machine #1 (0.03%), Wishing (0.14%), Relic Forge (Relic RF 80), Indigent Nobleman (120K B-tads)</t>
  </si>
  <si>
    <t xml:space="preserve">   Crystal Piano</t>
  </si>
  <si>
    <t>Fragment Crafting (1.5%), Lottery Machine #1 (0.03%), Wishing (0.14%), Relic Forge (80 Relic RF), Indigent Nobleman (120K B-tads)</t>
  </si>
  <si>
    <t xml:space="preserve">   Peacock Throne</t>
  </si>
  <si>
    <t>Lottery Machine #1 (0.07%), Wishing (3%), Fungus Chest (2%), Trainee Scrolls (1%)</t>
  </si>
  <si>
    <t xml:space="preserve">   Rainbow Tadpole</t>
  </si>
  <si>
    <t>Tadpole pond after acquiring alchemy furnace</t>
  </si>
  <si>
    <t xml:space="preserve">   Gold Fishing Rod</t>
  </si>
  <si>
    <t>Defeat Assassin Eve (Racoon Storyline)</t>
  </si>
  <si>
    <t xml:space="preserve">   B-Tadpole XL</t>
  </si>
  <si>
    <t>Intercept Hitman No.16</t>
  </si>
  <si>
    <t xml:space="preserve">   Electric Fishing Net</t>
  </si>
  <si>
    <t>Bought from the Salesman</t>
  </si>
  <si>
    <t xml:space="preserve">   Kim Chi-yum</t>
  </si>
  <si>
    <t>ORGAN</t>
  </si>
  <si>
    <t xml:space="preserve">   Warp Horn</t>
  </si>
  <si>
    <t>lv20</t>
  </si>
  <si>
    <t>lv40</t>
  </si>
  <si>
    <t>MAX ORGAN</t>
  </si>
  <si>
    <t>BUBBLE FRAMES</t>
  </si>
  <si>
    <t xml:space="preserve">   Whale Power III</t>
  </si>
  <si>
    <t>5M W-tads Spent</t>
  </si>
  <si>
    <t xml:space="preserve">   Tadpole Raising</t>
  </si>
  <si>
    <t>10 Purple Talent Points</t>
  </si>
  <si>
    <t>ROBOTS</t>
  </si>
  <si>
    <t xml:space="preserve">   Pure White Doc</t>
  </si>
  <si>
    <t>Wormhole Refiner (0.03%)</t>
  </si>
  <si>
    <t>Lv5</t>
  </si>
  <si>
    <t>AVATARS</t>
  </si>
  <si>
    <t xml:space="preserve">   Mirage Avatar I Bonus</t>
  </si>
  <si>
    <t>STAMPS</t>
  </si>
  <si>
    <t xml:space="preserve">   Alexander The Great</t>
  </si>
  <si>
    <t>Lucky Stars Event Reward</t>
  </si>
  <si>
    <t xml:space="preserve">   Swan Lake</t>
  </si>
  <si>
    <t xml:space="preserve">   Lotus Chalice</t>
  </si>
  <si>
    <t>Wish Pack, Lottery Machine #1 (0.09%), Wishing (0.08%), Kemetic Treasure Chests (0.01%), Grandmaster Scrolls (0.81%), Relic Forge (120 Relic RF)</t>
  </si>
  <si>
    <t xml:space="preserve">   Ship in a Bottle</t>
  </si>
  <si>
    <t xml:space="preserve">   Parthenon Marbles</t>
  </si>
  <si>
    <t>Hellas Costume Lottery Reward</t>
  </si>
  <si>
    <t xml:space="preserve">   The Last Supper</t>
  </si>
  <si>
    <t>Fragment Crafting (18.1%), Lottery Machine #1 (0.81%), Wishing (0.68%), Relic Forge (90 Relic RF)</t>
  </si>
  <si>
    <t xml:space="preserve">   Mona Lisa</t>
  </si>
  <si>
    <t xml:space="preserve">   Golden Scarab</t>
  </si>
  <si>
    <t>Fragment Crafting (15.1%), Lottery Machine #1 (0.81%), Wishing (0.53%), Kemetic Treasure Maps (5%), Master Scrolls (6.5%), FTH Master Scrolls (31.5%), Relic Forge (90 Relic RF)</t>
  </si>
  <si>
    <t xml:space="preserve">   Tetromino</t>
  </si>
  <si>
    <t>Fragment Crafting (20.7%), Lottery Machine #1 (0.81%), Wishing (0.75%), Master Scrolls (6.5%), FAME Master Scrolls (31.5%), Relic Forge (90 Relic RF)</t>
  </si>
  <si>
    <t xml:space="preserve">   Boltzmann Brain</t>
  </si>
  <si>
    <t xml:space="preserve">   Cairo Declaration</t>
  </si>
  <si>
    <t>Fragment Crafting (4.6%), Lottery Machine #1 (0.18%), Wishing (0.17%), Grandmaster Scrolls (1.6%)</t>
  </si>
  <si>
    <t xml:space="preserve">   Leaf of Yggdrassil</t>
  </si>
  <si>
    <t xml:space="preserve">   Hammurabi Code</t>
  </si>
  <si>
    <t>Fragment Crafting (4.6%), Lottery Machine #1 (0.18%), Wishing (0.17%), Demon God Chest (5%), Grandmaster Scrolls (1.6%)</t>
  </si>
  <si>
    <t>MAX POND STAMPS</t>
  </si>
  <si>
    <t xml:space="preserve">  BLUE </t>
  </si>
  <si>
    <t xml:space="preserve">    Output</t>
  </si>
  <si>
    <t xml:space="preserve">      Kilogram Prototype</t>
  </si>
  <si>
    <t xml:space="preserve">      Aztec Calendar</t>
  </si>
  <si>
    <t xml:space="preserve">    W-tad</t>
  </si>
  <si>
    <t xml:space="preserve">      Bach Concerto</t>
  </si>
  <si>
    <t>Lottery Machine #1 (0.03%), Wishing (1.2%), Club Chest (2%)</t>
  </si>
  <si>
    <t xml:space="preserve">      Tetrabiblos</t>
  </si>
  <si>
    <t>Lottery Machine #1 (0.03%), Wishing (0.85%), Nebula Chest (2%), Peter Jr. Rent</t>
  </si>
  <si>
    <t xml:space="preserve">      Persian Star Chart</t>
  </si>
  <si>
    <t xml:space="preserve">      Hannibal's Cup</t>
  </si>
  <si>
    <t>Fragment Crafting (31%), Lottery Machine#1 (0.66%), Wishing (2.8%), Kemetic Treasure Maps (10%), Expert Scrolls (7.6%)</t>
  </si>
  <si>
    <t xml:space="preserve">      The Starry Night</t>
  </si>
  <si>
    <t>Fragment Crafting (3.9%), Lottery Machine #1 (0.08%), Wishing (0.36%), Expert Scrolls (0.95%), Nebula Chest (1.5%)</t>
  </si>
  <si>
    <t xml:space="preserve">   ORANGE</t>
  </si>
  <si>
    <t xml:space="preserve">      Morse's Telegraph</t>
  </si>
  <si>
    <t>Fragment Crafting (5.2%), Lottery Machine #1 (0.24%), Wishing (0.19%), Tool Chest (1%), Master Scrolls (1.9%), Grandmaster Scrolls (2.1%), TECH Master Scrolls (9.2%)</t>
  </si>
  <si>
    <t xml:space="preserve">      Aladdin Carpet</t>
  </si>
  <si>
    <t xml:space="preserve">      Royal Celtic Harp</t>
  </si>
  <si>
    <t>Total B-tad Output</t>
  </si>
  <si>
    <t>Total B-tad Cap</t>
  </si>
  <si>
    <t>Total W-tad Gen</t>
  </si>
  <si>
    <t>Wonder Fungus</t>
  </si>
  <si>
    <t>Awakening Wonder Fungus</t>
  </si>
  <si>
    <t xml:space="preserve">   Edict of Milan</t>
  </si>
  <si>
    <t xml:space="preserve">   The Goodbye Kiss</t>
  </si>
  <si>
    <t xml:space="preserve">   Leo's Plant</t>
  </si>
  <si>
    <t>Lottery Machine #1 (0.36%), Wishing (10.3%), Fungus Chest (2%), Trainee Scrolls (5%)</t>
  </si>
  <si>
    <t xml:space="preserve">   Portland Vase</t>
  </si>
  <si>
    <t xml:space="preserve">   Earthworm Codex</t>
  </si>
  <si>
    <t>Earth Worm Reactor (Species War Cabin) Reward</t>
  </si>
  <si>
    <t xml:space="preserve">   Isle Turnip</t>
  </si>
  <si>
    <t>Racoon Storyline</t>
  </si>
  <si>
    <t xml:space="preserve">   Mutant Fungus</t>
  </si>
  <si>
    <t>Buried in the Farm</t>
  </si>
  <si>
    <t xml:space="preserve">   Shinkage Ryu: Shift</t>
  </si>
  <si>
    <t>Yamato Domain</t>
  </si>
  <si>
    <t xml:space="preserve">   Fungus Growth</t>
  </si>
  <si>
    <t>10 Blue Talent Points</t>
  </si>
  <si>
    <t xml:space="preserve">   1001 Nights</t>
  </si>
  <si>
    <t>Wish Pack, Lottery Machine #1 (0.09%), Wishing (0.08%), Bharata Treasure Maps(%), Grandmaster Scrolls (0.81%), Relic Forge (120 Relic RF)</t>
  </si>
  <si>
    <t xml:space="preserve">   Cyrus Cylinder</t>
  </si>
  <si>
    <t xml:space="preserve">   Das Kapital</t>
  </si>
  <si>
    <t>Lottery Machine #1 (0.12%), Wishing (0.1%), Britland Treasure Maps (5%), Grandmaster Scrolls (1%), Relic Forge (100 Relic RF), beat Mr. Raccoon in combat</t>
  </si>
  <si>
    <t xml:space="preserve">   Plato's Republic</t>
  </si>
  <si>
    <t>Lottery Machine #1 (0.12%), Wishing (0.1%), Grandmaster Scrolls (1%), Relic Forge (100 Relic RF), Home Value Pack III ($14.99)</t>
  </si>
  <si>
    <t xml:space="preserve">   Pride &amp; Prejudice</t>
  </si>
  <si>
    <t xml:space="preserve">   Julian Calendar</t>
  </si>
  <si>
    <t>Fragment Crafting (5.5%), Lottery Machine #1 (0.24%), Wishing (0.2%), Master Scrolls (1.9%), Grandmaster Scrolls (2.1%), CIV Master Scrolls (10.2%)</t>
  </si>
  <si>
    <t xml:space="preserve">   Boat of St. Peter</t>
  </si>
  <si>
    <t xml:space="preserve">   Holy Loaves</t>
  </si>
  <si>
    <t>Lottery Machine #1 (0.12%), Wishing (0.08%), Evolution Chest (1%), Grandmaster Scrolls (1%), Relic Forge (100 Relic RF)</t>
  </si>
  <si>
    <t xml:space="preserve">   Forbidden Fruit</t>
  </si>
  <si>
    <t xml:space="preserve">   The Key of Solomon</t>
  </si>
  <si>
    <t>MAX FARM STAMPS</t>
  </si>
  <si>
    <t xml:space="preserve">   BLUE</t>
  </si>
  <si>
    <t xml:space="preserve">     Output</t>
  </si>
  <si>
    <t xml:space="preserve">        No. 1 Majesty</t>
  </si>
  <si>
    <t xml:space="preserve">        Requiem</t>
  </si>
  <si>
    <t>T2 Demon Gene Research</t>
  </si>
  <si>
    <t xml:space="preserve">        Genesis</t>
  </si>
  <si>
    <t>Lottery Machine #1 (0.07%), Wishing (2.1%), Club Chest (2%), Trainee Scroll (1%)</t>
  </si>
  <si>
    <t xml:space="preserve">        Klein Bottle</t>
  </si>
  <si>
    <t xml:space="preserve">     Wonder Fungus</t>
  </si>
  <si>
    <t xml:space="preserve">        Melcades' Prophecy</t>
  </si>
  <si>
    <t xml:space="preserve">        Hillary's Pickaxe</t>
  </si>
  <si>
    <t>Lottery Machine #1 (0.07%), Wishing (2.1%), Trainee Scrolls (1%)</t>
  </si>
  <si>
    <t xml:space="preserve">        Musketeer's Mask</t>
  </si>
  <si>
    <t>Lottery Machine #1 (0.36%), Wishing (10.3%), Trainee Scroll (5%)</t>
  </si>
  <si>
    <t xml:space="preserve">        Universe Bowl</t>
  </si>
  <si>
    <t xml:space="preserve">   PURPLE</t>
  </si>
  <si>
    <t xml:space="preserve">       Manneken Pis</t>
  </si>
  <si>
    <t xml:space="preserve">       Boy with Goose</t>
  </si>
  <si>
    <t xml:space="preserve">       Gene Map</t>
  </si>
  <si>
    <t xml:space="preserve">       Dolly Specimen</t>
  </si>
  <si>
    <t xml:space="preserve">       Ship in a Bottle</t>
  </si>
  <si>
    <t xml:space="preserve">       Boat of St. Peter</t>
  </si>
  <si>
    <t xml:space="preserve">       Matrix System</t>
  </si>
  <si>
    <t xml:space="preserve">       Causality</t>
  </si>
  <si>
    <t>Total Food Output</t>
  </si>
  <si>
    <t>Total Food Cap</t>
  </si>
  <si>
    <t>Total Wonder Fungus Gen</t>
  </si>
  <si>
    <t>Time Chest</t>
  </si>
  <si>
    <t>Awakening Time Chest</t>
  </si>
  <si>
    <t>Fragment Crafting (3.9%), Lottery Machine #1 (0.18%), Wishing (0.14%), Club Chest (1%), Grandmaster Scrolls (1.6%)</t>
  </si>
  <si>
    <t xml:space="preserve">   Artificial Black Hole</t>
  </si>
  <si>
    <t xml:space="preserve">   Morse's Telegraph</t>
  </si>
  <si>
    <t xml:space="preserve">   Notre Dame Bell</t>
  </si>
  <si>
    <t xml:space="preserve">   Bell's Telephone</t>
  </si>
  <si>
    <t>Fragment Crafting (1.6%), Lottery Machine #1 (0.03%), Wishes (0.14%), Relic Forge (80 Relic RF)</t>
  </si>
  <si>
    <t xml:space="preserve">   Kapa's Camera</t>
  </si>
  <si>
    <t xml:space="preserve">   Keyhole Satellite</t>
  </si>
  <si>
    <t xml:space="preserve">   Peacock Clock</t>
  </si>
  <si>
    <t>Lottery Machine #1 (0.03%), Wishing (1.2%), Bharata Treasure Maps (%), Time Chest (2%)</t>
  </si>
  <si>
    <t>Lottery Machine #1 (0.07%), Wishing (3%), Time Chest (2%), Trainee Scrolls (1%)</t>
  </si>
  <si>
    <t xml:space="preserve">   Sands of Time</t>
  </si>
  <si>
    <t>Fissure Floor 1968</t>
  </si>
  <si>
    <t xml:space="preserve">   Nuclear Fusion Battery</t>
  </si>
  <si>
    <t>Robot Guard</t>
  </si>
  <si>
    <t xml:space="preserve">   Blower</t>
  </si>
  <si>
    <t>Defeat Pepper the Butcher</t>
  </si>
  <si>
    <t xml:space="preserve">   Lee Gi-na</t>
  </si>
  <si>
    <t xml:space="preserve">   Dimension Keeper</t>
  </si>
  <si>
    <t>10 Orange Talent Points</t>
  </si>
  <si>
    <t xml:space="preserve">   Hello Boxer</t>
  </si>
  <si>
    <t xml:space="preserve">   Cathay</t>
  </si>
  <si>
    <t xml:space="preserve">   Universe Energy Cube</t>
  </si>
  <si>
    <t xml:space="preserve">   Particle Collider</t>
  </si>
  <si>
    <t>Wish Box, Lottery Machine #1 (0.09%), Wishing (0.07%), Tool Chest (0.01%), Grandmaster Scrolls (0.81%), Relic Forge (120 Relic RF)</t>
  </si>
  <si>
    <t xml:space="preserve">   Quantum Radio</t>
  </si>
  <si>
    <t xml:space="preserve">   Relativity Scripts</t>
  </si>
  <si>
    <t>Wish Box, Lottery Machine #1 (0.09%), Wishing (0.07%), Time Chest (0.01%), Grandmaster Scrolls (0.81%), Relic Forge (120 Relic RF), Indigent Nobleman (810K B-tads)</t>
  </si>
  <si>
    <t xml:space="preserve">   Matrix System</t>
  </si>
  <si>
    <t xml:space="preserve">   Edison's Kinetoscope</t>
  </si>
  <si>
    <t>Ad Shop</t>
  </si>
  <si>
    <t xml:space="preserve">   Babage Engine</t>
  </si>
  <si>
    <t xml:space="preserve">   AMS</t>
  </si>
  <si>
    <t xml:space="preserve">   CRISPR</t>
  </si>
  <si>
    <t xml:space="preserve">   Era Magazine Vol. 1</t>
  </si>
  <si>
    <t xml:space="preserve">   The School of Athens</t>
  </si>
  <si>
    <t xml:space="preserve">   Koh-i-Noor Diamond</t>
  </si>
  <si>
    <t>MAX MACHINE STAMPS</t>
  </si>
  <si>
    <t xml:space="preserve">      Star of David</t>
  </si>
  <si>
    <t>Angel Gene Research T2</t>
  </si>
  <si>
    <t xml:space="preserve">      Benin Statue</t>
  </si>
  <si>
    <t xml:space="preserve">      Chronometer</t>
  </si>
  <si>
    <t xml:space="preserve">      Sholes' Typewriter</t>
  </si>
  <si>
    <t xml:space="preserve">      Churchill's Cigar</t>
  </si>
  <si>
    <t>Lottery Machine #1 (0.07%), Wishing (3.1%), Trainee Scrolls (1%)</t>
  </si>
  <si>
    <t xml:space="preserve">      Traveler Manual</t>
  </si>
  <si>
    <t>Finish Traveler tasks (Tutorial)</t>
  </si>
  <si>
    <t xml:space="preserve">    Time Chest</t>
  </si>
  <si>
    <t xml:space="preserve">      Golden Fleece</t>
  </si>
  <si>
    <t xml:space="preserve">      Bronze Bird</t>
  </si>
  <si>
    <t xml:space="preserve">      Seismograph</t>
  </si>
  <si>
    <t xml:space="preserve">      Enigma Machine</t>
  </si>
  <si>
    <t xml:space="preserve">      Galileo's Ball</t>
  </si>
  <si>
    <t xml:space="preserve">      Armstrong's Footprint</t>
  </si>
  <si>
    <t xml:space="preserve">      Prince's Rose</t>
  </si>
  <si>
    <t>Fragment Crafting (3.7%), Lottery Machine #1 (0.8%), Wishing (0.34%), Fungus Chest (1.5%), Expert Scrolls (0.95%)</t>
  </si>
  <si>
    <t xml:space="preserve">      Artificial Black Hole</t>
  </si>
  <si>
    <t xml:space="preserve">      Particle Collider</t>
  </si>
  <si>
    <t xml:space="preserve">      Lotus Chalice</t>
  </si>
  <si>
    <t xml:space="preserve">      King Dangun Statue</t>
  </si>
  <si>
    <t xml:space="preserve">      Causality</t>
  </si>
  <si>
    <t xml:space="preserve">      Liberty Guide People</t>
  </si>
  <si>
    <t>Fragment Crafting (5.3%), Lottery Machine #1 (0.24%), Wishing (0.2%), Dragon Chest (5%), Master Scrolls (1.9%), Grandmaster Scrolls (2.1%), ART Master Scrolls (10.2%)</t>
  </si>
  <si>
    <t>Total Travel Speedup Output</t>
  </si>
  <si>
    <t>Total Travel Speedup Cap</t>
  </si>
  <si>
    <t>Total Time Chest Gen</t>
  </si>
  <si>
    <t>Ancient Lumber</t>
  </si>
  <si>
    <t>Awakening Ancient Lumber</t>
  </si>
  <si>
    <t xml:space="preserve">   Encyclopedia</t>
  </si>
  <si>
    <t xml:space="preserve">   The Decameron</t>
  </si>
  <si>
    <t xml:space="preserve">   Cavendish's Scale</t>
  </si>
  <si>
    <t xml:space="preserve">   Campbell's Sextant</t>
  </si>
  <si>
    <t>Lottery Machine #1 (0.7%), Wishing (2.6%), Tool Chest (2%), Novice Scrolls (1%)</t>
  </si>
  <si>
    <t xml:space="preserve">   Advisor Zhuge</t>
  </si>
  <si>
    <t xml:space="preserve">   Civil Engineering</t>
  </si>
  <si>
    <t xml:space="preserve">   Craftsman III</t>
  </si>
  <si>
    <t xml:space="preserve">   Turing Award</t>
  </si>
  <si>
    <t>Daily Pack Relic #26</t>
  </si>
  <si>
    <t xml:space="preserve">   Zircon of Jack Hills</t>
  </si>
  <si>
    <t xml:space="preserve">   Stockholm Declaration</t>
  </si>
  <si>
    <t xml:space="preserve">   Proclamation 95</t>
  </si>
  <si>
    <t>Fragment Crafting (15.1%), Lottery Machine #1 (0.81%), Wishing (0.53%), Master Scrolls (6.5%), FTH Master Scrolls (31.5%), Relic Forge (90 Relic RF), Rock in front of garage 999 taps, give Peter Jr. 42 0-star reviews in the same conversation</t>
  </si>
  <si>
    <t xml:space="preserve">   The Pieta</t>
  </si>
  <si>
    <t xml:space="preserve">   Ark of the Covenant</t>
  </si>
  <si>
    <t>MAX LUMBER STAMPS</t>
  </si>
  <si>
    <t xml:space="preserve">      Holmes' Pipe</t>
  </si>
  <si>
    <t xml:space="preserve">    Ancient Lumber</t>
  </si>
  <si>
    <t xml:space="preserve">      Imperial Lamp</t>
  </si>
  <si>
    <t xml:space="preserve">      Storyteller</t>
  </si>
  <si>
    <t xml:space="preserve">      Meditations</t>
  </si>
  <si>
    <t xml:space="preserve">      The Decameron</t>
  </si>
  <si>
    <t xml:space="preserve">      Nuclear Football</t>
  </si>
  <si>
    <t xml:space="preserve">      ARPAnet</t>
  </si>
  <si>
    <t xml:space="preserve">      Notre Dame Bell</t>
  </si>
  <si>
    <t xml:space="preserve">      Das Kapital</t>
  </si>
  <si>
    <t xml:space="preserve">      The School of Athens</t>
  </si>
  <si>
    <t>Total Lumber Output</t>
  </si>
  <si>
    <t>Total Lumber Cap</t>
  </si>
  <si>
    <t>Total Ancient Lumber Gen</t>
  </si>
  <si>
    <t>Ancient Fossil</t>
  </si>
  <si>
    <t>Awakening Ancient Fossil</t>
  </si>
  <si>
    <t>Fragment Crafting (4.6%), Lottery Machine (0.18%), Wishing (0.17%), Grandmaster Scrolls (1.6%)</t>
  </si>
  <si>
    <t xml:space="preserve">   David</t>
  </si>
  <si>
    <t>Fragment Crafting (4%), Lottery Machine (0.18%), Wishing (0.15%), Demon God Chest (5%), Grandmaster Scrolls (1.6%)</t>
  </si>
  <si>
    <t>Lottery Machine (0.12%), Wishing (0.1%), Grandmaster Scrolls (1%), Relic Forge (100 Relic RF)</t>
  </si>
  <si>
    <t>Fragment Crafting (15.1%), Lottery Machine (0.81%), Wishing (0.81%), Koryeo Treasure Map (5%), Relic Forge (90 Relic RF), Museum Value Pack I ($14.99)</t>
  </si>
  <si>
    <t xml:space="preserve">   Galileo's Ball</t>
  </si>
  <si>
    <t>Fragment Crafting (1.6%), Lottery Machine (0.03%), Wishing (0.14%), Relic Forge (80 Relic RF)</t>
  </si>
  <si>
    <t xml:space="preserve">   Phoenician Tablet</t>
  </si>
  <si>
    <t>Fragment Crafting (3.7%), Lottery Machine (0.8%), Wishing (0.34%), Kemetic Treasure Maps (10%), Expert Scrolls (0.95%)</t>
  </si>
  <si>
    <t xml:space="preserve">   Chronometer</t>
  </si>
  <si>
    <t>Lottery Machine (0.03%), Wishing (1.1%), Tool Chest (2%)</t>
  </si>
  <si>
    <t>Lottery Machine (0.36%), Wishing (15.5%), Novice Scrolls (5%)</t>
  </si>
  <si>
    <t xml:space="preserve">   Birdie</t>
  </si>
  <si>
    <t>Defeat Ronin Katsura</t>
  </si>
  <si>
    <t xml:space="preserve">   Ancient Snail Fossil</t>
  </si>
  <si>
    <t>Zuckie's Ad Events</t>
  </si>
  <si>
    <t xml:space="preserve">   Taoist Yu Ji</t>
  </si>
  <si>
    <t xml:space="preserve">   Surprise</t>
  </si>
  <si>
    <t xml:space="preserve">   Gaea's Hand</t>
  </si>
  <si>
    <t>Wish Pack, Lottery Machine (0.09%), Wishing (0.06%), Grandmaster Scrolls (0.81%), Relic Forge (120 Relic RF)</t>
  </si>
  <si>
    <t xml:space="preserve">   Aladdin Lamp</t>
  </si>
  <si>
    <t>Lottery Machine (0.12%), Wishing (0.08%), Grandmaster Scrolls (1%), Relic Forge (100 Relic RF), Altar Value Pack II ($49.99)</t>
  </si>
  <si>
    <t xml:space="preserve">   Mahakala Scroll</t>
  </si>
  <si>
    <t>Jinx Points Bonus Reward</t>
  </si>
  <si>
    <t xml:space="preserve">   The Argo</t>
  </si>
  <si>
    <t>Lottery Machine (0.09%), Summer Festival Sept. 1-15, 2023</t>
  </si>
  <si>
    <t>Fragment Crafting (15.1%), Lottery Machine (0.81%), Wishing (0.53%), Master Scrolls (6.5%), FTH Master Scrolls (31.5%), Relic Forge (90 Relic RF)</t>
  </si>
  <si>
    <t>Fragment Crafting (15.1%), Lottery Machine (0.81%), Wishing (0.53%), Relic Forge (90 Relic RF)</t>
  </si>
  <si>
    <t>Fragment Crafting (4.4%), Lottery Machine (0.24%), Wishing (0.16%), Demon God Chest (5%), Master Scrolls (1.9%), Grandmaster Scrolls (2.1%), FTH Master Scrolls (9.2%), Indigent Nobleman (570K B-tads)</t>
  </si>
  <si>
    <t>T7f Demon Gene Research</t>
  </si>
  <si>
    <t xml:space="preserve">   Venus de Milo</t>
  </si>
  <si>
    <t>T7 Angel Gene Research</t>
  </si>
  <si>
    <t>Fragment Crafting (18.8%), Lottery Machine (0.81%), Wishing (0.69%), Relic Forge (90 Relic RF)</t>
  </si>
  <si>
    <t xml:space="preserve">   Das Capital</t>
  </si>
  <si>
    <t>Lottery Machine (0.12%), Wishing (0.1%), Britland Treasure Maps (5%), Grandmaster Scrolls (1%), Relic Forge (100 Relic RF), beat Mr. Raccoon in combat</t>
  </si>
  <si>
    <t>Fragment Crafting (20.7%), Lottery Machine (0.81%), Wishing (0.75%), Master Scrolls (6.5%), FAME Master Scrolls (31.5%), Relic Forge (90 Relic RF)</t>
  </si>
  <si>
    <t xml:space="preserve">   Element R.</t>
  </si>
  <si>
    <t>Fragment Crafting (17.8%), Lottery Machine (0.81%), Wishing (0.65%), Relic Forge (90 Relic RF)</t>
  </si>
  <si>
    <t xml:space="preserve">   The Thinker</t>
  </si>
  <si>
    <t>Fragment Crafting (5.3%), Lottery Machine (0.24%), Wishing (0.2%), Demon God Chest (5%), Master Scrolls (1.9%), Grandmaster Scrolls (2.1%), ART Master Scrolls (10.2%)</t>
  </si>
  <si>
    <t xml:space="preserve">   Watt Steam Engine</t>
  </si>
  <si>
    <t>Lottery Machine (0.12%), Wishing (0.1%), Grandmaster Scrolls (1%), Relic Forge (100 Relic RF), Fissure Value Pack II ($49.99), Fissure Value Pack III ($99.99)</t>
  </si>
  <si>
    <t>Fragment Crafting (18.8%), Lottery Machine (0.81%), Wishing (0.69%), Super Treasure Maps (15%), Master Scrolls (6.5%), CIV Master Scrolls (34.7%), Relic Forge (90 Relic RF)</t>
  </si>
  <si>
    <t>MAX QUARRY STAMPS</t>
  </si>
  <si>
    <t xml:space="preserve">      Haradic Cube</t>
  </si>
  <si>
    <t>Lottery Machine (0.03%), Wishing (0.85%)</t>
  </si>
  <si>
    <t xml:space="preserve">      Our Lady of Kazan</t>
  </si>
  <si>
    <t>Lottery Machine (0.36%), Wishing (10.6%), Novice Scrolls (5%)</t>
  </si>
  <si>
    <t xml:space="preserve">      Chair of Busby</t>
  </si>
  <si>
    <t xml:space="preserve">    Ancient Fossil</t>
  </si>
  <si>
    <t xml:space="preserve">      Peter Pan's Flute</t>
  </si>
  <si>
    <t>Lottery Machine (0.03%), Wishing (1.2%), Britland Treasure Map (20%), Indigent Nobleman (72K B-tads)</t>
  </si>
  <si>
    <t xml:space="preserve">      Spinning Jenny</t>
  </si>
  <si>
    <t>Lottery Machine (0.36%), Wishing (13.2%), Tool Chest (2%), Novice Scroll (5%)</t>
  </si>
  <si>
    <t xml:space="preserve">      Gregor Specimin</t>
  </si>
  <si>
    <t>Lottery Machine (0.03%), Wishing (1.2%), Evolution Chest (2%)</t>
  </si>
  <si>
    <t>Fragment Crafting (3.9%), Lottery Machine (0.08%), Wishing (0.36%), Expert Scrolls (0.95%), Indigent Nobleman (120K B-tads)</t>
  </si>
  <si>
    <t>Fragment Crafting (3.8%), Lottery Machine (0.08%), Wishing (0.35%), Hellas Treasure Maps (%), Expert Scrolls (0.95%)</t>
  </si>
  <si>
    <t>Fragment Crafting (29.9%), Lottery Machine (0.66%), Wishing (2.7%), Expert Scrolls (7.6%)</t>
  </si>
  <si>
    <t xml:space="preserve">      The Scream</t>
  </si>
  <si>
    <t xml:space="preserve">      Guernica</t>
  </si>
  <si>
    <t>Fragment Crafting (1.6%), Lottery Machine (0.03%), Wishing (0.14%), Bharata Treasure Maps (%), Relic Forge (Relic RF 80)</t>
  </si>
  <si>
    <t xml:space="preserve">      Gaea's Hand</t>
  </si>
  <si>
    <t xml:space="preserve">      Unispark</t>
  </si>
  <si>
    <t>Wishing (0.07%), Koryeo Treasure Map (0.01%), Relic Forge (120 Relic RF), Parama Ex Fight, Unispark Activation Lottery</t>
  </si>
  <si>
    <t xml:space="preserve">      Iliad &amp; Odyssey</t>
  </si>
  <si>
    <t>Daily Packs</t>
  </si>
  <si>
    <t xml:space="preserve">      Arthur's Roundtable</t>
  </si>
  <si>
    <t>Total Stone Output</t>
  </si>
  <si>
    <t>Total Stone Cap</t>
  </si>
  <si>
    <t>Total Ancient Fossil Gen</t>
  </si>
  <si>
    <t>Nebula Chest</t>
  </si>
  <si>
    <t>Awakening Nebula Chest</t>
  </si>
  <si>
    <t xml:space="preserve">   Olympic Torch</t>
  </si>
  <si>
    <t xml:space="preserve">   Outer Space Treaty</t>
  </si>
  <si>
    <t xml:space="preserve">   Great Mogul Diamond</t>
  </si>
  <si>
    <t xml:space="preserve">   Narmer Palette</t>
  </si>
  <si>
    <t>Traveler's Pack Reward #3</t>
  </si>
  <si>
    <t xml:space="preserve">   Scales of Astraea</t>
  </si>
  <si>
    <t xml:space="preserve">   Indus Seal</t>
  </si>
  <si>
    <t xml:space="preserve">   Djinn Theory</t>
  </si>
  <si>
    <t>Lottery Box Relic #11</t>
  </si>
  <si>
    <t xml:space="preserve">   Mesopotamian Wheel</t>
  </si>
  <si>
    <t>Lottery Box Relic #17</t>
  </si>
  <si>
    <t xml:space="preserve">   Biography of Great Artists</t>
  </si>
  <si>
    <t>Lottery Box Relic #13</t>
  </si>
  <si>
    <t>Supreme Relic Reward</t>
  </si>
  <si>
    <t xml:space="preserve">   V8 Engine</t>
  </si>
  <si>
    <t xml:space="preserve">   The Fifer</t>
  </si>
  <si>
    <t>Lottery Box Relic #6</t>
  </si>
  <si>
    <t xml:space="preserve">   Natural History</t>
  </si>
  <si>
    <t xml:space="preserve">   Ram in a Thicket</t>
  </si>
  <si>
    <t>Daily Pack Relic #43</t>
  </si>
  <si>
    <t xml:space="preserve">   Constellations</t>
  </si>
  <si>
    <t xml:space="preserve">   Ra's Solar Barque</t>
  </si>
  <si>
    <t>Traveler's Pack #14</t>
  </si>
  <si>
    <t xml:space="preserve">   Anna Karenina</t>
  </si>
  <si>
    <t>Daily Pack Relic #49</t>
  </si>
  <si>
    <t xml:space="preserve">   Hevelius Chart</t>
  </si>
  <si>
    <t xml:space="preserve">   Messier Catalogue</t>
  </si>
  <si>
    <t xml:space="preserve">   Infin. Improb. Eng.</t>
  </si>
  <si>
    <t>MAX QUANTUM AMP STAMPS</t>
  </si>
  <si>
    <t xml:space="preserve">      Hevelius Chart</t>
  </si>
  <si>
    <t xml:space="preserve">      Mysterious Relic</t>
  </si>
  <si>
    <t xml:space="preserve">    Cap 1</t>
  </si>
  <si>
    <t xml:space="preserve">      Constellations</t>
  </si>
  <si>
    <t xml:space="preserve">      Olympic Charter</t>
  </si>
  <si>
    <t xml:space="preserve">    Cap 2</t>
  </si>
  <si>
    <t xml:space="preserve">      Energy Missile</t>
  </si>
  <si>
    <t xml:space="preserve">      Quark Model</t>
  </si>
  <si>
    <t xml:space="preserve">      MoCA</t>
  </si>
  <si>
    <t>Total Base Output</t>
  </si>
  <si>
    <t>Total Base Cap</t>
  </si>
  <si>
    <t>Total Nebula Chest</t>
  </si>
  <si>
    <t>Stamp 1</t>
  </si>
  <si>
    <t>Stamp 2</t>
  </si>
  <si>
    <t>Stamp 3</t>
  </si>
  <si>
    <t>CRIT</t>
  </si>
  <si>
    <t>CRIT DMG</t>
  </si>
  <si>
    <t>DMG</t>
  </si>
  <si>
    <t>DMG Reduc</t>
  </si>
  <si>
    <t>Hero DMG</t>
  </si>
  <si>
    <t>ELMT DMG</t>
  </si>
  <si>
    <t>Non-FAME</t>
  </si>
  <si>
    <t>Celestial Mechanics</t>
  </si>
  <si>
    <t>All ELMT DMG +15</t>
  </si>
  <si>
    <t>RUSH +9%</t>
  </si>
  <si>
    <t>CRIT DMG +9%</t>
  </si>
  <si>
    <t>Lottery Machine No. 3 (0.12%)</t>
  </si>
  <si>
    <t>Water DMG +60</t>
  </si>
  <si>
    <t>FAME +15</t>
  </si>
  <si>
    <t>Lottery Machine No. 2 (0.11%)</t>
  </si>
  <si>
    <t>ATK +6%</t>
  </si>
  <si>
    <t>CRIT DMG +6%</t>
  </si>
  <si>
    <t>Lottery Machine No. 2 (?%)</t>
  </si>
  <si>
    <t>Hero DMG +6%</t>
  </si>
  <si>
    <t>Wind DMG +30</t>
  </si>
  <si>
    <t>ATK +9%</t>
  </si>
  <si>
    <t>Lottery Machine No. 2 (0.11%), Relic Forge (120 RF)</t>
  </si>
  <si>
    <t>Ivan the Terrible</t>
  </si>
  <si>
    <t>Wind DMG +60</t>
  </si>
  <si>
    <t>DEF +9%</t>
  </si>
  <si>
    <t>DEF +6%</t>
  </si>
  <si>
    <t>ART +15</t>
  </si>
  <si>
    <t>Wish Box Relic Album #1</t>
  </si>
  <si>
    <t>RUSH +6%</t>
  </si>
  <si>
    <t>FTH +15</t>
  </si>
  <si>
    <t>CRIT +9%</t>
  </si>
  <si>
    <t>Akashic Records</t>
  </si>
  <si>
    <t>HP +9%</t>
  </si>
  <si>
    <t>DMG REDUC +6%</t>
  </si>
  <si>
    <t>The Myth of Etana</t>
  </si>
  <si>
    <t>Lottery Machine No. 3 (1.63%)</t>
  </si>
  <si>
    <t>CIV +15</t>
  </si>
  <si>
    <t>Fire DMG +60</t>
  </si>
  <si>
    <t>Fire DMG +30</t>
  </si>
  <si>
    <t>Of Human Bondage</t>
  </si>
  <si>
    <t>Earth RES +60</t>
  </si>
  <si>
    <t>Daily Pack #??</t>
  </si>
  <si>
    <t>Don Juan</t>
  </si>
  <si>
    <t>Daily Pack #40</t>
  </si>
  <si>
    <t>Frederick Portrait</t>
  </si>
  <si>
    <t>Harem Wall Painting</t>
  </si>
  <si>
    <t>Gold Pack #6</t>
  </si>
  <si>
    <t>The King in Yellow</t>
  </si>
  <si>
    <t>TECH +15</t>
  </si>
  <si>
    <t>Gold Pack #7</t>
  </si>
  <si>
    <t>Goldbach Conjecture</t>
  </si>
  <si>
    <t>Traveler's Pack #2</t>
  </si>
  <si>
    <t>Superstring Computer</t>
  </si>
  <si>
    <t>Earth DMG +60</t>
  </si>
  <si>
    <t>TVC Engine</t>
  </si>
  <si>
    <t>CRISPR</t>
  </si>
  <si>
    <t>Relic</t>
  </si>
  <si>
    <t>Slot</t>
  </si>
  <si>
    <t>Stat</t>
  </si>
  <si>
    <t>Alternatives</t>
  </si>
  <si>
    <t>Boosted</t>
  </si>
  <si>
    <t>Damage</t>
  </si>
  <si>
    <t>Troop:</t>
  </si>
  <si>
    <t>DMG%</t>
  </si>
  <si>
    <t>CRIT%</t>
  </si>
  <si>
    <t>Total</t>
  </si>
  <si>
    <t>CRIT DMG%</t>
  </si>
  <si>
    <t>Damage Per Round</t>
  </si>
  <si>
    <t>Science Magazine Vol. 1</t>
  </si>
  <si>
    <t>AFFCT Check -150</t>
  </si>
  <si>
    <t>Water RES +60</t>
  </si>
  <si>
    <t>Daily Pack #62</t>
  </si>
  <si>
    <t>The Resurrection</t>
  </si>
  <si>
    <t>Easter Event</t>
  </si>
  <si>
    <t>Water RES +30</t>
  </si>
  <si>
    <t>Lottery Machine No. 2 (0.11%), Rift Treasure Maps (0.01%)</t>
  </si>
  <si>
    <t>Tauroctony</t>
  </si>
  <si>
    <t>Daily Pack #29</t>
  </si>
  <si>
    <t>Ymir's Treasure Chest</t>
  </si>
  <si>
    <t>Lottery Machine No. 3 (0.36%)</t>
  </si>
  <si>
    <t>Bronze Goblet</t>
  </si>
  <si>
    <t>Metaphysics</t>
  </si>
  <si>
    <t>Traveler's Pack #10</t>
  </si>
  <si>
    <t>Antimatter Bomb</t>
  </si>
  <si>
    <t>Daily Silver Pack #4</t>
  </si>
  <si>
    <t>Xuanyuan Compass Chariot</t>
  </si>
  <si>
    <t>Wish Box Relic Album #??</t>
  </si>
  <si>
    <t>Photon Rocket Engine</t>
  </si>
  <si>
    <t>Enemy:</t>
  </si>
  <si>
    <t>Potsdam Declaration</t>
  </si>
  <si>
    <t>Crit DMG +9%</t>
  </si>
  <si>
    <t>Louis XIV Portrait</t>
  </si>
  <si>
    <t>Hunter in the Snow</t>
  </si>
  <si>
    <t>Daily Pack #17</t>
  </si>
  <si>
    <t>Four-goat Square Zun</t>
  </si>
  <si>
    <t>Lottery Machine No.3 (0.12%)</t>
  </si>
  <si>
    <t>Talos' Bronze Gears</t>
  </si>
  <si>
    <t>Wind RES +60</t>
  </si>
  <si>
    <t>Phase-Shift Spatial Gate</t>
  </si>
  <si>
    <t>Daily Pack #46</t>
  </si>
  <si>
    <t>Capsian Sea Monster</t>
  </si>
  <si>
    <t>Lottery Machine No.3 (0.48%)</t>
  </si>
  <si>
    <t>Book of Five Rings</t>
  </si>
  <si>
    <t>Lucy the Ape</t>
  </si>
  <si>
    <t>Lottery Machine No.2 (0.11%), Wish Box #1</t>
  </si>
  <si>
    <t>AFFCT Checks -150</t>
  </si>
  <si>
    <t>Ra-Hotep Couple</t>
  </si>
  <si>
    <t>Daily Packs #48</t>
  </si>
  <si>
    <t>Suger's Eagle</t>
  </si>
  <si>
    <t>Daily Packs #15</t>
  </si>
  <si>
    <t>Wish Box Relic Album</t>
  </si>
  <si>
    <t>Throne of St. Peter</t>
  </si>
  <si>
    <t>Lottery Machine No.2 (0.12%), Relic Forge (120 RF)</t>
  </si>
  <si>
    <t>Epitaph of Sikelos</t>
  </si>
  <si>
    <t>Trajan's Column</t>
  </si>
  <si>
    <t>HP +6%</t>
  </si>
  <si>
    <t>Lottery Machine No.2 (?%), Rift Treasure Maps (5%)</t>
  </si>
  <si>
    <t>Rods from God</t>
  </si>
  <si>
    <t>DIffraction Device</t>
  </si>
  <si>
    <t>Pillars of Creation</t>
  </si>
  <si>
    <t>WHC</t>
  </si>
  <si>
    <r>
      <rPr>
        <rFont val="Calibri, sans-serif"/>
        <color rgb="FFFF0000"/>
        <sz val="12.0"/>
      </rPr>
      <t xml:space="preserve">Lottery Machine No. 3 (?%), </t>
    </r>
    <r>
      <rPr>
        <rFont val="Calibri, sans-serif"/>
        <color rgb="FF1A1A1A"/>
        <sz val="12.0"/>
      </rPr>
      <t>Museum Operations Value Pack III</t>
    </r>
  </si>
  <si>
    <t>Herma of Pericles</t>
  </si>
  <si>
    <t>Daily Pack #19</t>
  </si>
  <si>
    <t>WInd DMG +60</t>
  </si>
  <si>
    <t>Daily Packs #53</t>
  </si>
  <si>
    <t>Book of Exodus</t>
  </si>
  <si>
    <t>Traveler's Pack #7</t>
  </si>
  <si>
    <t>Daily Silver Pack #7</t>
  </si>
  <si>
    <t>History of Animals</t>
  </si>
  <si>
    <t>Squence Value Pack III</t>
  </si>
  <si>
    <t>Daily Pack #13</t>
  </si>
  <si>
    <t>Qin Bronze Chariot</t>
  </si>
  <si>
    <t>Remains of Sipán Lord</t>
  </si>
  <si>
    <t>Lottery Machine No. 3 (0.24%)</t>
  </si>
  <si>
    <t>Hypercube</t>
  </si>
  <si>
    <t>Wish Box Relic Album #11</t>
  </si>
  <si>
    <t>Lottery Machine No.2 (?%), Relic Forge (120 RF)</t>
  </si>
  <si>
    <t/>
  </si>
  <si>
    <t>Minion Sim</t>
  </si>
  <si>
    <t>Sub AFFCT</t>
  </si>
  <si>
    <t>Utopia</t>
  </si>
  <si>
    <t>HARD +3%</t>
  </si>
  <si>
    <t>L'Art de la Guerre</t>
  </si>
  <si>
    <t>Wish Box Relic Album #3</t>
  </si>
  <si>
    <t>Locarno Treaties</t>
  </si>
  <si>
    <t>Lottery Machine No. 3 (0.48%)</t>
  </si>
  <si>
    <t>Bronze Longhu Cup</t>
  </si>
  <si>
    <t>DMG +6%</t>
  </si>
  <si>
    <t>Lottery Machine No. 2 (0.12%), Relic Forge (120 RF)</t>
  </si>
  <si>
    <t>The Persistent Memory</t>
  </si>
  <si>
    <t>Antigone</t>
  </si>
  <si>
    <t>Regen +1200</t>
  </si>
  <si>
    <t>Arthur's Christmas Crown</t>
  </si>
  <si>
    <t>Christmas 2025 Event</t>
  </si>
  <si>
    <t>Talmud</t>
  </si>
  <si>
    <t>Daily Pack #25</t>
  </si>
  <si>
    <t>Investiture of Gods</t>
  </si>
  <si>
    <t>Golden Key Award</t>
  </si>
  <si>
    <t>SSB Trophy</t>
  </si>
  <si>
    <t>Riemann Hypothesis</t>
  </si>
  <si>
    <t>Lottery Machine No. 2 (?%), Relic Forge (120 RF)</t>
  </si>
  <si>
    <t>Big Bang Theory</t>
  </si>
  <si>
    <t>HP Regen +9%</t>
  </si>
  <si>
    <t>Daily Pack #28</t>
  </si>
  <si>
    <t>SAGE</t>
  </si>
  <si>
    <t>Exploration Egg</t>
  </si>
  <si>
    <t>Plants &amp; Birds</t>
  </si>
  <si>
    <t>Efficiency +30%</t>
  </si>
  <si>
    <t>Blue -&gt; Purple +6%</t>
  </si>
  <si>
    <t>Exploration Egg (0.08%)</t>
  </si>
  <si>
    <t>St. Matthew's Passion</t>
  </si>
  <si>
    <t>Green -&gt; Blue 6%</t>
  </si>
  <si>
    <t>Purple -&gt; Orange 3%</t>
  </si>
  <si>
    <t>Coronation of Napoleon</t>
  </si>
  <si>
    <t>Green -&gt; Blue +6%</t>
  </si>
  <si>
    <t>The Magic Flute</t>
  </si>
  <si>
    <t>Agamemnon Ambassadors</t>
  </si>
  <si>
    <t>Green -&gt; Blue 1%</t>
  </si>
  <si>
    <t>Lottery Machine No. 3 (?%)</t>
  </si>
  <si>
    <t>Lucky Egg</t>
  </si>
  <si>
    <t>World Hawk</t>
  </si>
  <si>
    <t>Lucky Egg (0.08%)</t>
  </si>
  <si>
    <t>Die Traumdeutung</t>
  </si>
  <si>
    <t>Basic Chemistry</t>
  </si>
  <si>
    <t>Spirit Phenomenology</t>
  </si>
  <si>
    <t>Wishing Egg</t>
  </si>
  <si>
    <t>Stray Birds</t>
  </si>
  <si>
    <t>Wishing Egg (0.08%)</t>
  </si>
  <si>
    <t>Poetics Edda</t>
  </si>
  <si>
    <t>Confessiones</t>
  </si>
  <si>
    <t>Hamlet</t>
  </si>
  <si>
    <t>100 Years of Solitude</t>
  </si>
  <si>
    <t>Turkic Stone People</t>
  </si>
  <si>
    <t>Offering Egg</t>
  </si>
  <si>
    <t>Luan Feather</t>
  </si>
  <si>
    <t>Offering Egg (0.08%)</t>
  </si>
  <si>
    <t>Bacio di Guida</t>
  </si>
  <si>
    <t>The Triumph of Bacchus</t>
  </si>
  <si>
    <t>Tain Bó Cúailnge</t>
  </si>
  <si>
    <t>Nicholas's Testament</t>
  </si>
  <si>
    <t>Forest Sanctum</t>
  </si>
  <si>
    <t>Alfred Statue</t>
  </si>
  <si>
    <t>Three Days to See</t>
  </si>
  <si>
    <t>Boy with a Pipe</t>
  </si>
  <si>
    <t>Lottery Machine No. 3 (0.11%)</t>
  </si>
  <si>
    <t>Vairocana Statue</t>
  </si>
  <si>
    <t>Weekly Special Reward #7</t>
  </si>
  <si>
    <t>Owl Stele</t>
  </si>
  <si>
    <t>Value Pack, Relic Forge (120 RF)</t>
  </si>
  <si>
    <t>CEDAW</t>
  </si>
  <si>
    <t>Earth Size Fix</t>
  </si>
  <si>
    <t>Traveler's Pack #11</t>
  </si>
  <si>
    <t>Frost Sanctum</t>
  </si>
  <si>
    <t>Head of Hammurabi</t>
  </si>
  <si>
    <t>Water Lillies</t>
  </si>
  <si>
    <t>Traveler's Pack #9</t>
  </si>
  <si>
    <t>Adoration of Shepards</t>
  </si>
  <si>
    <t>Temple Pediment</t>
  </si>
  <si>
    <t>The High Priestess</t>
  </si>
  <si>
    <t>Weekly Event Pack Privilege Purchase</t>
  </si>
  <si>
    <t>Treatise on the Great</t>
  </si>
  <si>
    <t>Daily Silver Pack #10</t>
  </si>
  <si>
    <t>Euphronios Krater</t>
  </si>
  <si>
    <t>Kaleido Valley Shop</t>
  </si>
  <si>
    <t>Johann Wilhelm's Statue</t>
  </si>
  <si>
    <t>M-Theory</t>
  </si>
  <si>
    <t>Desert Sanctum</t>
  </si>
  <si>
    <t>Celebrity Biography</t>
  </si>
  <si>
    <t>Hans Christian Andersen Award</t>
  </si>
  <si>
    <t>Daily Pack Relic #60</t>
  </si>
  <si>
    <t>The Battle of San Romano</t>
  </si>
  <si>
    <t>Crazy Horse Memorial</t>
  </si>
  <si>
    <t>Kaleido Valley Fortune Teller Reward</t>
  </si>
  <si>
    <t>Flying Horse of Gansu</t>
  </si>
  <si>
    <t>Poincare Conjecture</t>
  </si>
  <si>
    <t>Daily Pack Relic #33</t>
  </si>
  <si>
    <t>Swamp Sanctum</t>
  </si>
  <si>
    <t>Faberge Egg</t>
  </si>
  <si>
    <t>Traveler's Pack #12</t>
  </si>
  <si>
    <t>Pnakotic Manuscripts</t>
  </si>
  <si>
    <t>Fenian Cycle</t>
  </si>
  <si>
    <t>Daily Pack Relic #34</t>
  </si>
  <si>
    <t>Apollo Lunar Module</t>
  </si>
  <si>
    <t>Weekly Special Reward #6</t>
  </si>
  <si>
    <t>Prairie Sanctum</t>
  </si>
  <si>
    <t>Guinness World Records</t>
  </si>
  <si>
    <t>Guiguzi Descends the Mountain</t>
  </si>
  <si>
    <t>Serenade for Strings in G Major</t>
  </si>
  <si>
    <t>Daily Pack Relic #56</t>
  </si>
  <si>
    <t>Burghers of Calais</t>
  </si>
  <si>
    <t>The Grand Odalisque</t>
  </si>
  <si>
    <t>Traveler's Pack #?</t>
  </si>
  <si>
    <t>Crown of Thorns</t>
  </si>
  <si>
    <t>Philosophy Meditations</t>
  </si>
  <si>
    <t>Daily Pack Relic #30</t>
  </si>
  <si>
    <t>The Principia</t>
  </si>
  <si>
    <t>Daily Pack Relic #38</t>
  </si>
  <si>
    <t>Wood Cost</t>
  </si>
  <si>
    <t>Awakening Wood Cost</t>
  </si>
  <si>
    <t>Stone Cost</t>
  </si>
  <si>
    <t>Awakening Stone Cost</t>
  </si>
  <si>
    <t>TADPOLE POND</t>
  </si>
  <si>
    <t>Golden Finger</t>
  </si>
  <si>
    <t>Epic of Gilgamesh</t>
  </si>
  <si>
    <t>Fragment Crafting (4.1%), Lottery Machine #1 (0.18%), Wishing (0.15%), Dragon Chest (5%), Grandmaster Scrolls (1.5%)</t>
  </si>
  <si>
    <t>Haulers on Volga</t>
  </si>
  <si>
    <t>Fragment Crafting (1.6%), Lottery Machine #1 (0.03%), Wishing (0.14%), Relic Forge (Relic RF 80)</t>
  </si>
  <si>
    <t>San Plate</t>
  </si>
  <si>
    <t>Observatory</t>
  </si>
  <si>
    <t>Boy with Goose</t>
  </si>
  <si>
    <t>MAX TADPOLE POND</t>
  </si>
  <si>
    <t>FUNGUS FARM</t>
  </si>
  <si>
    <t>Fuchun Mountains</t>
  </si>
  <si>
    <t>Rosetta Stone</t>
  </si>
  <si>
    <t>MAX FUNGUS FARM</t>
  </si>
  <si>
    <t>TIME MACHINE</t>
  </si>
  <si>
    <t>Bell's Telephone</t>
  </si>
  <si>
    <t>MAX TIME MACHINE</t>
  </si>
  <si>
    <t>LUMBER CAMP</t>
  </si>
  <si>
    <t>The Tales of Genji</t>
  </si>
  <si>
    <t>Fragment Crafting (18.8%), Lottery Machine #1 (0.81%), Wishing (0.69%), Yamato Treasure Map (5%), Master Scroll (6.5%), CIV Master Scroll (37.5%), Relic Forge (90 Relic RF)</t>
  </si>
  <si>
    <t>MAX LUMBER CAMP</t>
  </si>
  <si>
    <t>QUARRY</t>
  </si>
  <si>
    <t>Killing Stone</t>
  </si>
  <si>
    <t>Musician Figure</t>
  </si>
  <si>
    <t>MAX QUARRY</t>
  </si>
  <si>
    <t>QUANTUM AMP</t>
  </si>
  <si>
    <t>Almagest</t>
  </si>
  <si>
    <t>MAX QUANTUM AMP</t>
  </si>
  <si>
    <t>White -&gt; Green</t>
  </si>
  <si>
    <t>Green -&gt; Blue</t>
  </si>
  <si>
    <t>Blue -&gt; Purple</t>
  </si>
  <si>
    <t>Purple -&gt; Orange</t>
  </si>
  <si>
    <t xml:space="preserve">  Lotus Chalice</t>
  </si>
  <si>
    <t>Wish Box, Lottery Machine #1 (0.09%), Wishing (0.08%), Kemetic Treasure Chests (0.01%), Grandmaster Scrolls (0.81%), Relic Forge (120 Relic RF)</t>
  </si>
  <si>
    <t xml:space="preserve">  Mahakala Scroll</t>
  </si>
  <si>
    <t xml:space="preserve">  Ode to Joy</t>
  </si>
  <si>
    <t xml:space="preserve">  Swan Lake</t>
  </si>
  <si>
    <t xml:space="preserve">  Truth Crystal</t>
  </si>
  <si>
    <t xml:space="preserve">  Nocturnes</t>
  </si>
  <si>
    <t xml:space="preserve">  Color Bead No. 6</t>
  </si>
  <si>
    <t>It Takes 5 minigame</t>
  </si>
  <si>
    <t xml:space="preserve">  Spirit Bead</t>
  </si>
  <si>
    <t>Defeat Deity Taiyi</t>
  </si>
  <si>
    <t xml:space="preserve">  Golden Ball Award</t>
  </si>
  <si>
    <t>Domain Avatar Score Reward</t>
  </si>
  <si>
    <t xml:space="preserve">  Deep Navy Computer</t>
  </si>
  <si>
    <t xml:space="preserve">  Kepler Telescope</t>
  </si>
  <si>
    <t>Weekly Special Relic #1</t>
  </si>
  <si>
    <t xml:space="preserve">  Nautilus</t>
  </si>
  <si>
    <t xml:space="preserve">  AH602</t>
  </si>
  <si>
    <t>Lottery Machine #2 (0.12%), Relic Forge (120 RF), 120 Objects Shot Down Reward</t>
  </si>
  <si>
    <t xml:space="preserve">  5th Element</t>
  </si>
  <si>
    <t xml:space="preserve">  Dyson Sphere</t>
  </si>
  <si>
    <t xml:space="preserve">  Tesla Coil</t>
  </si>
  <si>
    <t xml:space="preserve">  The Starry Night</t>
  </si>
  <si>
    <t xml:space="preserve">  Voynich Script</t>
  </si>
  <si>
    <t xml:space="preserve">  Corinthian Pillar</t>
  </si>
  <si>
    <t xml:space="preserve">  Gordian Knot</t>
  </si>
  <si>
    <t xml:space="preserve">  Throne of Pope</t>
  </si>
  <si>
    <t>Lottery Machine #1 (0.36%), Wishing (10.6%), Novice Scrolls (5%)</t>
  </si>
  <si>
    <t xml:space="preserve">  Sleeping Gypsy</t>
  </si>
  <si>
    <t xml:space="preserve">  Pumpkin Coach</t>
  </si>
  <si>
    <t xml:space="preserve">  Penicillin Sample</t>
  </si>
  <si>
    <t xml:space="preserve">  Faraday's Dynamo</t>
  </si>
  <si>
    <t xml:space="preserve">  Klein Bottle</t>
  </si>
  <si>
    <t xml:space="preserve">  Spinning Jenny</t>
  </si>
  <si>
    <t xml:space="preserve">  Nito UR</t>
  </si>
  <si>
    <t xml:space="preserve">  Jewelry Expert</t>
  </si>
  <si>
    <t>5 Purple Talent Points</t>
  </si>
  <si>
    <t xml:space="preserve">  Jewelry Master</t>
  </si>
  <si>
    <t>5 Orange Talent Points</t>
  </si>
  <si>
    <t xml:space="preserve">  Fire Slug's Eye</t>
  </si>
  <si>
    <t xml:space="preserve">  Revelation Hall</t>
  </si>
  <si>
    <t>Totals</t>
  </si>
  <si>
    <t>Tomb Guardian</t>
  </si>
  <si>
    <t>Minion Base Stats Growth Factor Multiplier</t>
  </si>
  <si>
    <t>Minion Total Base Stats</t>
  </si>
  <si>
    <t>Growth Factor</t>
  </si>
  <si>
    <t>Non-Dragon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</si>
  <si>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</si>
  <si>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</si>
  <si>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</si>
  <si>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</si>
  <si>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</si>
  <si>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</si>
  <si>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</si>
  <si>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</si>
  <si>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</si>
  <si>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Undead Turtle</t>
  </si>
  <si>
    <t>HARD SUM</t>
  </si>
  <si>
    <t>Wraith</t>
  </si>
  <si>
    <t>Mummy</t>
  </si>
  <si>
    <t>Baby Bud</t>
  </si>
  <si>
    <t>Ironball Thrower</t>
  </si>
  <si>
    <t>Nightmare Steed</t>
  </si>
  <si>
    <t>Imp</t>
  </si>
  <si>
    <t>Berserker</t>
  </si>
  <si>
    <t>Vampire</t>
  </si>
  <si>
    <t>Koryeon Snail</t>
  </si>
  <si>
    <t>Stan</t>
  </si>
  <si>
    <t>Catcolyte</t>
  </si>
  <si>
    <t>Sanctum Warrior</t>
  </si>
  <si>
    <t>Gaiastapo</t>
  </si>
  <si>
    <t>Chika</t>
  </si>
  <si>
    <t>Minorino</t>
  </si>
  <si>
    <t>Demonic Tentacle</t>
  </si>
  <si>
    <t>Little Monk</t>
  </si>
  <si>
    <t>Roachikun</t>
  </si>
  <si>
    <t>Mechanic</t>
  </si>
  <si>
    <t>Wood Golem</t>
  </si>
  <si>
    <t>Keyboard Warrior</t>
  </si>
  <si>
    <t>Snail Mech</t>
  </si>
  <si>
    <t>NeuroMecha</t>
  </si>
  <si>
    <t>Drawn Dragon</t>
  </si>
  <si>
    <t>Slug Dragonling</t>
  </si>
  <si>
    <t>Nanosaur</t>
  </si>
  <si>
    <t>Frost Drake</t>
  </si>
  <si>
    <t>Jaden Embryo</t>
  </si>
  <si>
    <t>Partner</t>
  </si>
  <si>
    <t>Son of Will</t>
  </si>
  <si>
    <t>Specialty</t>
  </si>
  <si>
    <t>Starting Skill</t>
  </si>
  <si>
    <t>Target</t>
  </si>
  <si>
    <t>Manual Cost</t>
  </si>
  <si>
    <t>Partner Level</t>
  </si>
  <si>
    <t>Kim Chi-yum</t>
  </si>
  <si>
    <t>Toraemon</t>
  </si>
  <si>
    <t>Leeku</t>
  </si>
  <si>
    <t>Prince Nerd</t>
  </si>
  <si>
    <t>Ghost Zadako</t>
  </si>
  <si>
    <t>Sewer Turtle</t>
  </si>
  <si>
    <t>Nito UR</t>
  </si>
  <si>
    <t>Babyeater</t>
  </si>
  <si>
    <t>Big Gal Park</t>
  </si>
  <si>
    <t>Red Doe</t>
  </si>
  <si>
    <t>Sleuth Doom</t>
  </si>
  <si>
    <t>Neandergal</t>
  </si>
  <si>
    <t>Fallen Noble</t>
  </si>
  <si>
    <t>Chichikaka</t>
  </si>
  <si>
    <t>Lee Gi-na</t>
  </si>
  <si>
    <t>Demon Chan-hee</t>
  </si>
  <si>
    <t>Female Daemon</t>
  </si>
  <si>
    <t>Jiro Toyato</t>
  </si>
  <si>
    <t>Zhuge Liang</t>
  </si>
  <si>
    <t>Peter Jr.</t>
  </si>
  <si>
    <t>Taoist Yu Ji</t>
  </si>
  <si>
    <t>Mosasaur</t>
  </si>
  <si>
    <t>Slug Dragon Tutor</t>
  </si>
  <si>
    <t>Must-Not-Name</t>
  </si>
  <si>
    <t>Dragoness Hub</t>
  </si>
  <si>
    <t>Research Level</t>
  </si>
  <si>
    <t>Total Research</t>
  </si>
  <si>
    <t>T5 -&gt; T6 Research</t>
  </si>
  <si>
    <t>T6 -&gt; T7 Research</t>
  </si>
  <si>
    <t>T7 -&gt; T8 Research</t>
  </si>
  <si>
    <t>1A - HP Up III</t>
  </si>
  <si>
    <t>Time</t>
  </si>
  <si>
    <t>Cells</t>
  </si>
  <si>
    <t>Btads</t>
  </si>
  <si>
    <t>DNA Points</t>
  </si>
  <si>
    <t>1A - Troop DEF Up III</t>
  </si>
  <si>
    <t>Time (hours)</t>
  </si>
  <si>
    <t>1A - HP Up IV</t>
  </si>
  <si>
    <t>Time (days)</t>
  </si>
  <si>
    <t>Snail HP +60</t>
  </si>
  <si>
    <t>Per 30 Minions, Troop DEF +9</t>
  </si>
  <si>
    <t>Snail HP +180</t>
  </si>
  <si>
    <t>Snail HP +140</t>
  </si>
  <si>
    <t>Per 30 Minions, Troop DEF +18</t>
  </si>
  <si>
    <t>Snail HP +390</t>
  </si>
  <si>
    <t>Snail HP +240</t>
  </si>
  <si>
    <t>Per 30 Minions, Troop DEF +27</t>
  </si>
  <si>
    <t>Snail HP +630</t>
  </si>
  <si>
    <t>Snail HP +360</t>
  </si>
  <si>
    <t>Per 30 Minions, Troop DEF +36</t>
  </si>
  <si>
    <t>Snail HP +900</t>
  </si>
  <si>
    <t>Snail HP +500</t>
  </si>
  <si>
    <t>Per 30 Minions, Troop DEF +45</t>
  </si>
  <si>
    <t>Snail HP +1200</t>
  </si>
  <si>
    <t>Snail HP +660</t>
  </si>
  <si>
    <t>Per 30 Minions, Troop DEF +54</t>
  </si>
  <si>
    <t>Snail HP +1530</t>
  </si>
  <si>
    <t>Snail HP +840</t>
  </si>
  <si>
    <t>Per 30 Minions, Troop DEF +63</t>
  </si>
  <si>
    <t>Snail HP +1890</t>
  </si>
  <si>
    <t>Snail HP +1,040</t>
  </si>
  <si>
    <t>Per 30 Minions, Troop DEF +72</t>
  </si>
  <si>
    <t>Snail HP +2280</t>
  </si>
  <si>
    <t>Snail HP +1,260</t>
  </si>
  <si>
    <t>Per 30 Minions, Troop DEF +81</t>
  </si>
  <si>
    <t>Snail HP +2700</t>
  </si>
  <si>
    <t>Snail HP +1,500</t>
  </si>
  <si>
    <t>Per 30 Minions, Troop DEF +90</t>
  </si>
  <si>
    <t>Snail HP +3150</t>
  </si>
  <si>
    <t>1B - ATK Up III</t>
  </si>
  <si>
    <t>1B - Troop RUSH Up III</t>
  </si>
  <si>
    <t>1B - ATK Up IV</t>
  </si>
  <si>
    <t>Snail ATK +12</t>
  </si>
  <si>
    <t>Per 30 Minions, Troop RUSH +9</t>
  </si>
  <si>
    <t>Snail ATK +36</t>
  </si>
  <si>
    <t>Snail ATK +28</t>
  </si>
  <si>
    <t>Per 30 Minions, Troop RUSH +18</t>
  </si>
  <si>
    <t>Snail ATK +78</t>
  </si>
  <si>
    <t>Snail ATK +48</t>
  </si>
  <si>
    <t>Per 30 Minions, Troop RUSH +27</t>
  </si>
  <si>
    <t>Snail ATK +126</t>
  </si>
  <si>
    <t>Snail ATK +72</t>
  </si>
  <si>
    <t>Per 30 Minions, Troop RUSH +36</t>
  </si>
  <si>
    <t>Snail ATK +180</t>
  </si>
  <si>
    <t>Snail ATK +100</t>
  </si>
  <si>
    <t>Per 30 Minions, Troop RUSH +45</t>
  </si>
  <si>
    <t>Snail ATK +240</t>
  </si>
  <si>
    <t>Snail ATK +132</t>
  </si>
  <si>
    <t>Per 30 Minions, Troop RUSH +54</t>
  </si>
  <si>
    <t>Snail ATK +306</t>
  </si>
  <si>
    <t>Snail ATK +168</t>
  </si>
  <si>
    <t>Per 30 Minions, Troop RUSH +63</t>
  </si>
  <si>
    <t>Snail ATK +378</t>
  </si>
  <si>
    <t>Snail ATK +208</t>
  </si>
  <si>
    <t>Per 30 Minions, Troop RUSH +72</t>
  </si>
  <si>
    <t>Snail ATK +456</t>
  </si>
  <si>
    <t>Snail ATK +252</t>
  </si>
  <si>
    <t>Per 30 Minions, Troop RUSH +81</t>
  </si>
  <si>
    <t>Snail ATK +540</t>
  </si>
  <si>
    <t>Snail ATK +300</t>
  </si>
  <si>
    <t>Per 30 Minions, Troop RUSH +90</t>
  </si>
  <si>
    <t>Snail ATK +630</t>
  </si>
  <si>
    <t>1C - AFFCT Up III</t>
  </si>
  <si>
    <t>1C - Troop HARD Up III</t>
  </si>
  <si>
    <t>1C - AFFCT Up IV</t>
  </si>
  <si>
    <t>AFFCT +30</t>
  </si>
  <si>
    <t>Per 30 Minions, Troop HARD +3</t>
  </si>
  <si>
    <t>AFFCT +60</t>
  </si>
  <si>
    <t>AFFCT +70</t>
  </si>
  <si>
    <t>Per 30 Minions, Troop HARD +6</t>
  </si>
  <si>
    <t>AFFCT +130</t>
  </si>
  <si>
    <t>AFFCT +120</t>
  </si>
  <si>
    <t>Per 30 Minions, Troop HARD +9</t>
  </si>
  <si>
    <t>AFFCT +210</t>
  </si>
  <si>
    <t>AFFCT +180</t>
  </si>
  <si>
    <t>Per 30 Minions, Troop HARD +12</t>
  </si>
  <si>
    <t>AFFCT +300</t>
  </si>
  <si>
    <t>AFFCT +250</t>
  </si>
  <si>
    <t>Per 30 Minions, Troop HARD +15</t>
  </si>
  <si>
    <t>AFFCT +400</t>
  </si>
  <si>
    <t>AFFCT +330</t>
  </si>
  <si>
    <t>Per 30 Minions, Troop HARD +18</t>
  </si>
  <si>
    <t>AFFCT +510</t>
  </si>
  <si>
    <t>AFFCT +420</t>
  </si>
  <si>
    <t>Per 30 Minions, Troop HARD +21</t>
  </si>
  <si>
    <t>AFFCT +630</t>
  </si>
  <si>
    <t>AFFCT +520</t>
  </si>
  <si>
    <t>Per 30 Minions, Troop HARD +24</t>
  </si>
  <si>
    <t>AFFCT +760</t>
  </si>
  <si>
    <t>Per 30 Minions, Troop HARD +27</t>
  </si>
  <si>
    <t>AFFCT +900</t>
  </si>
  <si>
    <t>AFFCT +750</t>
  </si>
  <si>
    <t>Per 30 Minions, Troop HARD +30</t>
  </si>
  <si>
    <t>AFFCT +1050</t>
  </si>
  <si>
    <t>2A - HP Up Gene III</t>
  </si>
  <si>
    <t>2A - DEF Up III</t>
  </si>
  <si>
    <t>2A - HP Up Gene IV</t>
  </si>
  <si>
    <t>Per 30 Minions, Troop HP +90</t>
  </si>
  <si>
    <t>Snail DEF +12</t>
  </si>
  <si>
    <t>Per 60 Minions, Troop HP +300</t>
  </si>
  <si>
    <t>Per 30 Minions, Troop HP +180</t>
  </si>
  <si>
    <t>Snail DEF +28</t>
  </si>
  <si>
    <t>Per 60 Minions, Troop HP +600</t>
  </si>
  <si>
    <t>Per 30 Minions, Troop HP +270</t>
  </si>
  <si>
    <t>Snail DEF +48</t>
  </si>
  <si>
    <t>Per 60 Minions, Troop HP +900</t>
  </si>
  <si>
    <t>Per 30 Minions, Troop HP +360</t>
  </si>
  <si>
    <t>Snail DEF +72</t>
  </si>
  <si>
    <t>Per 60 Minions, Troop HP +1200</t>
  </si>
  <si>
    <t>Per 30 Minions, Troop HP +450</t>
  </si>
  <si>
    <t>Snail DEF +100</t>
  </si>
  <si>
    <t>Per 60 Minions, Troop HP +1500</t>
  </si>
  <si>
    <t>Per 30 Minions, Troop HP +540</t>
  </si>
  <si>
    <t>Snail DEF +132</t>
  </si>
  <si>
    <t>Per 60 Minions, Troop HP +1800</t>
  </si>
  <si>
    <t>Per 30 Minions, Troop HP +630</t>
  </si>
  <si>
    <t>Snail DEF +168</t>
  </si>
  <si>
    <t>Per 60 Minions, Troop HP +2100</t>
  </si>
  <si>
    <t>Per 30 Minions, Troop HP +720</t>
  </si>
  <si>
    <t>Snail DEF +208</t>
  </si>
  <si>
    <t>Per 60 Minions, Troop HP +2400</t>
  </si>
  <si>
    <t>Per 30 Minions, Troop HP +810</t>
  </si>
  <si>
    <t>Snail DEF +252</t>
  </si>
  <si>
    <t>Per 60 Minions, Troop HP +2700</t>
  </si>
  <si>
    <t>Per 30 Minions, Troop HP +900</t>
  </si>
  <si>
    <t>Snail DEF +300</t>
  </si>
  <si>
    <t>Per 60 Minions, Troop HP +3000</t>
  </si>
  <si>
    <t>2B - ATK Up Gene III</t>
  </si>
  <si>
    <t>2B - RUSH Up III</t>
  </si>
  <si>
    <t>2B - ATK Up Gene IV</t>
  </si>
  <si>
    <t>Per 30 Minions, Troop ATK +9</t>
  </si>
  <si>
    <t>Snail RUSH +12</t>
  </si>
  <si>
    <t>Per 60 Minions, Troop ATK +30</t>
  </si>
  <si>
    <t>Per 30 Minions, Troop ATK +18</t>
  </si>
  <si>
    <t>Snail RUSH +28</t>
  </si>
  <si>
    <t>Per 60 Minions, Troop ATK +60</t>
  </si>
  <si>
    <t>Per 30 Minions, Troop ATK +27</t>
  </si>
  <si>
    <t>Snail RUSH +48</t>
  </si>
  <si>
    <t>Per 60 Minions, Troop ATK +90</t>
  </si>
  <si>
    <t>Per 30 Minions, Troop ATK +36</t>
  </si>
  <si>
    <t>Snail RUSH +72</t>
  </si>
  <si>
    <t>Per 60 Minions, Troop ATK +120</t>
  </si>
  <si>
    <t>Per 30 Minions, Troop ATK +45</t>
  </si>
  <si>
    <t>Snail RUSH +100</t>
  </si>
  <si>
    <t>Per 60 Minions, Troop ATK +150</t>
  </si>
  <si>
    <t>Per 30 Minions, Troop ATK +54</t>
  </si>
  <si>
    <t>Snail RUSH +132</t>
  </si>
  <si>
    <t>Per 60 Minions, Troop ATK +180</t>
  </si>
  <si>
    <t>Per 30 Minions, Troop ATK +63</t>
  </si>
  <si>
    <t>Snail RUSH +168</t>
  </si>
  <si>
    <t>Per 60 Minions, Troop ATK +210</t>
  </si>
  <si>
    <t>Per 30 Minions, Troop ATK +72</t>
  </si>
  <si>
    <t>Snail RUSH +208</t>
  </si>
  <si>
    <t>Per 60 Minions, Troop ATK +240</t>
  </si>
  <si>
    <t>Per 30 Minions, Troop ATK +81</t>
  </si>
  <si>
    <t>Snail RUSH +252</t>
  </si>
  <si>
    <t>Per 60 Minions, Troop ATK +270</t>
  </si>
  <si>
    <t>Per 30 Minions, Troop ATK +90</t>
  </si>
  <si>
    <t>Snail RUSH +300</t>
  </si>
  <si>
    <t>Per 60 Minions, Troop ATK +300</t>
  </si>
  <si>
    <t>2C - All Genes Up III</t>
  </si>
  <si>
    <t>2C - AFFCT Up III</t>
  </si>
  <si>
    <t>2C - All Genes Up IV</t>
  </si>
  <si>
    <t>Per 60 Minions, Troop HARD +10</t>
  </si>
  <si>
    <t>Per 60 Minions, Troop HARD +20</t>
  </si>
  <si>
    <t>Per 60 Minions, Troop HARD +30</t>
  </si>
  <si>
    <t>Per 60 Minions, Troop HARD +40</t>
  </si>
  <si>
    <t>Per 60 Minions, Troop HARD +50</t>
  </si>
  <si>
    <t>Per 60 Minions, Troop HARD +60</t>
  </si>
  <si>
    <t>Per 60 Minions, Troop HARD +70</t>
  </si>
  <si>
    <t>Per 60 Minions, Troop HARD +80</t>
  </si>
  <si>
    <t>Per 60 Minions, Troop HARD +90</t>
  </si>
  <si>
    <t>Per 60 Minions, Troop HARD +100</t>
  </si>
  <si>
    <t>3 - Compass Upgrade</t>
  </si>
  <si>
    <t>3 - AA Relic + Leadership</t>
  </si>
  <si>
    <t>3 - SS Relic</t>
  </si>
  <si>
    <t>All Compasses effect +40%</t>
  </si>
  <si>
    <t>Leadership +10, AA Frags +20</t>
  </si>
  <si>
    <t>SS RelicFrags +40</t>
  </si>
  <si>
    <t>All Compasses effect +60%</t>
  </si>
  <si>
    <t>Leadership +20, AA Frags +20</t>
  </si>
  <si>
    <t>SS Relic Frags +40</t>
  </si>
  <si>
    <t>All Compasses effect +80%</t>
  </si>
  <si>
    <t>Leadership +30, AA Frags +40</t>
  </si>
  <si>
    <t>SS Relic Frags +80</t>
  </si>
  <si>
    <t>4 - Form Ritual VI</t>
  </si>
  <si>
    <t>4 - Form Ritual VII</t>
  </si>
  <si>
    <t>4 - Form Ritual VIII</t>
  </si>
  <si>
    <t>T5-&gt;T6</t>
  </si>
  <si>
    <t>Time (hr)</t>
  </si>
  <si>
    <t>B-tads</t>
  </si>
  <si>
    <t>T6-&gt;T7</t>
  </si>
  <si>
    <t>To Center</t>
  </si>
  <si>
    <t>T7-&gt;T8</t>
  </si>
  <si>
    <t>Remaining</t>
  </si>
  <si>
    <t>Cells (Zombie)</t>
  </si>
  <si>
    <t>Cells (Demon)</t>
  </si>
  <si>
    <t>Cells (Angel)</t>
  </si>
  <si>
    <t>Cells (Mutant)</t>
  </si>
  <si>
    <t>Cells (Mecha)</t>
  </si>
  <si>
    <t>Order</t>
  </si>
  <si>
    <t>Daily Pack Relic</t>
  </si>
  <si>
    <t>(Days)</t>
  </si>
  <si>
    <t>Passive</t>
  </si>
  <si>
    <t>Stamp Type</t>
  </si>
  <si>
    <t>Notable Stamps</t>
  </si>
  <si>
    <t>Winged Victory</t>
  </si>
  <si>
    <t>Snail HP +1,200, Snail ATK +220, Per Sign-In, Snail ATK +24; Sign-Ins: 20/20</t>
  </si>
  <si>
    <t>Exploration</t>
  </si>
  <si>
    <t>600 ATK; 15% INTEL</t>
  </si>
  <si>
    <t>Nibelungenlied</t>
  </si>
  <si>
    <t>Snail ATK +220, Per 5 Dragon Gene LVLs, Snail ATK +24, Per 5 Dragon Gene LVLs, Snail RUSH +24; Dragon Gene LVLs Researched: 100/100</t>
  </si>
  <si>
    <t>Arena</t>
  </si>
  <si>
    <t>30% CRIT / CRIT DMG / Ignore DEF</t>
  </si>
  <si>
    <t>Snail ATK +220, Per 5 Daily Packs bought, Snail ATK +12, Per 5 Daily Packs bought, Snail DEF +12; Daily Packs Purchased: 200/200</t>
  </si>
  <si>
    <t>Britland</t>
  </si>
  <si>
    <t>15 TECH</t>
  </si>
  <si>
    <t>Guevara's Portrait</t>
  </si>
  <si>
    <t>Snail DEF +220, Per 20 Chores completed, Snail ATK +36, Per 20 Chores completed, Snail DEF +36; Chores Completed: 300/300</t>
  </si>
  <si>
    <t>15 FAME; 7.5% DMG Reduction</t>
  </si>
  <si>
    <t>Snail ATK +220, When offering, 2x Order Chest Drops +12%, Per 5 Divine Order Chests opened: Snail ATK +36; Divine Order Chests Opened: 100/100</t>
  </si>
  <si>
    <t>Hellas</t>
  </si>
  <si>
    <t>15 FTH; 30% Angel Cells</t>
  </si>
  <si>
    <t>When offering, 2x Neutral Chest Drops +10%, Per 10 Daily Packs bought, Snail ATK +18, Per 10 Daily Packs bought, Snail RUSH +18, Daily Packs Purchased: 360/360</t>
  </si>
  <si>
    <t>30 Medals; 15% Orange Cards</t>
  </si>
  <si>
    <t>Snail ATK +220, Per 60 Minions in battle, Troop ATK +90, Per 60 Minions in battle, Troop RUSH +90</t>
  </si>
  <si>
    <t>Koryeo</t>
  </si>
  <si>
    <t>15 ART; 30% Demon Cells</t>
  </si>
  <si>
    <t>Refining gives +1 Wormhole Refiner by +66%, Per 5 TECH Relics awakened, Snail HP +240, Per 5 TECH Relics awakened, Snail ATK +24; TECH Relics Awakened: 100/100</t>
  </si>
  <si>
    <t>Bharata</t>
  </si>
  <si>
    <t>15 TECH; 30% Mecha Cells; 15% Orange Cards</t>
  </si>
  <si>
    <t>Snail Leadership +17, Per 60 Minions in battle, Troop ATK +90, Per 60 Minions in battle, Troop HARD Stats +30</t>
  </si>
  <si>
    <t>Kemet</t>
  </si>
  <si>
    <t>15 CIV; 3000 Btads; 9% Kemet Travel SPD</t>
  </si>
  <si>
    <t>Gravitation Scripts</t>
  </si>
  <si>
    <t>Snail ATK +220, Per 5 Rocket Tech LVLs, Snail ATK +48, Per 5 Rocket Tech LVLs, Snail DEF +48; Rocket Tech Upgraded: 50/50</t>
  </si>
  <si>
    <t>Rift</t>
  </si>
  <si>
    <t>15 FAME; 30% DMG; 300 Earth DMG</t>
  </si>
  <si>
    <t>Snail Leadership +17, Per 60 Minions in battle, Troop RUSH +90, Per 60 Minions in Battle, Troop HARD Stats +30</t>
  </si>
  <si>
    <t>6% Green Card; 6% Purple Reagent</t>
  </si>
  <si>
    <t>Golden Vase</t>
  </si>
  <si>
    <t>Snail DEF +100, When offering, 2x Neutral Chest Drops +12%, Per 10 Altar God Descents, Snail DEF +12, Per 10 Altar God Descents, Snail RUSH +12; Gods Descended: 400/400</t>
  </si>
  <si>
    <t>6% Btad; 3% Incense</t>
  </si>
  <si>
    <t>Per 60 Minions in battle, Troop ATK +90, Per 60 Minions in battle, Troop HARD Stats +60, When offering, 2x Chaos Chest Drops +12%</t>
  </si>
  <si>
    <t>Troop 60 Water DMG; 9% RUSH; 9% CRIT</t>
  </si>
  <si>
    <t>Snail ATK +220, Per 10 Wormhole Refines, Snail ATK +12, Per 10 Wormhole Refines, Snail RUSH +12; Wormhole Refines: 500/500</t>
  </si>
  <si>
    <t>15 ART; 30 Medals; 30% Demon Cells</t>
  </si>
  <si>
    <t>Zombie Minion ATK +12%, Per 60 Minions in battle: Troop HP +1800, Per 60 Minions in battle: Troop DEF +90</t>
  </si>
  <si>
    <t>15 ART; 60 Troop Earth DMG; 9% HP</t>
  </si>
  <si>
    <t>Snail Leadership +12, Per 60 Minions in battle: Troop HARD Stats +60, When Offering, 2x Neutral Chest Drops +12%</t>
  </si>
  <si>
    <t>6% Orange Card; 6% Time Chest; 300 Water DMG</t>
  </si>
  <si>
    <t>Snail RUSH +220, Per 60 Minions in battle: Troop RUSH +90, When offering, 2x Neutral Chest Drops +12%</t>
  </si>
  <si>
    <t>15 FTH; 9% Troop CRIT DMG; 60 Wind DMG</t>
  </si>
  <si>
    <t>The Last Judgement</t>
  </si>
  <si>
    <t>Snail ATK +220, When offering, 2x Chaos Chest Drops +12%, Per FTH Master Scroll used, Snail RUSH +48; FTH Master Scrolls Used: 10/10</t>
  </si>
  <si>
    <t>600 ATK; 6% Btad; 300 Earth DMG</t>
  </si>
  <si>
    <t>Snail DEF +220, Per 60 Minions in battle: Troop Water DMG +30, Per 60 Minions in battle: Troop Fire DMG +30</t>
  </si>
  <si>
    <t>9% Troop CRIT DMG; 9% Hero DMG; 60 Wind DMG</t>
  </si>
  <si>
    <t>Wormhole Refinement SPD +8.8%, Per 10 Wormhole Refines, Snail ATK +12, Per 10 Wormhole Refines, Snail RUSH +12; Wormhole Refines: 500/500</t>
  </si>
  <si>
    <t>Yamato</t>
  </si>
  <si>
    <t>30 Medals</t>
  </si>
  <si>
    <t>Snail RUSH +120, Mecha Minion ATK +12%, Per 60 Mecha Minions in battle: Troop ATK +180</t>
  </si>
  <si>
    <t>15 TECH; 30% DMG; 6% White Cards</t>
  </si>
  <si>
    <t>Grand Unified Theory</t>
  </si>
  <si>
    <t>Snail ATK +220, Per Dragon Form Tier, Snail HP +1200, Per Dragon Form Tier, Snail ATK +120; Dragon Form Tiers: 9/9</t>
  </si>
  <si>
    <t>15 TECH; 600 ATK; 300 Fire DMG</t>
  </si>
  <si>
    <t>Columbus Chart</t>
  </si>
  <si>
    <t>Snail ATK +120; Per 60 Minions in battle: Troop HARD stats +30, Per 60 Minions in battle: Troop ATK +180</t>
  </si>
  <si>
    <t>15 FAME; 6% Btad; 300 Wind DMG</t>
  </si>
  <si>
    <t>Snail Leadership +17, Per 60 Minions in battle: Troop Earth DMG +30, Per 60 Minions in battle: Troop Wind DMG +30</t>
  </si>
  <si>
    <t>15 FTH; -300 Grandmaster Scroll cost</t>
  </si>
  <si>
    <t>Snail ATK +220, When offering, 2x Order Chest Drops +12%, Per 10 Altar God Descents, Snail ATK +24; Gods Descended: 400/400</t>
  </si>
  <si>
    <t>15 FTH; 9% Troop ATK; 60 Fire DMG</t>
  </si>
  <si>
    <t>Turing Award</t>
  </si>
  <si>
    <t>When spotting a weakness: Protomon extra DMG +1760; Per 10 TECH stamens used, Snail ATK +15, Per 10 TECH stamens used, Snail RUSH +15; TECH Stamens Used: 360/360</t>
  </si>
  <si>
    <t>Lumber Camp</t>
  </si>
  <si>
    <t>15 FAME; 30% Wood Output; 30% Ancient Lumber</t>
  </si>
  <si>
    <t>Apollo and Daphne</t>
  </si>
  <si>
    <t>Snail Leadership +17, Per 60 T7+ Minions in battle: Troop RUSH +120, Per 3 Frozen Soils used on Protomons: Devotee DMG +192; Frozen Soils Used: 60/60</t>
  </si>
  <si>
    <t>15 ART; 6% Blue Cards; 6% Purple Cards</t>
  </si>
  <si>
    <t>Snail HP +1000, Mecha Minion HP +12%, Minion skin bonus HP +100%, Per 10 HP stamens used, Snail HP +150; HP Stamens Used: 960/960</t>
  </si>
  <si>
    <t>15 TECH; 9% Troop HP; 9% Troop Healing</t>
  </si>
  <si>
    <t>Dragon Orb offering SPD +13.2%, Per 3 unique souls offered: Snail ATK +12, Per 3 unique souls offered: Devotee DMG +96</t>
  </si>
  <si>
    <t>15 FTH; 6% Hero DMG; 6% Troop DMG Reduction</t>
  </si>
  <si>
    <t>Prarie Sanctum Score +1100, Per 2000 Prarie Sanctum Score, Devotee DMG +96, Per 2000 Prarie Sanctum Score, Devotee Troop DMG +96; Prarie Sanctum Score: 100,000/100,000</t>
  </si>
  <si>
    <t>Prarie Sanctum</t>
  </si>
  <si>
    <t>15 CIV; 30% Glorium Yield</t>
  </si>
  <si>
    <t>The Age of Bronze</t>
  </si>
  <si>
    <t>Snail ATK +100, Snail Leadership +12, Demon minion ATK +12%, Per 5 Rift apostles dominated, Snail ATK +48; Rift Apostles Dominated: 60/60</t>
  </si>
  <si>
    <t>600 ATK; 600 DEF; 600 RUSH</t>
  </si>
  <si>
    <t>The Argonauts</t>
  </si>
  <si>
    <t>Snail RUSH +100, Angel Minion DEF +12%, Per God Upgrade, Snail ATK +60, Per God Upgrade, Snail RUSH +60; God Upgrades: 10/10</t>
  </si>
  <si>
    <t>9% Troop DEF; 9% Troop RUSH; 1200 Troop Regen</t>
  </si>
  <si>
    <t>Poincare Conjecture Manuscript</t>
  </si>
  <si>
    <t>Snail RUSH +100, Minion skin RUSH +100%, Per 5 Protomons: Snail RUSH +36, Per 5 Epic Protodex Stars: Acolyte DMG +288; Protomons Obtained: 100/100</t>
  </si>
  <si>
    <t>15 TECH; 30% Glorium Yield</t>
  </si>
  <si>
    <t>Snail Leadership +17, Minion RUSH +12%, Per 2000 Swamp Sanctum Score: Snail ATK +12; Swamp Sanctum Score: 100,000/100,000</t>
  </si>
  <si>
    <t>Bencao Gangmu</t>
  </si>
  <si>
    <t>Minion Healing SPD +11%, Per 50 minions healed: Snail ATK +15, Per 50 minions healed: Devotee troop DMG +120; Minions Healed: 2000/2000</t>
  </si>
  <si>
    <t>15 FAME; 9% Troop HP; 9% Troop RUSH</t>
  </si>
  <si>
    <t>Blue Danube</t>
  </si>
  <si>
    <t>Minion Skin HP +100%; Per 2000 Swamp Sanctum Score, Priest-Snail assisance DMG +96; Per 2000 Swamp Sanctum Score, Priest-Troop assistance DMG +96; Swamp Sanctum Score: 100,000/100,000</t>
  </si>
  <si>
    <t>Adam's Star</t>
  </si>
  <si>
    <t>Snail ATK +100; Zombie Minion RUSH +12%, Per 5 Mirage Gems, Snail ATK +12; Per 5 Mirage Gems, Snail DEF +12; Mirage Gems: 300/300</t>
  </si>
  <si>
    <t>Snail Leadership +17, Mecha Minion DEF +12%; Per 1200 Gaia Tech Pts, Snail ATK +12; Gaia Tech Pts: 60,000/60,000</t>
  </si>
  <si>
    <t>Death of the Virgin</t>
  </si>
  <si>
    <t>Quantum Amp Production +13.2%; Per 100 Recruitment Orders, Priest-Snail Assistence DMG +96; Per 100 Recruitment Orders, Priest-Troop Assistence DMG +96; Recruitment Orders: 5000/5000</t>
  </si>
  <si>
    <t>15 ART; 6% Orange Reagent</t>
  </si>
  <si>
    <t>Snail ATK +220; Per 60 T7+ Minions in Battle: Troop ATK +120; Per 60 T7+ Minions in Battle: Troop DEF +120</t>
  </si>
  <si>
    <t>15 CIV; 9% Troop HP; 9% Troop ATK</t>
  </si>
  <si>
    <t>Angel Minion ATK +12%; Per 60 T7+ Minions in battle: Troop DEF +220; Per FTH Bionic Part extracted, Snail ATK +60; FTH Bionic Part Extracted: 10/10</t>
  </si>
  <si>
    <t>15 FTH; 6% White Cards; 6% Purple Cards</t>
  </si>
  <si>
    <t>Ram in a Thicket</t>
  </si>
  <si>
    <t>Snail RUSH +120; Per 60 T7+ Minions in battle: Troop ATK +220; Per 10 Rare Protomons Fused, Snail DEF +24; Rare Protomons Fused: 200/200</t>
  </si>
  <si>
    <t>Quantum Amp</t>
  </si>
  <si>
    <t>15 ART; 30% Production</t>
  </si>
  <si>
    <t>Wuthering Heights</t>
  </si>
  <si>
    <t>All minion skins RUSH +100%; Protomons assist Snail in battle, and deal extra DMG +1760; Per 3 Epic Protodex Entries, Snail HP +360; Epic Protodex Entries: 60/60</t>
  </si>
  <si>
    <t>Alexander's Sarcophagus</t>
  </si>
  <si>
    <t>Snail Leadership +12, Per 60 Minions in battle: Troop HP +2200, Per 5 Epic Protodex Stars, Snail DEF +36; Epic Protodex Stars: 100/100</t>
  </si>
  <si>
    <t>15 FAME</t>
  </si>
  <si>
    <t>Mecha Minion ATK +12%; Protomons assist Snail in battle, and deal extra DMG +1760; Per TECH Bionic Part Extracted, Snail HP +600; TECH Bionic Part Extracted: 10/10</t>
  </si>
  <si>
    <t>60 Earth DMG; 6% DMG Reduc; 9% RUSH</t>
  </si>
  <si>
    <t>Dragon Minion RUSH +12%; Protomons assist Snail in battle, and deal extra DMG +1760; Per 60 T7+ Minions in battle: Troop HP +1200</t>
  </si>
  <si>
    <t>15 FTH; 6% Orange Cards; 3% Dragon Orbs</t>
  </si>
  <si>
    <t>Snail HP +2200; All Demon Minion Skins, HARD Stats +120%; Per 10 Rare Protomons fused, Snail ATK +24; Rare Protomons Fused: 200/200</t>
  </si>
  <si>
    <t>60 Wind DMG; 9% CRIT DMG; 60 Water DMG</t>
  </si>
  <si>
    <t>Snail Leadership +17; Per 60 T7+ Minions in battle: Troop RUSH +120; Per 1000 Hellas Apostles Advanced, Snail ATK +36; Hellas Apostles Advanced: 20,000/20,000</t>
  </si>
  <si>
    <t>15 CIV; 15% Production; 15% Nebula Shards</t>
  </si>
  <si>
    <t>Charlemange Crown</t>
  </si>
  <si>
    <t>Snail ATK +220; Zombie Minion ATK +12%; Per 5 Epic Protodex Stars, Snail DEF +36; Epic Protodex Stars: 100/100</t>
  </si>
  <si>
    <t>300 Fire DMG; 6% Btads; 3% Incense</t>
  </si>
  <si>
    <t>Snail DEF +120; Per 60 T7+ Minions in battle: Troop ATK +220; Per 3 Epic Protodex Entries, Snail ATK +36; Epic Protodex Entries: 60/60</t>
  </si>
  <si>
    <t>15 TECH; 15% Production</t>
  </si>
  <si>
    <t>Angel Minion DEF +12%; Protomons assist Troop in battle, and deal extra DMG +1760; Per 10 Rare Protomons fused, Snail RUSH +24; Rare Protomons Fused: 200/200</t>
  </si>
  <si>
    <t>600 ATK; 6% INTEL; 300 Earth DMG</t>
  </si>
  <si>
    <t>Snail Leadership +17; Per 60 T7+ Minions in battle: Troop HP +1200; Per ART Bionic Part Extracted, Snail DEF +60; ART Bionic Part Extracted: 10/10</t>
  </si>
  <si>
    <t>60 Earth DMG; 9% HP; 60 Wind DMG</t>
  </si>
  <si>
    <t>Mutant Minion ATK +12%; Protomons assist Snail in battle, and deal extra DMG +1760; Per 1,000 Hellas Apostles advanced, Snail RUSH +36; Hellas Apostles Advanced: 20,000/20,000</t>
  </si>
  <si>
    <t>15 CIV; 30 Medals</t>
  </si>
  <si>
    <t>History</t>
  </si>
  <si>
    <t>Snail DEF +220; All Angel Minion Skins, HARD Stats +120%; Per 3 Epic Protomons fused, Snail RUSH +36; Epic Protomons Fused: 60/60</t>
  </si>
  <si>
    <t>Snail DEF +220; Per 60 T7+ Minions in Battle: Troop DEF +120; Per 3 Distinct Souls Offered, Priest-Troop Assistence DMG +48, Distinct Souls Offered: 300/300</t>
  </si>
  <si>
    <t>15 ART; 30% Divine Crystal Yield</t>
  </si>
  <si>
    <t>The Brothers Karamazov</t>
  </si>
  <si>
    <t>Snail Leadership +17; Mutant Minion Skin HARD Stats +120%; Per 5 CIV Relics Awakened, Snail ATK +36, CIV Relics Awakened: 100/100</t>
  </si>
  <si>
    <t>15 CIV; 6% 2x INTEL; 6% 2x Btads</t>
  </si>
  <si>
    <t>Comprehensive Nuclear-Test-Ban Treaty</t>
  </si>
  <si>
    <t>Snail HP +1200; Zombie Minion RUSH +12%; Protomon assist Troop in battle, extra DMG +1760</t>
  </si>
  <si>
    <t>9% Troop RUSH; 6% CRIT DMG; 60 Wind DMG</t>
  </si>
  <si>
    <t>Chacmool Statue</t>
  </si>
  <si>
    <t>Per 60 T7+ Minions in Battle: Troop ATK +220; Per CIV Bionic Part Extracted, Snail ATK +60; Per CIV Bionic Part Exctracted, Priest-Troop Assistence DMG + 576; CIV Bionic Parts: 10/10</t>
  </si>
  <si>
    <t>6% DMG Reduc; 9% CRIT DMG; 60 Earth DMG</t>
  </si>
  <si>
    <t>Snail RUSH +220; Zombie Minion HARD Stats +120%; Per 3 Minion Skins Crafted, Snail RUSH +36; Minion Skins Crafted: 60/60</t>
  </si>
  <si>
    <t>15 FAME; 30% Divine Crystal Yield</t>
  </si>
  <si>
    <t>Atrahasis</t>
  </si>
  <si>
    <t>Snail Leadership +12; All Minion Skin DEF +100%; Per 3 Minion Skins Crafted, Snail RUSH +36; Minion Skins Crafted: 60/60; Snail RUSH +100</t>
  </si>
  <si>
    <t>15 FTH; 30 Medals; 6% Blue Reagents</t>
  </si>
  <si>
    <t>Demon Minion ATK +12%; Per 5 ART Relics Awakened, Snail ATK +36, Per 5 ART Relics Awakened, Priest-Snail assistence DMG +288, ART Relics Awakened: 100/100, Protomon assist Troop in battle, extra DMG +800</t>
  </si>
  <si>
    <t>9% Troop CRIT; 6% Hero DMG; 60 Water RES</t>
  </si>
  <si>
    <t>World Trade Agreement</t>
  </si>
  <si>
    <t>Per 60 T7+ Minions in Battle: Troop RUSH +220; Per 2 FAME Master Scrolls Opened, Snail DEF +12; Per 2 FAME Master Scrolls Opened, Priest-Snail Assistence DMG + 960; FAME Master Scrolls: 100/100</t>
  </si>
  <si>
    <t>15 FAME; 6% Blue Cards; 6% Orange Cards</t>
  </si>
  <si>
    <t>Kinkaku-Ji Model</t>
  </si>
  <si>
    <t>Snail Leadership +17; Mutant Minion DEF +12%; Per Mutant Tier Upgraded, Snail HP +720; Mutant Tier 9/9</t>
  </si>
  <si>
    <t>15 CIV; 3000 Btads</t>
  </si>
  <si>
    <t>Jin Hou Bird Zun</t>
  </si>
  <si>
    <t>Per 60 T7+ Minions in Battle: Troop ATK +220; Per 5 Epic Protodex Stars, Snail ATK +36; Per 5 Epic Protodex Stars, Priest-Troop assistence DMG +288; Epic Protodex Stars: 100/100</t>
  </si>
  <si>
    <t>Cathay</t>
  </si>
  <si>
    <t>30 Medals; 15 ART</t>
  </si>
  <si>
    <t>??</t>
  </si>
  <si>
    <t>Zeno's Paradoxes</t>
  </si>
  <si>
    <t>Snail Leadership +17; All Mecha Minion Skins, HARD Stats +120%; Per 3 Minion Skins crafted, Snail ATK +24; Minion Skins crafted: 90/90</t>
  </si>
  <si>
    <t>6% DMG REDUC</t>
  </si>
  <si>
    <t>Rainbow Feathered Robe</t>
  </si>
  <si>
    <t>Snail Leadership +17; Zombie Minion ATK +12%; Per Zombie Form Tier, Snail ATK +60; Zombie Form Tiers: 9/9</t>
  </si>
  <si>
    <t>30 Medals; 15 FAME</t>
  </si>
  <si>
    <t>Madame Bovary</t>
  </si>
  <si>
    <t>Angel Minion RUSH +12%; Per 60 T8+ Minions deployed, Troop HP +2640; Per Angel Form Tier, Snail RUSH +60; Angel Form Tiers: 9/9</t>
  </si>
  <si>
    <t>15 CIV; 6% Orange Cards; 3% Dragon Orbs</t>
  </si>
  <si>
    <t>Snail Leadership +17; Demon Minion RUSH +12%; Per Demon Form Tier, Snail ATK +60; Demon Form Tiers: 9/9</t>
  </si>
  <si>
    <t>9% CRIT; 6% Hero DMG</t>
  </si>
  <si>
    <t>Silver Pack Relic</t>
  </si>
  <si>
    <t>Aladdin's Carpet</t>
  </si>
  <si>
    <t>Snail ATK +120, When offering, 2x Divine Chest Drops +17%, Per 5 Daily Silver Packs bought, Snail ATK +30; Daily Silver Packs Bought: 150/150</t>
  </si>
  <si>
    <t>15 CIV; 30 Medals; -300 Master Scroll Cost</t>
  </si>
  <si>
    <t>Snail ATK +220, Per Realm conquered, Snail HP +1,400, Per Realm Conquered, Snail ATK +140; Realms Conquered: 8/8</t>
  </si>
  <si>
    <t>15 ART; 15% Btad</t>
  </si>
  <si>
    <t>Snail ATK +220, When offering, 2x Chaos Chest Drops +12%, Troop CRIT +5%</t>
  </si>
  <si>
    <t>Snail ATK +220, Per 10 Apostles dominated, Snail ATK +60, Per 10 Apostles dominated, Snail RUSH +60; Apostles Dominated: 200/200</t>
  </si>
  <si>
    <t>9% Troop RUSH; 6% Hero DMG; 15 All ELMT DMG</t>
  </si>
  <si>
    <t>Snail Leadership +25, All Minion ATK +3.6%, All Minion RUSH +3.6%</t>
  </si>
  <si>
    <t>600 ATK; 600 DEF; 6% Food</t>
  </si>
  <si>
    <t>Untitled</t>
  </si>
  <si>
    <t>When refining, +22% chance for White Building Materials to turn into Green, Per 20 Wormhole Refiners, Snail ATK +24, Per 20 Wormhole Refiners, Snail RUSH +24; 800/800 Wormhole Refiner</t>
  </si>
  <si>
    <t>600 ATK; 15% Cells; 6% Cards</t>
  </si>
  <si>
    <t>Mutant Minion ATK +12%, Per 60 Minions in battle: Troop HARD Stats +60, Per 5 Mutant Gene LVLs, Snail ATK +42; Mutant Gene LVLs Researched: 150/150</t>
  </si>
  <si>
    <t>15 FTH; 6% Troop DMG Reduc; 60 Fire DMG</t>
  </si>
  <si>
    <t>Snail Leadership +25, Demon Minion ATK +12%, Per 50 Daily Silver Packs bought, Snail ATK +48; Daily Silver Packs Bought: 1000/1000</t>
  </si>
  <si>
    <t>15 FAME; 6% Orange Reagents; 600 Extra RUSH</t>
  </si>
  <si>
    <t>Chicago Pile-1</t>
  </si>
  <si>
    <t>Snail ATK +100, When catalyzing spores, 1.2% chance to convert blue to purple, Per 10000 Sanctum Points, Snail ATK +20, Per 10000 Sanctum Points, Devotee troop DMG +160, Sanctum Points: 500,000/500,000</t>
  </si>
  <si>
    <t>6% Blue Cards; 6% Purple Cards; 6% Orange Cards</t>
  </si>
  <si>
    <t xml:space="preserve">Snail ATK +100, Dragon Minion ATK +12%, Minion Skin DEF +100%, Per 50 minions cloned, Snail ATK +24; Minions Cloned: 2000/2000 </t>
  </si>
  <si>
    <t>Arctic Sanctum</t>
  </si>
  <si>
    <t>15 FTH; 30% Divine Crystal Yield</t>
  </si>
  <si>
    <t>Snail Leadership +25; Zombie Minion DEF +12%, Per orange brand case opened: Snail ATK +20; Orange Brand Cases Opened: 50/50</t>
  </si>
  <si>
    <t>15 FAME; 6% Orange Reagents; Wind DMG +300</t>
  </si>
  <si>
    <t>Per 60 T7+ Minions in battle: Troop HARD Stats +88; All Mecha Minion Skins, HARD Stats +120%; Per 5 TECH Relics Awakened, Snail ATK +48; TECH Relics Awakened: 100/100</t>
  </si>
  <si>
    <t>Murika</t>
  </si>
  <si>
    <t>15 TECH; 30 Medals</t>
  </si>
  <si>
    <t>Marilyn Diptych</t>
  </si>
  <si>
    <t>All Sanctum Divine Crystal Output +6%; Demon Minion HP +12%; Per 50 Daily Silver Packs bought, Snail ATK +12; Daily Silver Packs Bought: 4,000/4,000; Snail ATK +100</t>
  </si>
  <si>
    <t>15 ART; 6% Orange Cards; 6% INTEL</t>
  </si>
  <si>
    <t>Catalyzed Green Spores turn to Blue by +1.2%; Snail Leadership +25; Per 500 Catalysis, Snail ATK +24; Catalysis: 20,000/20,000</t>
  </si>
  <si>
    <t>15 FTH; 3% Dragon Orbs; 300 Water DMG</t>
  </si>
  <si>
    <t>Gold Pack Relic</t>
  </si>
  <si>
    <t>Fire Chalice</t>
  </si>
  <si>
    <t>In Dragon Form, Fire DMG +320, When crafting an Orange Reagent, +15% to get +1, Per 5 Gold Daily Packs bought, Snail ATK +20; Gold Daily Packs: 300/300</t>
  </si>
  <si>
    <t>600 Fire DMG; 600 Wind DMG; 30% CRIT DMG</t>
  </si>
  <si>
    <t>Impression, Sunrise</t>
  </si>
  <si>
    <t>In Dragon Form, Crit DMG +22%, Per 5 ART Relics awakened, Snail ATK +24, Per 5 ART Relics awakened, Snail RUSH +24; ART Relics Awakened: 100/100</t>
  </si>
  <si>
    <t>Gene Sim</t>
  </si>
  <si>
    <t>15 ART; 600 Fire DMG; 600 Water DMG</t>
  </si>
  <si>
    <t>Higg's Boson</t>
  </si>
  <si>
    <t>Snail Leadership +40, Dragon Minion ATK +12%, Dragon Minion DEF +12%</t>
  </si>
  <si>
    <t>15 TECH; 6% Cells; 300 Wind DMG</t>
  </si>
  <si>
    <t>In Dragon Form, ALL ELMT DMG +8.8%, In Dragon Form, All ELMT RES +4.8%, Per 3 Master Scrolls used, Snail ATK +24; Master Scrolls Used: 150/150</t>
  </si>
  <si>
    <t>9% Troop CRIT; 60 Fire DMG; 60 Earth DMG</t>
  </si>
  <si>
    <t>Metamorphosis</t>
  </si>
  <si>
    <t>In Dragon Form, Poison DMG +220; In Dragon Form, Ignore DEF +4.8%; Dragon Minion ATK +12%</t>
  </si>
  <si>
    <t>15 FTH; 30% DMG; 3% Dragon Orb</t>
  </si>
  <si>
    <t>Snail Leadership +40, Minion Skin ATK +100%, Per 3 Minion Skins: Snail ATK +60; Minion Skins: 60/60</t>
  </si>
  <si>
    <t>Biozilla</t>
  </si>
  <si>
    <t>15 CIV; 9% Troop ATK; 9% Troop DEF</t>
  </si>
  <si>
    <t>Poison DMG +44%; Dragon Minion DEF +12%; Per 30 Gold Daily Packs bought, Snail ATK +12; Gold Daily Packs Bought: 3000/3000</t>
  </si>
  <si>
    <t>15 TECH; 9% CRIT; 9% CRIT DMG</t>
  </si>
  <si>
    <t>Lu Ji's Calligraphy</t>
  </si>
  <si>
    <t>In Dragon Form, Crit DMG +22%; In Dragon Form, Wind DMG +120; All Minion Skins RUSH +100%</t>
  </si>
  <si>
    <t>15 CIV; 30% DMG; 6% INTEL</t>
  </si>
  <si>
    <t>Travelers Relic</t>
  </si>
  <si>
    <t>B-tad rewards from offering +8.8%, Per 10 Altar God Descents, Snail ATK +15, Per 10 Altar God Descents, Snail RUSH +15; Gods Descended: 400/400</t>
  </si>
  <si>
    <t>15 FTH; 30 Medals; 9% Britland Travel SPD</t>
  </si>
  <si>
    <t>Goldbach's Conjecture</t>
  </si>
  <si>
    <t>Wormhole Refinement SPD +4.8%, When refining, +12% chance for Green Materials to turn into Blue, Per 10 Wormhole Refines, Snail RUSH +12; Wormhole Refines: 500/500</t>
  </si>
  <si>
    <t>15 TECH; 9% Troop ATK; 6% Troop DMG Reduc</t>
  </si>
  <si>
    <t>Narmer Palette</t>
  </si>
  <si>
    <t>Vending Machine Glue Purchases +3; Quantum Amp gives Nebula Chest Shards by +13.2%, Per 5 Quantum Amp LVLs, Snail ATK +60, Per 5 Quantum Amp LVLs, Snail RUSH +60; Quantum Amp LVL: 50/50</t>
  </si>
  <si>
    <t>600 ATK; 6% Blue Reagents; 600 CIV</t>
  </si>
  <si>
    <t>Snail Leadership +17, All Minion RUSH +2.4%, Per 60 Minions in battle, Troop HARD Stats +30</t>
  </si>
  <si>
    <t>Avogadro's Manuscript</t>
  </si>
  <si>
    <t>Snail Leadership +17; Per 20 Wormhole Refiners, Snail ATK +15; Per 20 Wormhole Refiners, Snail DEF +15; Wormhole Refiners: 800/800</t>
  </si>
  <si>
    <t>15 TECH; 6% Purple Cards; 6% Purple Reagents</t>
  </si>
  <si>
    <t>Free Gene Speedup +54m, Per 60 Minions in battle: Troop HP +1800, Per Master Chef's Legacy Activated, Snail ATK +15; Master Chef's Legacy Activated: 40/40</t>
  </si>
  <si>
    <t>Gaia's Cabin Output +12%, Per 60 T7+ Minions in battle: Troop ATK +120, Per 10k Fervor, Apostle-Troop Assisance DMG +96; Fervor: 500k/500k</t>
  </si>
  <si>
    <t>15 FTH; 9% Troop ATK; 9% Troop RUSH</t>
  </si>
  <si>
    <t>Minion Skin HARD Stats +30%, Per 60 T7+ Minions in battle: Troop ATK +120, Per 10 advanced fusions, Snail ATK +12, Advanced Fusions 500/500</t>
  </si>
  <si>
    <t>Snail Leadership +12; Per 2000 Frost Sanctum Rating Pts, Snail Rush +12, Per 2000 Frost Sanctum Rating Pts, Priest-Snail Assistence DMG +96</t>
  </si>
  <si>
    <t>Mutant Minion HP +12%, Per CIV Bionic Part Extracted, Snail ATK +60 &amp; Priest Assistance DMG +480, CIV Bionic Part Extracted: 10/10, Protomon assist Troop in battle, extra DMG +800</t>
  </si>
  <si>
    <t>15 CIV; 6% Troop DMG Reduc; 9% Troop HP</t>
  </si>
  <si>
    <t>Minion Skin HARD Stats +30%, Per 60 T7+ Minions in battle: Troop HP +2200, Per 30 Time Chests Opened, Snail RUSH +12; Time Chests Opened: 1500/1500</t>
  </si>
  <si>
    <t>15 TECH; 30% Divine Crystal Yield</t>
  </si>
  <si>
    <t>Snail Leadership +12; Demon Minion RUSH +12%, Per targeted fusion, priest-snail assistance DMG +96, Targeted Fusions: 50/50, Protomon assist Troop in battle, extra DMG +800</t>
  </si>
  <si>
    <t>The Realist Manifesto</t>
  </si>
  <si>
    <t>Zombie Minion HP +12%; Per 2 FAME Master Scrolls Opened, Snail ATK +12; FAME Master Scrolls Opened: 100/100; Per 2 Mystery Gloop Opened, Priest-Snail assistence DMG +96; Protomon assist Troop in battle, extra DMG +800</t>
  </si>
  <si>
    <t>15 FAME; 3% Dragon Orbs; 6% Btads</t>
  </si>
  <si>
    <t>Snail Leadership +17, Element Circle, Chance to produce M-Diamond +12%, Per 5 Quantum Amp LVLs, Snail ATK +60; Quantum Amp LVL: 50/50</t>
  </si>
  <si>
    <t>15 FTH; 15% Output</t>
  </si>
  <si>
    <t>Wish Box</t>
  </si>
  <si>
    <t>N/A</t>
  </si>
  <si>
    <t>Snail Leadership +17; Per 20 ART Wishes Made, Snail DEF +12; Per 20 ART Wishes made, Snail RUSH +12; Wishes Made: 1,000/1,000</t>
  </si>
  <si>
    <t>15 ART; 6% Troop DEF; 30 Wind DMG</t>
  </si>
  <si>
    <t>Snail DEF +100; Mutant Gene Research SPD +5.4%; Per 5 Mutant Gene LVLs, Snail DEF +24; Per 5 Mutant Gene LVLs, Snail RUSH +24; Mutant Gene LVLs Researched: 150/150</t>
  </si>
  <si>
    <t>15 CIV</t>
  </si>
  <si>
    <t>All Minion ATK +2.4%; Quantum Amp production +13.2%; Per 60 Minions in battle: Troop HARD Stats +30</t>
  </si>
  <si>
    <t>15 FAME; 9% Troop DEF; 9% Troop HP</t>
  </si>
  <si>
    <t>Ten Commandments</t>
  </si>
  <si>
    <t>Per 60 Angel Minions in Battle: Troop ATK +180; Per 5 Angel Gene LVLs, Snail ATK +18; Per 5 Angel Gene LVLs, Snail DEF +18; Angel Gene LVLs Researched: 150/150</t>
  </si>
  <si>
    <t>15% Angel/Mutant/Mecha Cells</t>
  </si>
  <si>
    <t>Zizhi Tongjian</t>
  </si>
  <si>
    <t>Snail Leadership +12; Minion DEF +2.4%; Per 60 Minions in Battle: Troop DEF +180</t>
  </si>
  <si>
    <t>15 FAME; 6% Purple Cards; 3% Dragon Orbs</t>
  </si>
  <si>
    <t>Pure Reason Critique</t>
  </si>
  <si>
    <t>Protomon assist Troop in battle, extra DMG +1760; Per 5 Zombie Gene LVLs, Snail HP +240; Per 5 Zombie Gene LVLs, Snail ATK +24; Zombie Gene LVLs Researched: 150/150</t>
  </si>
  <si>
    <t>15 FAME; 15% Production; 15% Nebula Shards</t>
  </si>
  <si>
    <t>La Comedie humaine</t>
  </si>
  <si>
    <t>All Minion RUSH +2.4%; Per 2000 Desert Sanctum Rating Pts, Priest-Snail Assistance DMG +96 &amp; Priest-Troop Assistance DMG +96; Desert Sanctum Rating: 100,000/100,000; Protomon assist Troop in battle, extra DMG +800</t>
  </si>
  <si>
    <t>6% 2x INTEL; 300 Earth DMG</t>
  </si>
  <si>
    <t>Mecha Minion DEF +12%; Per 60 T7+ Minions in battle: Troop ATK +220; Per 60 T7+ Minions in battle: Troop RUSH +120</t>
  </si>
  <si>
    <t>15 TECH; 6% Blue Reagent; 6% Green Cards</t>
  </si>
  <si>
    <t>Mutant Minion DEF +12%; Per 5 CIV Relics awakened, Snail ATK +36; Per 5 CIV Relics awakened, Snail DEF +36; CIV Relics Awakened: 100/100; Snail ATK +100</t>
  </si>
  <si>
    <t>Angel Minion HP +12%; Protomons assist Snail in battle, and deal extra DMG +1760; Per FTH Bionic Part extracted, Snail RUSH +60; FTH Bionic Part Extracted: 10/10</t>
  </si>
  <si>
    <t>15 FTH; 300 Water DMG; 3% Incense</t>
  </si>
  <si>
    <t>Snail Leadership +12; For every 3 levels of Base Station cleared, Snail HP +120; For every 3 levels of Base Station cleared, Snail RUSH +12; Base Station LVLs Cleared: 150/150; Snail HP +1000</t>
  </si>
  <si>
    <t>60 Wind DMG; 9% HP; 6% Hero DMG</t>
  </si>
  <si>
    <t>Othello</t>
  </si>
  <si>
    <t>Snail ATK +120; All Minion Skins HP +100%; Protomons assist Troop in battle, and deal extra DMG +1760</t>
  </si>
  <si>
    <t>15 ART; 600 RUSH; 300 Fire DMG</t>
  </si>
  <si>
    <t>Snail Leadership +17; All Minin HP +2.4%; Per 60 T8+ Minions deployed, Troop HP +1440</t>
  </si>
  <si>
    <t>9% ATK; 6% Hero DMG</t>
  </si>
  <si>
    <t>Snail Leadership +17; Per 5 Incubator Files fully restored, Snail DEF + 36 &amp; Snail RUSH +36; Files fully restored: 100/100</t>
  </si>
  <si>
    <t>9% DEF; 6% Hero DMG</t>
  </si>
  <si>
    <t>Erinyes' Shackles</t>
  </si>
  <si>
    <t>Zombie Minion ATK +12%; Per 60 T8+ Minions deployed, Troop RUSH +264 &amp; Troop RUSH + 144</t>
  </si>
  <si>
    <t>15 FTH; 30 Medals</t>
  </si>
  <si>
    <t>Weekly Special</t>
  </si>
  <si>
    <t>Snail ATK +100; When in Mecha Form: Gain +12% Mecha Cells in explorations; Per Domain discovered, Snail ATK +60; Per Domain discovered, Snail RUSH +60; Domains Discovered: 8/8</t>
  </si>
  <si>
    <t>15 TECH; 15% Orange Cards</t>
  </si>
  <si>
    <t>Explore in Demon Form, gain +12% Demon Cells; Per 60 Demon Minions in battle, Troop ATK +180; Per 60 Demon Minions in battle, Troop RUSH +90</t>
  </si>
  <si>
    <t>Noah's Ark</t>
  </si>
  <si>
    <t>Snail DEF +100; Angel Gene Research SPD +6%; Per partner you have, Snail ATK +36; Per partner you have, Snail DEF +36; Current Partners: 15/15</t>
  </si>
  <si>
    <t>1200 Regen</t>
  </si>
  <si>
    <t>Snail ATK +220; Angel Minion Cloning SPD +12%; Per 20 FTH wish, Snail ATK +12; FTH wishes 1000/1000</t>
  </si>
  <si>
    <t>Journey to Earth Core</t>
  </si>
  <si>
    <t>Free Gene Speedup +36m; Per 60 Zombie Minions in Battle: Troop ATK +180; Per 5 Zombe Gene Research LVLs, Snail Hp +180; Zombie Gene LVLs Researched: 150/150</t>
  </si>
  <si>
    <t>600 ATK; 300 Fire DMG; 300 Wind DMG</t>
  </si>
  <si>
    <t>Snail ATK +120; Snail Hp +1000; Per 60 T7+ Minions in Battle, Troop HARD Stats +40; Per TECH Bionic Part Extracted, Snail ATK +60; TECH Bionic Parts: 10/10</t>
  </si>
  <si>
    <t>15 TECH; 30% Divine Crystal Output/Cap</t>
  </si>
  <si>
    <t>Snail RUSH +120; All minion skin RUSH +100%; Per 3 Forest Protomon, Priest-Snail Assistance DMG +192; Forest Protomon: 60/60; Protomon Snail assist DMG +800</t>
  </si>
  <si>
    <t>15 ART; 600 ART in Rift; 6% Cards</t>
  </si>
  <si>
    <t>Code of Ur-Nammu</t>
  </si>
  <si>
    <t>Per 60 Zombie Minions in battle: Troop ATK +90; Per 6 kinds of Souls offered, Snail ATK +12 &amp; Priest-Assistance DMG +96; Souls offered: 300/300; Protomon Troop Assist DMG +800</t>
  </si>
  <si>
    <t>15 FAME; 30% Lifesteal Effect; 15% DMG REDUC</t>
  </si>
  <si>
    <t>The Birth of Tragedy</t>
  </si>
  <si>
    <t>Snail ATK +220; All minion skins HP +100%; Per 3 Minion Skins crafted, Protomon Troop Assistance DMG +288; Minion Skins Crafted: 60/60</t>
  </si>
  <si>
    <t>6% Purple Reagents; 6% Orange Cards; 3% Incense</t>
  </si>
  <si>
    <t>The Dream</t>
  </si>
  <si>
    <t>Per 60 Demon Minions in battle: Troop DEF +180; Protomon Troop assist DMG +960; Per Dorm Decor gained, Snail RUSH +12; Dorm Decor Gained: 40/40</t>
  </si>
  <si>
    <t>15 ART; 6% Blue Cards</t>
  </si>
  <si>
    <t>Tassili n'Ajjer</t>
  </si>
  <si>
    <t>Snail Leadership +12; Per 5 CIV Relics awakened, Priest-Snail/Priest-Troop Assistance DMG +288; CIV Relics Awakened: 100/100; Protomon Snail Assist DMG +800</t>
  </si>
  <si>
    <t>15 CIV; 9% DEF; 6% DMG REDUC</t>
  </si>
  <si>
    <t>Twin Heroes</t>
  </si>
  <si>
    <t>Snail ATK +100; Minion HP +2.4%; Minion RUSH +2.4%; Per 50 Minions Cloned, Snail ATK +18; Minions Cloned: 2000/2000</t>
  </si>
  <si>
    <t>Lottery Box (AAA)</t>
  </si>
  <si>
    <t>(Rounds)</t>
  </si>
  <si>
    <t>Sunny Plant Food gives +1 Green Pistil by +3.6%; Per 10 Maneater Pistils Used, Snail DEF +9; Maneater Pistils Used: 400/400</t>
  </si>
  <si>
    <t>10 FAME</t>
  </si>
  <si>
    <t>Snail DEF +90; The Fungus Farm has a +16% chance to produce Wonder Fungi</t>
  </si>
  <si>
    <t>10 ART</t>
  </si>
  <si>
    <t>Angel Minion ATK +9%; Per 30 Angel Minions in battle: Troop HARD Stats +32</t>
  </si>
  <si>
    <t>10 FTH</t>
  </si>
  <si>
    <t>Letters for Josephine</t>
  </si>
  <si>
    <t>Per Purple+ Gear equipped, Snail HP +90; Per Purple+ Gear equipped, Snail ATK +9; Snail HP +700</t>
  </si>
  <si>
    <t>Helmholtz Coil</t>
  </si>
  <si>
    <t>Refine +1 Green Demon God Material by +9%; Refine +1 Green Rebel Troop Material by +9%; Snail HP +700</t>
  </si>
  <si>
    <t>2% INTEL; 3% Orange Cards</t>
  </si>
  <si>
    <t>The Fifer</t>
  </si>
  <si>
    <t>Quantum Amp Max Cap +16%; Per 5 Quantum Amp LVLs, Snail DEF +36; Quantum Amp LVL: 50/50</t>
  </si>
  <si>
    <t>10 ART; 3% INTEL</t>
  </si>
  <si>
    <t>Per 30 Mecha Minions in battle: Troop HP +360; Per 30 Mecha Minions in battle: Troop ATK +64</t>
  </si>
  <si>
    <t>10 TECH</t>
  </si>
  <si>
    <t>Nishijin Fabric</t>
  </si>
  <si>
    <t>Snail ATK +90; Quantum Amp Production +9.6%</t>
  </si>
  <si>
    <t>Snail HP +1600; Dragon Minion Hp +9%</t>
  </si>
  <si>
    <t>Hela's Ship</t>
  </si>
  <si>
    <t>Snail ATK +70; Per 40 Eggs Hatched, Snail ATK +9; Per 40 Eggs Hatched, Snail RUSH +9; Eggs Hatched: 1600/1600</t>
  </si>
  <si>
    <t>Djinn Theory</t>
  </si>
  <si>
    <t>Snail DEF +90; Quantum Amp Max Cap +16%</t>
  </si>
  <si>
    <t>Galileo's Thermometer</t>
  </si>
  <si>
    <t>Per 30 Mecha Minions in battle: Troop ATK +64; Per Mecha Form Tier, Snail ATK +36; Mecha Form Tier 9/9</t>
  </si>
  <si>
    <t>Biography of Great Artists</t>
  </si>
  <si>
    <t>Quantum Amp Production +9.6%; Zombie Minion Cloning SPD +9%</t>
  </si>
  <si>
    <t>Galatea</t>
  </si>
  <si>
    <t>Snail ATK +90; Per 30 Angel Minions in battle: Troop ATK +64</t>
  </si>
  <si>
    <t>Ride of the Valkyrie</t>
  </si>
  <si>
    <t>Mutant Minion Cloning SPD +9%; Per 30 Mutant Minions in battle: Troop RUSH +64</t>
  </si>
  <si>
    <t>Brunel TBM</t>
  </si>
  <si>
    <t>Per 30 Mecha Minions in battle: Troop DEF +64; Per 500 Fissure Floors, Snail DEF +18; Fissure Floors: 15000/15000</t>
  </si>
  <si>
    <t>Mesopotamian Wheel</t>
  </si>
  <si>
    <t>Snail DEF +160; Quantum Amp Production +5.4%</t>
  </si>
  <si>
    <t>Fuenteovejuna</t>
  </si>
  <si>
    <t>Demon Minion Cloning SPD +9%; Per 30 Demon Minions in battle: Troop ATK +64</t>
  </si>
  <si>
    <t>Theory of Human Understanding</t>
  </si>
  <si>
    <t>Per 30 Mutant Minions in battle: Troop HP +360; Per 30 Mutant Minions in battle: Troop ATK +64</t>
  </si>
  <si>
    <t>Chiran Balan</t>
  </si>
  <si>
    <t>Snail ATK +70; Dragon Minion Cloning SPD +9%; Per 5 Dragon Gene LVLs researched, Snail ATK +18; Dragon Gene LVLs Researched: 150/150</t>
  </si>
  <si>
    <t>Antikythera Orb</t>
  </si>
  <si>
    <t>Per 30 T7+ Minions in battle, Troop HP +640; Per 3 TECH relics obtained, Snail ATK +18; TECH Relics Obtained: 60/60</t>
  </si>
  <si>
    <t>Lunch on the Yacht</t>
  </si>
  <si>
    <t>Per 30 T7+ Minions in battle, Troop ATK +64; Per 6 Distinct Souls Offered, Priest-Snail Assistence DMG +72; Distinct Souls Offered: 300/300</t>
  </si>
  <si>
    <t>Mutant Minion ATK +9%; Minion Healing SPD +8%</t>
  </si>
  <si>
    <t>Strapdown Inertial Navigation Technology</t>
  </si>
  <si>
    <t>Mecha Minion ATK +9%; Per apostle appointed, Priest-Snail Assistence DMG +72; Apostles appointed: 50/50; Protomons assist Snail in battle, and deal extra DMG +560</t>
  </si>
  <si>
    <t>Jade Cabbage</t>
  </si>
  <si>
    <t>Per 30 T7+ Minions in battle, Troop RUSH +64; Per 100 recruitment orders, Priest-Snail Assistence DMG +72; Recruitment Orders: 5000/5000</t>
  </si>
  <si>
    <t>Those Who Count Sand</t>
  </si>
  <si>
    <t>Minion Healing SPD +4.5%; Per 30 T7+ Minions in battle, Troop DEF +64</t>
  </si>
  <si>
    <t>Non-War Pact</t>
  </si>
  <si>
    <t>Zombie Minion HP +9%; Per 5 Mythic Protodex Stars, Priest-Troop Assistence DMG +216; Mythic Protodex Stars: 100/100; Protomons assist Troops in battle, and deal extra DMG +560</t>
  </si>
  <si>
    <t>Since the New World</t>
  </si>
  <si>
    <t>Per 30 T7+ Minions in battle: Troop ATK +64; Per 5 ART Relics Awakened, Priest-Snail Assistence DMG +216; ART Relics Awakened: 100/100</t>
  </si>
  <si>
    <t>Nobleman</t>
  </si>
  <si>
    <t>RF</t>
  </si>
  <si>
    <t>Science Magazine Vol.1</t>
  </si>
  <si>
    <t>Stockholm Declraration</t>
  </si>
  <si>
    <t>Terracotta Warriors</t>
  </si>
  <si>
    <t>The Final Communique</t>
  </si>
  <si>
    <t>Orpheus Egg</t>
  </si>
  <si>
    <t>Lady with an Ermine</t>
  </si>
  <si>
    <t>Phaistos Disc</t>
  </si>
  <si>
    <t>Ambika Statue</t>
  </si>
  <si>
    <t>The Milkmaid</t>
  </si>
  <si>
    <t>Fall of Phaethon</t>
  </si>
  <si>
    <t>Bell of St. Maura</t>
  </si>
  <si>
    <t>Innocent III Armorial</t>
  </si>
  <si>
    <t>Aulos Pipe</t>
  </si>
  <si>
    <t>Hachiko Statue</t>
  </si>
  <si>
    <t>Daguerreotype Camera</t>
  </si>
  <si>
    <t>Spencer's Microwave</t>
  </si>
  <si>
    <t>Albucasis Medical Codex</t>
  </si>
  <si>
    <t>Cellular Pathology</t>
  </si>
  <si>
    <t>CCD</t>
  </si>
  <si>
    <t>Statue of Isis</t>
  </si>
  <si>
    <t>Convention on the Law of the Sea</t>
  </si>
  <si>
    <t>Chang'e and Laurel</t>
  </si>
  <si>
    <t>Kao Gong Ji</t>
  </si>
  <si>
    <t>Geneva Declaration</t>
  </si>
  <si>
    <t>Five Oxen</t>
  </si>
  <si>
    <t>Lotus Lantern</t>
  </si>
  <si>
    <t>Nanhua Sutra</t>
  </si>
  <si>
    <t>Surgery Robot</t>
  </si>
  <si>
    <t>Metchnikoff's Notes</t>
  </si>
  <si>
    <t>Olympic Charter</t>
  </si>
  <si>
    <t>The Standard of Ur</t>
  </si>
  <si>
    <t>Arabian Bronze Hand</t>
  </si>
  <si>
    <t>Penglai Jade Branch</t>
  </si>
  <si>
    <t>Pride &amp; Prejudice</t>
  </si>
  <si>
    <t>De Motu Cordis Model</t>
  </si>
  <si>
    <t>Adari 2600</t>
  </si>
  <si>
    <t>Euler's Scripts</t>
  </si>
  <si>
    <t>Chidori Incense Burner</t>
  </si>
  <si>
    <t>Xiuhtecuhtli Mask</t>
  </si>
  <si>
    <t>Count of Monty Christi</t>
  </si>
  <si>
    <t>Kekule Structure</t>
  </si>
  <si>
    <t>Isabella</t>
  </si>
  <si>
    <t>La Peregrina</t>
  </si>
  <si>
    <t>M. Interferometer</t>
  </si>
  <si>
    <t>Konjaku Tale</t>
  </si>
  <si>
    <t>The Moon Puzzle</t>
  </si>
  <si>
    <t>No Longer Human</t>
  </si>
  <si>
    <t>Portrait of Helena</t>
  </si>
  <si>
    <t>Lotto2 relics NOT expected to enter the RF pool</t>
  </si>
  <si>
    <t>Portrait of Peter I</t>
  </si>
  <si>
    <t>Little Red Riding Hood</t>
  </si>
  <si>
    <t>Picture of Animals</t>
  </si>
  <si>
    <t>Uru Military Aircraft</t>
  </si>
  <si>
    <t>Awakening Stat</t>
  </si>
  <si>
    <t>Value</t>
  </si>
  <si>
    <t>Gold Relic #4</t>
  </si>
  <si>
    <t>Gold Relic #2</t>
  </si>
  <si>
    <t>Time Machine Output</t>
  </si>
  <si>
    <t>Mahakala Scroll</t>
  </si>
  <si>
    <t>Lotto Bead Purple -&gt; Orange</t>
  </si>
  <si>
    <t>Gold Relic #6</t>
  </si>
  <si>
    <t>Gold Relic #3</t>
  </si>
  <si>
    <t>1st Anniversary Event</t>
  </si>
  <si>
    <t>Gold-Plated Bird</t>
  </si>
  <si>
    <t>2nd Anniversary Event</t>
  </si>
  <si>
    <t>3rd Anniversary Event</t>
  </si>
  <si>
    <t>4th Anniversary Event</t>
  </si>
  <si>
    <t>Silver Relic #5</t>
  </si>
  <si>
    <t>Silver Relic #8</t>
  </si>
  <si>
    <t>Silver Relic #11</t>
  </si>
  <si>
    <t>Silver Relic #14</t>
  </si>
  <si>
    <t>Civil War Premonition</t>
  </si>
  <si>
    <t>Amber</t>
  </si>
  <si>
    <t>Lottery Machine #3 (0.12%)</t>
  </si>
  <si>
    <t>Leap Year Mid-Autumn Moon Letter</t>
  </si>
  <si>
    <t>Followers</t>
  </si>
  <si>
    <t>Mother Chest</t>
  </si>
  <si>
    <t>Divine Crystals</t>
  </si>
  <si>
    <t>Lottery Machine #3 (0.24%)</t>
  </si>
  <si>
    <t>Sorrows of Wurther</t>
  </si>
  <si>
    <t>Lifestones</t>
  </si>
  <si>
    <t>Tribe Building Cost</t>
  </si>
  <si>
    <t>B-tad Output</t>
  </si>
  <si>
    <t>Fragment Crafting (15.1%), Koryeo Treasure Map (5%), Lottery Machine (0.81%), Relic Forge (90 Relic RF), Wishing (0.81%)</t>
  </si>
  <si>
    <t>Grandmaster Scrolls (0.81%), Lottery Machine (0.09%), Relic Forge (120 Relic RF), Wish Box, Wishing (0.08%)</t>
  </si>
  <si>
    <t>Golden Wheat</t>
  </si>
  <si>
    <t>Grandmaster Scrolls (0.81%), Lottery Machine (0.09%), Relic Forge (120 Relic RF), Wish Box, Wishing (0.08%), Yamato Treasure Maps (0.01%)</t>
  </si>
  <si>
    <t>Boat of St. Peter</t>
  </si>
  <si>
    <t>Exploration B-tads</t>
  </si>
  <si>
    <t>FTH Master Scrolls (9.2%), Fragment Crafting (4.4%), Grandmaster Scrolls (2.1%), Lottery Machine (0.24%), Master Scrolls (1.9%), Super Species Chest (5.5%), Wishing (0.16%)</t>
  </si>
  <si>
    <t>Das Kapital</t>
  </si>
  <si>
    <t>Lottery Machine (0.12%), Wishing (0.1%), Britland Treasure Maps (5%), Grandmaster Scrolls (1%), Relic Forge (100 Relic RF)</t>
  </si>
  <si>
    <t>Offering SPD</t>
  </si>
  <si>
    <t>Grandmaster Scrolls (0.81%), Hellas Treasure Map (0.01%), Lottery Machine (0.09%), Relic Forge (120 Relic RF), Wishing (0.09%)</t>
  </si>
  <si>
    <t>Prometheus Torch</t>
  </si>
  <si>
    <t>Cathay Treasure Maps (0.01%), Grandmaster Scrolls (0.81%), Lottery Machine (0.09%), Relic Forge (120 Relic RF), Wish Box, Wishing (0.08%)</t>
  </si>
  <si>
    <t>Wormhole Shards</t>
  </si>
  <si>
    <t>Lottery Machine No. 2 (0.47%)</t>
  </si>
  <si>
    <t>Wormhole Refiner</t>
  </si>
  <si>
    <t>Daily Relic #8</t>
  </si>
  <si>
    <t>Fu Hao Scripts</t>
  </si>
  <si>
    <t>Purple Cards</t>
  </si>
  <si>
    <t>Fragment Crafting (4.1%), Grandmaster Scrolls (1.5%), Lottery Machine (0.18%), Wishing (0.15%)</t>
  </si>
  <si>
    <t>Divine Chests</t>
  </si>
  <si>
    <t>Silver Relic #1</t>
  </si>
  <si>
    <t>Athena Statue</t>
  </si>
  <si>
    <t>Grandmaster Scrolls (0.81%), Lottery Machine (0.09%), Relic Forge (120 Relic RF), Super Treasure Maps (0.03%), Wishing (0.08%)</t>
  </si>
  <si>
    <t>Divine Neutral Chests</t>
  </si>
  <si>
    <t>Daily Relic #6</t>
  </si>
  <si>
    <t>Wormhole SPD</t>
  </si>
  <si>
    <t>Manga Manuscripts</t>
  </si>
  <si>
    <t>Daily Relic #20</t>
  </si>
  <si>
    <t>Offering Egg Hatching</t>
  </si>
  <si>
    <t>Bird Offering Incubation Bonus</t>
  </si>
  <si>
    <t>Exploration Egg Hatching</t>
  </si>
  <si>
    <t>Bird Exploration Incubation Bonus</t>
  </si>
  <si>
    <t>Wishing Egg Hatching</t>
  </si>
  <si>
    <t>Bird Wishing Incubation Bonus</t>
  </si>
  <si>
    <t>Luck Egg Hatching</t>
  </si>
  <si>
    <t>Bird Luck Incubation Bonus</t>
  </si>
  <si>
    <t>Minion Sim Tokens</t>
  </si>
  <si>
    <t>Surf Clam Sim Effect</t>
  </si>
  <si>
    <t>Lottery Machine #3 (0.36%)</t>
  </si>
  <si>
    <t>Sherman Anti-Trust Act</t>
  </si>
  <si>
    <t>Hamster Sim Effect</t>
  </si>
  <si>
    <t>Lottery Machine #3 (1.63%)</t>
  </si>
  <si>
    <t>The Graces</t>
  </si>
  <si>
    <t>Dung Beetle Sim Effect</t>
  </si>
  <si>
    <t>Goldfish Sim Effect</t>
  </si>
  <si>
    <t>Mantis Sim Effect</t>
  </si>
  <si>
    <t>Decor Coin +1</t>
  </si>
  <si>
    <t>Quantum Foam</t>
  </si>
  <si>
    <t>Sand</t>
  </si>
  <si>
    <t>Dominate Past/Future Apostles</t>
  </si>
  <si>
    <t>The Ulster Chronicles</t>
  </si>
  <si>
    <t>Blue Paint Crafting +1</t>
  </si>
  <si>
    <t>Purple Spore Voucher +1</t>
  </si>
  <si>
    <t>Ancient Coins</t>
  </si>
  <si>
    <t>Note: Potentially valuable for future relic synchronization (200-250% relic awakening); List is not in priority order</t>
  </si>
  <si>
    <t xml:space="preserve">Note: </t>
  </si>
  <si>
    <t>Baseline data is pulled from Raigetsuki and drifter usage may not be optimal</t>
  </si>
  <si>
    <t>Dance (Hellas)</t>
  </si>
  <si>
    <t>No.</t>
  </si>
  <si>
    <t>Setting</t>
  </si>
  <si>
    <t>Score 1</t>
  </si>
  <si>
    <t>Score 2</t>
  </si>
  <si>
    <t>Score 3</t>
  </si>
  <si>
    <t>Score 4</t>
  </si>
  <si>
    <t>Score 5</t>
  </si>
  <si>
    <t>Idol</t>
  </si>
  <si>
    <t>Idol Level</t>
  </si>
  <si>
    <t>Excalibra Level</t>
  </si>
  <si>
    <t>Amakusa Level</t>
  </si>
  <si>
    <t>Commissioner</t>
  </si>
  <si>
    <t>Feather Garment Dance</t>
  </si>
  <si>
    <t>AD 755</t>
  </si>
  <si>
    <t>2nd</t>
  </si>
  <si>
    <t>5th</t>
  </si>
  <si>
    <t>Male</t>
  </si>
  <si>
    <t>Versailles Palace Ball</t>
  </si>
  <si>
    <t>AD 1701</t>
  </si>
  <si>
    <t>3rd</t>
  </si>
  <si>
    <t>Female</t>
  </si>
  <si>
    <t>Ball of Buckingham Palace</t>
  </si>
  <si>
    <t>AD 1842</t>
  </si>
  <si>
    <t>1st</t>
  </si>
  <si>
    <t>Swan Lake</t>
  </si>
  <si>
    <t>AD 1877</t>
  </si>
  <si>
    <t>Queen Charlotte's Ball</t>
  </si>
  <si>
    <t>AD 1780</t>
  </si>
  <si>
    <t>Broadway</t>
  </si>
  <si>
    <t>AD 1810</t>
  </si>
  <si>
    <t>Ball of Winter Palace</t>
  </si>
  <si>
    <t>AD 1903</t>
  </si>
  <si>
    <t>Liberation Rite</t>
  </si>
  <si>
    <t>AD 627</t>
  </si>
  <si>
    <t>Great Dionysia</t>
  </si>
  <si>
    <t>BC 755</t>
  </si>
  <si>
    <t>SYT Clear</t>
  </si>
  <si>
    <t>Sun Deity Festival</t>
  </si>
  <si>
    <t>BC 8047</t>
  </si>
  <si>
    <t>Romeo &amp; Juliet</t>
  </si>
  <si>
    <t>AD 1595</t>
  </si>
  <si>
    <t>30 [N/A]</t>
  </si>
  <si>
    <t>19 [15]</t>
  </si>
  <si>
    <t>[25]</t>
  </si>
  <si>
    <t>SYT Clear vs. [Predicted]</t>
  </si>
  <si>
    <t>Socialite Ball</t>
  </si>
  <si>
    <t>AD 1992</t>
  </si>
  <si>
    <t>Self Clear</t>
  </si>
  <si>
    <t>Seven Devils</t>
  </si>
  <si>
    <t>BC 1053</t>
  </si>
  <si>
    <t>[N/A]</t>
  </si>
  <si>
    <t>[15]</t>
  </si>
  <si>
    <t>[30]</t>
  </si>
  <si>
    <t>[Predicted]</t>
  </si>
  <si>
    <t>Dance World Cup</t>
  </si>
  <si>
    <t>AD 2000</t>
  </si>
  <si>
    <t>Carnival of Venice</t>
  </si>
  <si>
    <t>AD 1162</t>
  </si>
  <si>
    <t>Red Mill's Ball</t>
  </si>
  <si>
    <t>AD 1876</t>
  </si>
  <si>
    <t>4th</t>
  </si>
  <si>
    <t>Blackpool Dance Festival</t>
  </si>
  <si>
    <t>AD 1920</t>
  </si>
  <si>
    <t>General Xiang's Swordplay</t>
  </si>
  <si>
    <t>BC 206</t>
  </si>
  <si>
    <t>The Dance Plague</t>
  </si>
  <si>
    <t>AD 1518</t>
  </si>
  <si>
    <t>Prix de Lausanne</t>
  </si>
  <si>
    <t>AD 1973</t>
  </si>
  <si>
    <t>Congress of Vienna</t>
  </si>
  <si>
    <t>AD 1814</t>
  </si>
  <si>
    <t>[56]*</t>
  </si>
  <si>
    <t>[54]</t>
  </si>
  <si>
    <t>[55]*</t>
  </si>
  <si>
    <t>[41]*</t>
  </si>
  <si>
    <t>Excalibra/Athena required, pick one 3rd member</t>
  </si>
  <si>
    <t>Six Dynasty Ritual Dance</t>
  </si>
  <si>
    <t>BC 2717</t>
  </si>
  <si>
    <t>Riding (Murika)</t>
  </si>
  <si>
    <t>Rec. Riding</t>
  </si>
  <si>
    <t>Clear Riding</t>
  </si>
  <si>
    <t>Venue</t>
  </si>
  <si>
    <t>Guan Yu</t>
  </si>
  <si>
    <t>Tridentman</t>
  </si>
  <si>
    <t>Kitty</t>
  </si>
  <si>
    <t>Commisioner</t>
  </si>
  <si>
    <t>Nurburgring</t>
  </si>
  <si>
    <t>AD 1950</t>
  </si>
  <si>
    <t>Highway</t>
  </si>
  <si>
    <t>Green Magic Academy</t>
  </si>
  <si>
    <t>AD 1926</t>
  </si>
  <si>
    <t>Atlantis</t>
  </si>
  <si>
    <t>BC 553</t>
  </si>
  <si>
    <t>Waters</t>
  </si>
  <si>
    <t>Toraemon Race</t>
  </si>
  <si>
    <t>AD 1969</t>
  </si>
  <si>
    <t>Kusk</t>
  </si>
  <si>
    <t>AD 1943</t>
  </si>
  <si>
    <t>Giza Pyramids</t>
  </si>
  <si>
    <t>BC 6899</t>
  </si>
  <si>
    <t>Desert</t>
  </si>
  <si>
    <t>Naadam Festival</t>
  </si>
  <si>
    <t>AD 1206</t>
  </si>
  <si>
    <t>Marathon Plain</t>
  </si>
  <si>
    <t>BC 490</t>
  </si>
  <si>
    <t>Waterloo Station</t>
  </si>
  <si>
    <t>AD 1848</t>
  </si>
  <si>
    <t>Train</t>
  </si>
  <si>
    <t>tntboom clear</t>
  </si>
  <si>
    <t>Silk Roads</t>
  </si>
  <si>
    <t>BC 139</t>
  </si>
  <si>
    <t>Murikan Sailboat Race</t>
  </si>
  <si>
    <t>AD 1851</t>
  </si>
  <si>
    <t>Ocean Race</t>
  </si>
  <si>
    <t>Le Mans</t>
  </si>
  <si>
    <t>AD 1965</t>
  </si>
  <si>
    <t>Dragon Gate Escort</t>
  </si>
  <si>
    <t>AD 1421</t>
  </si>
  <si>
    <t>Siena Horse Race</t>
  </si>
  <si>
    <t>AD 1729</t>
  </si>
  <si>
    <t>The Dakar Rally</t>
  </si>
  <si>
    <t>AD 1977</t>
  </si>
  <si>
    <t>F1 World Championship</t>
  </si>
  <si>
    <t>BC 1986</t>
  </si>
  <si>
    <t>Tour de Gallia</t>
  </si>
  <si>
    <t>Witch World Championship</t>
  </si>
  <si>
    <t>AD 1549</t>
  </si>
  <si>
    <t>Roman Chariot Race</t>
  </si>
  <si>
    <t>AD 92</t>
  </si>
  <si>
    <t>Speed and Fury</t>
  </si>
  <si>
    <t>AD 2001</t>
  </si>
  <si>
    <t>Relax Sailboat Race</t>
  </si>
  <si>
    <t>AD 1968</t>
  </si>
  <si>
    <t>taeyeon clear</t>
  </si>
  <si>
    <t>Sailing (Britland)</t>
  </si>
  <si>
    <t>Rec. Sailing</t>
  </si>
  <si>
    <t>Clear Sailing</t>
  </si>
  <si>
    <t>Boss</t>
  </si>
  <si>
    <t>Boss Firepower</t>
  </si>
  <si>
    <t>Trident Man</t>
  </si>
  <si>
    <t>St. Trinidad</t>
  </si>
  <si>
    <t>Soleil Royal</t>
  </si>
  <si>
    <t>Dragon Horse</t>
  </si>
  <si>
    <t>Peacekeeper</t>
  </si>
  <si>
    <t>Battle of Baekgang</t>
  </si>
  <si>
    <t>AD 663</t>
  </si>
  <si>
    <t>X</t>
  </si>
  <si>
    <t>Battle of Actium</t>
  </si>
  <si>
    <t>BC 31</t>
  </si>
  <si>
    <t>Battle of Noryang</t>
  </si>
  <si>
    <t>AD 1598</t>
  </si>
  <si>
    <t>Summit War</t>
  </si>
  <si>
    <t>AD 1520</t>
  </si>
  <si>
    <t>Battle of Trafalgar</t>
  </si>
  <si>
    <t>AD 1805</t>
  </si>
  <si>
    <t>Battle of Jutland</t>
  </si>
  <si>
    <t>AD 1916</t>
  </si>
  <si>
    <t>Caribbean Battle</t>
  </si>
  <si>
    <t>AD 1670</t>
  </si>
  <si>
    <t>Battle of Leyte Gulf</t>
  </si>
  <si>
    <t>AD 1944</t>
  </si>
  <si>
    <t>Battle of Luermen</t>
  </si>
  <si>
    <t>AD 1656</t>
  </si>
  <si>
    <t>Battle of Gravelines</t>
  </si>
  <si>
    <t>AD 1588</t>
  </si>
  <si>
    <t>Treasure Battle</t>
  </si>
  <si>
    <t>AD 1753</t>
  </si>
  <si>
    <t>Battle of Diu</t>
  </si>
  <si>
    <t>AD 1509</t>
  </si>
  <si>
    <t>Battle of Sinop</t>
  </si>
  <si>
    <t>AD 1853</t>
  </si>
  <si>
    <t>Battle of Tangdao</t>
  </si>
  <si>
    <t>AD 1161</t>
  </si>
  <si>
    <t>Throne Clear</t>
  </si>
  <si>
    <t>Vikings</t>
  </si>
  <si>
    <t>AD 982</t>
  </si>
  <si>
    <t>Battle of Lepanto</t>
  </si>
  <si>
    <t>AD 1571</t>
  </si>
  <si>
    <t>Battle of Gallipoli</t>
  </si>
  <si>
    <t>AD 1915</t>
  </si>
  <si>
    <t>Battle of Lissa</t>
  </si>
  <si>
    <t>AD 1886</t>
  </si>
  <si>
    <t>Philippine Sea Battle</t>
  </si>
  <si>
    <t>Battle of Tsushima</t>
  </si>
  <si>
    <t>AD 1905</t>
  </si>
  <si>
    <t>Battle of Chesma</t>
  </si>
  <si>
    <t>AD 1770</t>
  </si>
  <si>
    <t>Battle of Navarino</t>
  </si>
  <si>
    <t>AD 1827</t>
  </si>
  <si>
    <t>Battle of Midway</t>
  </si>
  <si>
    <t>AD 1942</t>
  </si>
  <si>
    <t>Ninjutsu (Yamato)</t>
  </si>
  <si>
    <t>Rec. Nin.</t>
  </si>
  <si>
    <t>Clear Nin.</t>
  </si>
  <si>
    <t>Weakness</t>
  </si>
  <si>
    <t>Momochi</t>
  </si>
  <si>
    <t>Hitman</t>
  </si>
  <si>
    <t>Poisoner</t>
  </si>
  <si>
    <t>Amakusa</t>
  </si>
  <si>
    <t>Shimabara Rebellion</t>
  </si>
  <si>
    <t>AD 1637</t>
  </si>
  <si>
    <t>Earth</t>
  </si>
  <si>
    <t>Honno-ji Incident</t>
  </si>
  <si>
    <t>AD 1582</t>
  </si>
  <si>
    <t>Water</t>
  </si>
  <si>
    <t>Ganryu Showdown</t>
  </si>
  <si>
    <t>AD 1612</t>
  </si>
  <si>
    <t>Fire</t>
  </si>
  <si>
    <t>Ikedaya Incident</t>
  </si>
  <si>
    <t>AD 1864</t>
  </si>
  <si>
    <t>Wind</t>
  </si>
  <si>
    <t>The First Ninja War</t>
  </si>
  <si>
    <t>BC 429</t>
  </si>
  <si>
    <t>Battle of Sekigahara</t>
  </si>
  <si>
    <t>AD 1600</t>
  </si>
  <si>
    <t>Ikko-shu Uprising</t>
  </si>
  <si>
    <t>AD 1532</t>
  </si>
  <si>
    <t>Battle of Okehazama</t>
  </si>
  <si>
    <t>AD 1560</t>
  </si>
  <si>
    <t>The Second Ninja War</t>
  </si>
  <si>
    <t>BC 397</t>
  </si>
  <si>
    <t>Kawanakajima Battle</t>
  </si>
  <si>
    <t>AD 1561</t>
  </si>
  <si>
    <t>Tengu Hunt</t>
  </si>
  <si>
    <t>AD 1999</t>
  </si>
  <si>
    <t>Battle of Bun'ei</t>
  </si>
  <si>
    <t>AD 1274</t>
  </si>
  <si>
    <t>The Third Ninja War</t>
  </si>
  <si>
    <t>BC 371</t>
  </si>
  <si>
    <t>The Fourth Ninja War</t>
  </si>
  <si>
    <t>BC 324</t>
  </si>
  <si>
    <t>Battle of Takamagahara</t>
  </si>
  <si>
    <t>BC 428</t>
  </si>
  <si>
    <t>Onin War</t>
  </si>
  <si>
    <t>AD 1467</t>
  </si>
  <si>
    <t>Crusade for Music</t>
  </si>
  <si>
    <t>AD 1979</t>
  </si>
  <si>
    <t>Isshi Incident</t>
  </si>
  <si>
    <t>AD 645</t>
  </si>
  <si>
    <t>Tensho Iga War</t>
  </si>
  <si>
    <t>AD 1579</t>
  </si>
  <si>
    <t>Genko War</t>
  </si>
  <si>
    <t>AD 1331</t>
  </si>
  <si>
    <t>Battle of Dan-no-ura</t>
  </si>
  <si>
    <t>AD 1185</t>
  </si>
  <si>
    <t>Campaign Against Ruler Date</t>
  </si>
  <si>
    <t>AD 1602</t>
  </si>
  <si>
    <t>Siege of Ueda</t>
  </si>
  <si>
    <t>AD 1585</t>
  </si>
  <si>
    <t>Defense (Kemet)</t>
  </si>
  <si>
    <t>Rec. Def.</t>
  </si>
  <si>
    <t>Clear Def.</t>
  </si>
  <si>
    <t>Past Pyr.</t>
  </si>
  <si>
    <t>Huang</t>
  </si>
  <si>
    <t>Future Pyr.</t>
  </si>
  <si>
    <t>Battle of Kunyang</t>
  </si>
  <si>
    <t>AD 23</t>
  </si>
  <si>
    <t>Battle of Stalingrad</t>
  </si>
  <si>
    <t>Battle of Vienna</t>
  </si>
  <si>
    <t>AD 1529</t>
  </si>
  <si>
    <t>Battle of Hongdu</t>
  </si>
  <si>
    <t>AD 1363</t>
  </si>
  <si>
    <t>Siege of Paris</t>
  </si>
  <si>
    <t>AD 885</t>
  </si>
  <si>
    <t>Battle of Yancheng</t>
  </si>
  <si>
    <t>AD 1139</t>
  </si>
  <si>
    <t>Battle of Handan</t>
  </si>
  <si>
    <t>BC 257</t>
  </si>
  <si>
    <t>Battle of Luoyang</t>
  </si>
  <si>
    <t>AD 564</t>
  </si>
  <si>
    <t>Siege of Odawara</t>
  </si>
  <si>
    <t>AD 1569</t>
  </si>
  <si>
    <t>Battle of Thermopylae</t>
  </si>
  <si>
    <t>BC 480</t>
  </si>
  <si>
    <t>Capital Defense</t>
  </si>
  <si>
    <t>AD 1449</t>
  </si>
  <si>
    <t>Izu Peninsula Battle</t>
  </si>
  <si>
    <t>AD 1581</t>
  </si>
  <si>
    <t>Hefei Campaign</t>
  </si>
  <si>
    <t>AD 215</t>
  </si>
  <si>
    <t>Siege of Miletus</t>
  </si>
  <si>
    <t>BC 334</t>
  </si>
  <si>
    <t>Defense of Pskov</t>
  </si>
  <si>
    <t>Battle of Iwaya Castle</t>
  </si>
  <si>
    <t>AD 1584</t>
  </si>
  <si>
    <t>Defense of Suiyang</t>
  </si>
  <si>
    <t>AD 756</t>
  </si>
  <si>
    <t>The Great Wall Battle</t>
  </si>
  <si>
    <t>BC 3664</t>
  </si>
  <si>
    <t>Defense of Bianjing</t>
  </si>
  <si>
    <t>AD 1232</t>
  </si>
  <si>
    <t>Siege of Belgrade</t>
  </si>
  <si>
    <t>AD 1455</t>
  </si>
  <si>
    <t>Siege of Diaoyu Castle</t>
  </si>
  <si>
    <t>AD 1259</t>
  </si>
  <si>
    <t>The Third Impact</t>
  </si>
  <si>
    <t>AD 2016</t>
  </si>
  <si>
    <t>Dharma (Bharata)</t>
  </si>
  <si>
    <t>Rec. Dhar.</t>
  </si>
  <si>
    <t>Clear Dhar.</t>
  </si>
  <si>
    <t>Enemies</t>
  </si>
  <si>
    <t>Sanzang</t>
  </si>
  <si>
    <t>Mad Abe</t>
  </si>
  <si>
    <t>Yellow Turban Arises</t>
  </si>
  <si>
    <t>AD 184</t>
  </si>
  <si>
    <t>Battle of Muye</t>
  </si>
  <si>
    <t>BC 1046</t>
  </si>
  <si>
    <t>The Ghost Hunt</t>
  </si>
  <si>
    <t>AD 698</t>
  </si>
  <si>
    <t>Ghost &amp; Student</t>
  </si>
  <si>
    <t>AD 1365</t>
  </si>
  <si>
    <t>The Battle of Zhuolu</t>
  </si>
  <si>
    <t>BC 2600</t>
  </si>
  <si>
    <t>Ruler of Demon Realm</t>
  </si>
  <si>
    <t>AD 367</t>
  </si>
  <si>
    <t>Nezha vs. Dragon King</t>
  </si>
  <si>
    <t>BC 1052</t>
  </si>
  <si>
    <t>Taming the Flood</t>
  </si>
  <si>
    <t>BC 2064</t>
  </si>
  <si>
    <t>Gate of Void</t>
  </si>
  <si>
    <t>AD 964</t>
  </si>
  <si>
    <t>Yellow River Array</t>
  </si>
  <si>
    <t>Immortal Slayer Array</t>
  </si>
  <si>
    <t>Mayhem Maker</t>
  </si>
  <si>
    <t>AD 25</t>
  </si>
  <si>
    <t>Laozi's Trilocation</t>
  </si>
  <si>
    <t>BC 2046</t>
  </si>
  <si>
    <t>Hitting Mount Buzhou</t>
  </si>
  <si>
    <t>BC 3165</t>
  </si>
  <si>
    <t>Buddha-Demon Battle</t>
  </si>
  <si>
    <t>BC 583</t>
  </si>
  <si>
    <t>Ragnarok</t>
  </si>
  <si>
    <t>AD 691</t>
  </si>
  <si>
    <t>Pajamapantsdan Clear</t>
  </si>
  <si>
    <t>Mythical Beast</t>
  </si>
  <si>
    <t>BC 2153</t>
  </si>
  <si>
    <t>Arhat</t>
  </si>
  <si>
    <t>BC 736</t>
  </si>
  <si>
    <t>Buddha Jih's Descent</t>
  </si>
  <si>
    <t>AD 1156</t>
  </si>
  <si>
    <t>Eternity War</t>
  </si>
  <si>
    <t>BC 444</t>
  </si>
  <si>
    <t>Fire and Water Beasts</t>
  </si>
  <si>
    <t>BC 2354</t>
  </si>
  <si>
    <t>Dream Eater</t>
  </si>
  <si>
    <t>BC 2946</t>
  </si>
  <si>
    <t>Titanomachy</t>
  </si>
  <si>
    <t>BC 15000</t>
  </si>
  <si>
    <t>Band (Koryeo)</t>
  </si>
  <si>
    <t>Rec. Band</t>
  </si>
  <si>
    <t>Clear Band</t>
  </si>
  <si>
    <t>Style</t>
  </si>
  <si>
    <t>Score</t>
  </si>
  <si>
    <t>Idol Boy</t>
  </si>
  <si>
    <t>Dracula</t>
  </si>
  <si>
    <t>Live in Bucharest</t>
  </si>
  <si>
    <t>Samba</t>
  </si>
  <si>
    <t>Paris Opera House</t>
  </si>
  <si>
    <t>AD 1875</t>
  </si>
  <si>
    <t>Blues</t>
  </si>
  <si>
    <t>Theatre of Epidaurus</t>
  </si>
  <si>
    <t>BC 330</t>
  </si>
  <si>
    <t>Remix</t>
  </si>
  <si>
    <t>Theatre of Dionysus</t>
  </si>
  <si>
    <t>BC 556</t>
  </si>
  <si>
    <t>Theatre of Merida</t>
  </si>
  <si>
    <t>BC 15</t>
  </si>
  <si>
    <t>Shakespeare's Globe</t>
  </si>
  <si>
    <t>AD 1599</t>
  </si>
  <si>
    <t>Musikverein</t>
  </si>
  <si>
    <t>AD 1869</t>
  </si>
  <si>
    <t>The Grimmys</t>
  </si>
  <si>
    <t>AD 1957</t>
  </si>
  <si>
    <t>La Scala</t>
  </si>
  <si>
    <t>AD 1778</t>
  </si>
  <si>
    <t>Empty Fort Strat</t>
  </si>
  <si>
    <t>AD 228</t>
  </si>
  <si>
    <t>The Peatles Concert</t>
  </si>
  <si>
    <t>AD 1964</t>
  </si>
  <si>
    <t>Nomad Flute Songs</t>
  </si>
  <si>
    <t>AD 195</t>
  </si>
  <si>
    <t>Woodstock</t>
  </si>
  <si>
    <t>Bolshoi Theatre</t>
  </si>
  <si>
    <t>AD 1856</t>
  </si>
  <si>
    <t>Sydney Opera House</t>
  </si>
  <si>
    <t>Lucerne Festival</t>
  </si>
  <si>
    <t>AD 1983</t>
  </si>
  <si>
    <t>Hungarian Rhapsodie</t>
  </si>
  <si>
    <t>AD 1885</t>
  </si>
  <si>
    <t>BC 407</t>
  </si>
  <si>
    <t>Salzburg Festival</t>
  </si>
  <si>
    <t>The Nine Songs</t>
  </si>
  <si>
    <t>BC 302</t>
  </si>
  <si>
    <t>Waldbuehne Berlin</t>
  </si>
  <si>
    <t>AD 1989</t>
  </si>
  <si>
    <t>Canticle</t>
  </si>
  <si>
    <t>AD 30</t>
  </si>
  <si>
    <t>Siege (Cathay)</t>
  </si>
  <si>
    <t>Rec. Siege</t>
  </si>
  <si>
    <t>Clear Siege</t>
  </si>
  <si>
    <t>Formation</t>
  </si>
  <si>
    <t>Others S+</t>
  </si>
  <si>
    <t>Siege of Carthage</t>
  </si>
  <si>
    <t>Battle of Hulao Pass</t>
  </si>
  <si>
    <t>AD 191</t>
  </si>
  <si>
    <t>Trojan War</t>
  </si>
  <si>
    <t>BC 1183</t>
  </si>
  <si>
    <t>Siege of Osaka</t>
  </si>
  <si>
    <t>AD 1615</t>
  </si>
  <si>
    <t>Battle of Jiange</t>
  </si>
  <si>
    <t>AD 263</t>
  </si>
  <si>
    <t>V</t>
  </si>
  <si>
    <t>Siege of Jerusalem</t>
  </si>
  <si>
    <t>AD 1187</t>
  </si>
  <si>
    <t>Battle of Julu</t>
  </si>
  <si>
    <t>Siege of Barad-du</t>
  </si>
  <si>
    <t>BC 4660</t>
  </si>
  <si>
    <t>Battle of Rome</t>
  </si>
  <si>
    <t>AD 410</t>
  </si>
  <si>
    <t>Battle of the Somme</t>
  </si>
  <si>
    <t>Battle of Chencang</t>
  </si>
  <si>
    <t>AD 299</t>
  </si>
  <si>
    <t>Battle of Verdun</t>
  </si>
  <si>
    <t>The Siege of Tyre</t>
  </si>
  <si>
    <t>BC 332</t>
  </si>
  <si>
    <t>Gettysburg Campaign</t>
  </si>
  <si>
    <t>AD 1863</t>
  </si>
  <si>
    <t>World War Z</t>
  </si>
  <si>
    <t>AD 2065</t>
  </si>
  <si>
    <t>River-Crossing Battle of Caishi</t>
  </si>
  <si>
    <t>AD 1355</t>
  </si>
  <si>
    <t>Constantinople Battle</t>
  </si>
  <si>
    <t>AD 1453</t>
  </si>
  <si>
    <t>Battle of the Inca Conquest</t>
  </si>
  <si>
    <t>AD 1531</t>
  </si>
  <si>
    <t>Battle of Yique</t>
  </si>
  <si>
    <t>BC 293</t>
  </si>
  <si>
    <t>Battle of Yorktown</t>
  </si>
  <si>
    <t>AD 1781</t>
  </si>
  <si>
    <t>Siege of Harfleur</t>
  </si>
  <si>
    <t>AD 1415</t>
  </si>
  <si>
    <t>Battle of Falkirk</t>
  </si>
  <si>
    <t>AD 1298</t>
  </si>
  <si>
    <t>47-50</t>
  </si>
  <si>
    <t>Battle of Camlan</t>
  </si>
  <si>
    <t>AD 573</t>
  </si>
  <si>
    <t>Fish</t>
  </si>
  <si>
    <t>49-53</t>
  </si>
  <si>
    <t>18 Flank / 10 Trinity</t>
  </si>
  <si>
    <t>Drifter</t>
  </si>
  <si>
    <t>Current Level</t>
  </si>
  <si>
    <t>Talent per Lvl</t>
  </si>
  <si>
    <t>All Drifter Talent</t>
  </si>
  <si>
    <t>Female Talent</t>
  </si>
  <si>
    <t>Male Talent</t>
  </si>
  <si>
    <t>Self Talent</t>
  </si>
  <si>
    <t>Against Females</t>
  </si>
  <si>
    <t>Sword Dance</t>
  </si>
  <si>
    <t>Rating per Drifter Lvl</t>
  </si>
  <si>
    <t>Dance Rating (Male)</t>
  </si>
  <si>
    <t>Dance Rating (Female)</t>
  </si>
  <si>
    <t>Excalibra</t>
  </si>
  <si>
    <t>Idol boy</t>
  </si>
  <si>
    <t>Position</t>
  </si>
  <si>
    <t>Enemy Score</t>
  </si>
  <si>
    <t>Gender</t>
  </si>
  <si>
    <t>Player Score</t>
  </si>
  <si>
    <t>Effective Enemy Score</t>
  </si>
  <si>
    <t>Victory</t>
  </si>
  <si>
    <t>Skill Type</t>
  </si>
  <si>
    <t>Owner</t>
  </si>
  <si>
    <t>Rating</t>
  </si>
  <si>
    <t>Level</t>
  </si>
  <si>
    <t>Effect</t>
  </si>
  <si>
    <t>All Female Talent</t>
  </si>
  <si>
    <t>All Male Talent</t>
  </si>
  <si>
    <t>Against Female</t>
  </si>
  <si>
    <t>Anecdote</t>
  </si>
  <si>
    <t>Mourning of the Rose</t>
  </si>
  <si>
    <t>Result</t>
  </si>
  <si>
    <t>Shadow Dance</t>
  </si>
  <si>
    <t>Principal Dancer</t>
  </si>
  <si>
    <t>Queens Legacy</t>
  </si>
  <si>
    <t>Credit: SYT for base calculator</t>
  </si>
  <si>
    <t>All Ally Band</t>
  </si>
  <si>
    <t xml:space="preserve">As a Singer </t>
  </si>
  <si>
    <t>Ally Singer</t>
  </si>
  <si>
    <t>Ally Female</t>
  </si>
  <si>
    <t xml:space="preserve">Ally Musician </t>
  </si>
  <si>
    <t xml:space="preserve">As a Musician </t>
  </si>
  <si>
    <t>Valkeryie Peak</t>
  </si>
  <si>
    <t>Rating per Drifter Level</t>
  </si>
  <si>
    <t>Score Contribution</t>
  </si>
  <si>
    <t>Madam Huang</t>
  </si>
  <si>
    <t>Score per Level</t>
  </si>
  <si>
    <t>Valyrkie Peak Effect</t>
  </si>
  <si>
    <t>Song Type</t>
  </si>
  <si>
    <t>Female Band Effect</t>
  </si>
  <si>
    <t>Target Score</t>
  </si>
  <si>
    <t>All Ally Effect</t>
  </si>
  <si>
    <t>Standard</t>
  </si>
  <si>
    <t>As a Singer Effect</t>
  </si>
  <si>
    <t>Expected Score</t>
  </si>
  <si>
    <t>Ally Singer Effect</t>
  </si>
  <si>
    <t>Difference</t>
  </si>
  <si>
    <t>As Musician Effect</t>
  </si>
  <si>
    <t>Ally Musician Effect</t>
  </si>
  <si>
    <t>With Mysterious Bonus</t>
  </si>
  <si>
    <t>Remix Effect</t>
  </si>
  <si>
    <t>Samba Effect</t>
  </si>
  <si>
    <t>Blues Effect</t>
  </si>
  <si>
    <t>Stage Control</t>
  </si>
  <si>
    <t>Athena's Delight</t>
  </si>
  <si>
    <t>Firepower Contributed</t>
  </si>
  <si>
    <t>Armor Contributed</t>
  </si>
  <si>
    <t>Enemy Seafaring</t>
  </si>
  <si>
    <t>Enemy Firepower</t>
  </si>
  <si>
    <t>Firepower / Seafaring</t>
  </si>
  <si>
    <t>Firepower</t>
  </si>
  <si>
    <t>Armor</t>
  </si>
  <si>
    <t>% DMG Buff</t>
  </si>
  <si>
    <t>Reduce Damage Taken</t>
  </si>
  <si>
    <t>Armor Repair/Round</t>
  </si>
  <si>
    <t>Ally Armor</t>
  </si>
  <si>
    <t>Ally Firepower</t>
  </si>
  <si>
    <t>Armor Lost Bonus</t>
  </si>
  <si>
    <t>Firepower Per Round</t>
  </si>
  <si>
    <t>Stele Choice</t>
  </si>
  <si>
    <t>DMG REDUC</t>
  </si>
  <si>
    <t>Firepower Bonus</t>
  </si>
  <si>
    <t>Fleet Firepower</t>
  </si>
  <si>
    <t>CRIT Rate</t>
  </si>
  <si>
    <t>Fleet Armor</t>
  </si>
  <si>
    <t>Round 1 DMG</t>
  </si>
  <si>
    <t>Firepower Reduction</t>
  </si>
  <si>
    <t>Repair/Round</t>
  </si>
  <si>
    <t>Firepower/Round</t>
  </si>
  <si>
    <t>Note: Manually Calculated 10-&gt;20</t>
  </si>
  <si>
    <t>CRIT DMG Bonus</t>
  </si>
  <si>
    <t>Expected Base Damage</t>
  </si>
  <si>
    <t>First Round DMG</t>
  </si>
  <si>
    <t>Current</t>
  </si>
  <si>
    <t>Baseline</t>
  </si>
  <si>
    <t>Rounds Lasted</t>
  </si>
  <si>
    <t>Damage Dealt</t>
  </si>
  <si>
    <t>Percent</t>
  </si>
  <si>
    <t>Round</t>
  </si>
  <si>
    <t>Expected Damage</t>
  </si>
  <si>
    <t>Final Armor</t>
  </si>
  <si>
    <t>Average</t>
  </si>
  <si>
    <t>Drifter Stat Gains Per Level</t>
  </si>
  <si>
    <t>Band</t>
  </si>
  <si>
    <t>Seafaring</t>
  </si>
  <si>
    <t>Ninjutsu</t>
  </si>
  <si>
    <t>Defense</t>
  </si>
  <si>
    <t>Siege</t>
  </si>
  <si>
    <t>Dance</t>
  </si>
  <si>
    <t>Riding</t>
  </si>
  <si>
    <t>Dharma</t>
  </si>
  <si>
    <t>S+ Total</t>
  </si>
  <si>
    <t>C</t>
  </si>
  <si>
    <t>B</t>
  </si>
  <si>
    <t>Night Kitty</t>
  </si>
  <si>
    <t>D</t>
  </si>
  <si>
    <t>Past Pyramid</t>
  </si>
  <si>
    <t>Future Pyramid</t>
  </si>
  <si>
    <t>Hitman No.1</t>
  </si>
  <si>
    <t>Rank</t>
  </si>
  <si>
    <t>Min</t>
  </si>
  <si>
    <t>Max</t>
  </si>
  <si>
    <t>Notes</t>
  </si>
  <si>
    <t>Primary damage dealer with a guaranteed spot in the lineup</t>
  </si>
  <si>
    <t>Occupies the flex 3rd slot and is potentially replaceable with Future Pyramid</t>
  </si>
  <si>
    <t>Growth Speed</t>
  </si>
  <si>
    <t>Medium</t>
  </si>
  <si>
    <t>Leveling Prority</t>
  </si>
  <si>
    <t>Lv10 Priority</t>
  </si>
  <si>
    <t>Lv20 Priority</t>
  </si>
  <si>
    <t>Aqua - Water Bullet</t>
  </si>
  <si>
    <t>Primary source of ninjutsu fight damage; Doesn't improve Max HP% DMG after lv10</t>
  </si>
  <si>
    <t>Wood - Spring</t>
  </si>
  <si>
    <t>Allows more water bullet usage; Adds up to 3% max HP regen at lv20 to sustain Momochi</t>
  </si>
  <si>
    <t>Wind - Wind Cutter</t>
  </si>
  <si>
    <t>F</t>
  </si>
  <si>
    <t>More expensive than water bullet; Ignore DEF effect appears to not work</t>
  </si>
  <si>
    <t>Aqua - Water Wall</t>
  </si>
  <si>
    <t>Aqua - Resuscitation</t>
  </si>
  <si>
    <t>Relatively flat healing that falls behind on later anecdotes</t>
  </si>
  <si>
    <t>Competes with Hitman for the flex 3rd slot. Main advantage is the largest drifter health pool and ability to manage Chakra using Wildfire</t>
  </si>
  <si>
    <t>Core unit that enables clears on later anecdotes with lower drifter investment than other compositions</t>
  </si>
  <si>
    <t>Leveling Priority</t>
  </si>
  <si>
    <t>Fire Mystery</t>
  </si>
  <si>
    <t>Only increases ally fire DMG. As base attack is wind, only boosts Wildfire and Conflagration when in an optimal lineup</t>
  </si>
  <si>
    <t>Fire - Conflagration</t>
  </si>
  <si>
    <t>Extra damage from activating Fire Marks are considered non-elemental, and do not benefit from Fire Mystery; Outdamaged by wildfire spam at lv20</t>
  </si>
  <si>
    <t>Fire - Wildfire</t>
  </si>
  <si>
    <t>Primary means of managing chakra to allow Wood - Spring to trigger; Decent source of damage at lv20</t>
  </si>
  <si>
    <t>Ninpo - Shadow Dance</t>
  </si>
  <si>
    <t>Core skill to Amakusa dance lineups</t>
  </si>
  <si>
    <t>Fire Attack</t>
  </si>
  <si>
    <t>Only benefits Amakusa; Base siege proficiency is too low to last many rounds</t>
  </si>
  <si>
    <t>CRIT; 100% can be achieved without heavy investment</t>
  </si>
  <si>
    <t>Could potentially see use on single target fights, but unlikely to displace core members</t>
  </si>
  <si>
    <t>Core unit to all dance compositions; Relatively low level requirements (37) in Amakusa composition</t>
  </si>
  <si>
    <t>High</t>
  </si>
  <si>
    <t>Competes with Momochi for Yamato materials; Only core in one anecdote type and does not require full level investment</t>
  </si>
  <si>
    <t>Ghost Dancer</t>
  </si>
  <si>
    <t>Reduces level investment required to hit score milestones</t>
  </si>
  <si>
    <t>Blade Dance</t>
  </si>
  <si>
    <t>Required to allow Amakusa to hit score milestones</t>
  </si>
  <si>
    <t>Shadow Slash</t>
  </si>
  <si>
    <t>Could potentially deal decent damage buffed by Abe / Naga</t>
  </si>
  <si>
    <t>Gale</t>
  </si>
  <si>
    <t>Best wind advantaged skill; Held back by low ninjutsu talent and high chakra cost</t>
  </si>
  <si>
    <t>Best 3rd slot</t>
  </si>
  <si>
    <t>Competes for 3rd flex slot; Optimal composition does not benefit much from her skills</t>
  </si>
  <si>
    <t>Competes with Abe for Murika materials; 3rd best drifter for riding; Farming passive</t>
  </si>
  <si>
    <t>Shadow Trace</t>
  </si>
  <si>
    <t>SPD bonus is a final multiplier on her speed</t>
  </si>
  <si>
    <t>Entranch Tactic</t>
  </si>
  <si>
    <t>Affects all drifters</t>
  </si>
  <si>
    <t>Side Kick</t>
  </si>
  <si>
    <t>D/C</t>
  </si>
  <si>
    <t>Difficult activation conditions depending on team/enemy speeds; Potent if it does activate; Nearly impossible to meaningfully use on later anecdotes</t>
  </si>
  <si>
    <t>Ground Raid</t>
  </si>
  <si>
    <t>Negative marks don't appear to have any implemented negative effects</t>
  </si>
  <si>
    <t>Dark Moon Descending</t>
  </si>
  <si>
    <t>Doesn't improve %HP DMG. Offers little benefit to Momochi/Poisoner</t>
  </si>
  <si>
    <t>2x Card Drops</t>
  </si>
  <si>
    <t>Best 2nd slot</t>
  </si>
  <si>
    <t>Sailing</t>
  </si>
  <si>
    <t>Weakest of the 5 primary sailing members</t>
  </si>
  <si>
    <t>Competes with Abe for Murika materials; Second best drifter for riding; Farming passive</t>
  </si>
  <si>
    <t>Sea Breeze</t>
  </si>
  <si>
    <t>Acts as a multiplier on team SPD</t>
  </si>
  <si>
    <t>Tidal Power</t>
  </si>
  <si>
    <t>Only benefits Tridentman; Base siege proficiency is too low to last many rounds</t>
  </si>
  <si>
    <t>Tide Rider</t>
  </si>
  <si>
    <t>C/B</t>
  </si>
  <si>
    <t>Needed for the very last anecdote. Useless before that.</t>
  </si>
  <si>
    <t>Fish Pack</t>
  </si>
  <si>
    <t>Child of the Ocean</t>
  </si>
  <si>
    <t>Gains value with overall drifter level</t>
  </si>
  <si>
    <t>2nd highest siege talent; Potential for the highest ATK/HP due to high growth speed</t>
  </si>
  <si>
    <t>Replaces Hitman; Provides a unique DEF boost to reduce team healing requirements, freeing Poisoner up to poison more often</t>
  </si>
  <si>
    <t>B/A</t>
  </si>
  <si>
    <t>Competes with Kitty/Tridentman for Murika materials; High value in two anecdote types; Fast growth potential enables high level relative to other drifters; Terrible passive</t>
  </si>
  <si>
    <t>Sharp Edge</t>
  </si>
  <si>
    <t>Only works in V formation; V formation not recommended</t>
  </si>
  <si>
    <t>Modern Tech</t>
  </si>
  <si>
    <t>Direct ATK/HP boost to entire team</t>
  </si>
  <si>
    <t>Concentrated Fire</t>
  </si>
  <si>
    <t>Only works in V formation; Only benefits Abe; V formation not recommended</t>
  </si>
  <si>
    <t>Master of War</t>
  </si>
  <si>
    <t>Buffs Sanzang's damage</t>
  </si>
  <si>
    <t>Might of Titan</t>
  </si>
  <si>
    <t>Reduces healing requirements moderately</t>
  </si>
  <si>
    <t>Lifesteal Rate</t>
  </si>
  <si>
    <t>Highest band talent per level</t>
  </si>
  <si>
    <t>Potential option to clear Socialite Ball anecdote; Very little use outside of it</t>
  </si>
  <si>
    <t>Low</t>
  </si>
  <si>
    <t>High value in one anecdote type; Slow growth potential limits level relative to other drifters; Moderate passive</t>
  </si>
  <si>
    <t>Moon Rhapsody</t>
  </si>
  <si>
    <t>Requires Dracula in the front two positions</t>
  </si>
  <si>
    <t>Ultrasonic SInging</t>
  </si>
  <si>
    <t>Useful for certain anecdotes; Required for final anecdote</t>
  </si>
  <si>
    <t>Scarlet Dance</t>
  </si>
  <si>
    <t>Affects all allies</t>
  </si>
  <si>
    <t>Score transfer is 3x the listed rating; Scales poorly</t>
  </si>
  <si>
    <t>Forbidden Spear</t>
  </si>
  <si>
    <t>Little overall benefit observed</t>
  </si>
  <si>
    <t>Weakest member of core band lineup</t>
  </si>
  <si>
    <t>Part of core lineup but requires no level investment and low skill investment</t>
  </si>
  <si>
    <t>High value in one anecdote type + moderate value in another; Slow growth potential limits level relative to other drifters; Terrible passive</t>
  </si>
  <si>
    <t>Charming Goddess</t>
  </si>
  <si>
    <t>Variable</t>
  </si>
  <si>
    <t>Can activate at lv1, but may require multiple restarts; Extra levels reduce RNG; Also potentially determines chance for score bonus in band.</t>
  </si>
  <si>
    <t>Dance Queen's Legacy</t>
  </si>
  <si>
    <t>Slightly reduces level requirements for clears; Only required lv20 for final anecdote</t>
  </si>
  <si>
    <t>Light of Wisdom</t>
  </si>
  <si>
    <t>Neither Idol Boy nor Amakusa compositions rely on female dancer skills</t>
  </si>
  <si>
    <t xml:space="preserve">Base skill activates Idol Boy Crowd Control skill; Lv11+ adds 1000 bonus score per level </t>
  </si>
  <si>
    <t>Lonesome Blues</t>
  </si>
  <si>
    <t>None of the last 6 anecdotes are type Blues</t>
  </si>
  <si>
    <t>High value in one anecdote type + moderate value in another; Slow growth potential limits level relative to other drifters; Moderate passive</t>
  </si>
  <si>
    <t>Obsidian Shield</t>
  </si>
  <si>
    <t>Potentially only boosts Past/Future Pyramid; Does not boost HP; Potentially reduces damage taken?</t>
  </si>
  <si>
    <t>Revenant Aura</t>
  </si>
  <si>
    <t>Tremendous Pressure</t>
  </si>
  <si>
    <t>Does not scale well in later anecdotes; Activation time varies wildly</t>
  </si>
  <si>
    <t>Divine Wind</t>
  </si>
  <si>
    <t>Pharaoh's Curse</t>
  </si>
  <si>
    <t>Only affects Past Pyramid</t>
  </si>
  <si>
    <t>1st Round DMG</t>
  </si>
  <si>
    <t>Highest skill gain; Gains the most from Dragon Formation</t>
  </si>
  <si>
    <t>Potential replacement for Momochi</t>
  </si>
  <si>
    <t>High value in one anecdote type + low value in another; Slow growth potential limits level relative to other drifters; Moderate passive</t>
  </si>
  <si>
    <t>Kinetic Shield</t>
  </si>
  <si>
    <t>Energy Transformation</t>
  </si>
  <si>
    <t>Only affects Future Pyramid</t>
  </si>
  <si>
    <t>Overclocked Radiation</t>
  </si>
  <si>
    <t>Source of Radiation</t>
  </si>
  <si>
    <t>Temporary version of Momochi Water Wall; Relies on spotty AI usage</t>
  </si>
  <si>
    <t>Lightning Charge</t>
  </si>
  <si>
    <t>Potentially allows more damage dealt than Momochi</t>
  </si>
  <si>
    <t>Highest non-poison damage dealer; Core member</t>
  </si>
  <si>
    <t>Generally worse version of Night Kitty</t>
  </si>
  <si>
    <t>High value in one anecdote type ; Slow growth potential limits level relative to other drifters; Underwhelming passive</t>
  </si>
  <si>
    <t>Mighty Palm</t>
  </si>
  <si>
    <t>DMG bonus for &gt; 50% HP is additive, making it underwhelming for the rage cost</t>
  </si>
  <si>
    <t>Cicada Slough</t>
  </si>
  <si>
    <t>HP Recovery one time only; Primarily a Spell DMG boost</t>
  </si>
  <si>
    <t>Purification Mantra</t>
  </si>
  <si>
    <t>Heavy hitting in 3-enemy fights; Low rage cost</t>
  </si>
  <si>
    <t>Merit Mantra</t>
  </si>
  <si>
    <t>Side kick with easier activation conditions; Unlikely to use Sanzang in riding</t>
  </si>
  <si>
    <t>Temple Gale</t>
  </si>
  <si>
    <t>Only affects Sanzang</t>
  </si>
  <si>
    <t>Naga the Dragon Horse</t>
  </si>
  <si>
    <t>Travel SPD</t>
  </si>
  <si>
    <t>Ability to transfer rage cannot be replicated; Core member</t>
  </si>
  <si>
    <t>2nd weakest of the 5 primary sailing members</t>
  </si>
  <si>
    <t>High value in two anecdote types; Slow growth potential limits level relative to other drifters; Most valueable passive</t>
  </si>
  <si>
    <t>Ascending Dragon Seal</t>
  </si>
  <si>
    <t>Rage transfer works at lv1; DMG bonus valuable if Sanzang is the target</t>
  </si>
  <si>
    <t>Dragon Roar</t>
  </si>
  <si>
    <t>Affects all drifters; Low potency per level</t>
  </si>
  <si>
    <t>Dragon Chant</t>
  </si>
  <si>
    <t>Generally not worth holding rage for</t>
  </si>
  <si>
    <t>Heavenly Sanskrit</t>
  </si>
  <si>
    <t>Value increases the closer you approach to lasting 17-18 rounds in a fight</t>
  </si>
  <si>
    <t>Dragon Blessing</t>
  </si>
  <si>
    <t>Highly depending on having leveled Soleil CRIT to lv20</t>
  </si>
  <si>
    <t>Highest base talent; All skills are impactful</t>
  </si>
  <si>
    <t>Relatively high base talent</t>
  </si>
  <si>
    <t>Competes with Huang for Cathay material; High value in one anecdote type + moderate value in another; High value passive</t>
  </si>
  <si>
    <t>Drag and Stab</t>
  </si>
  <si>
    <t>Most impactful riding skill</t>
  </si>
  <si>
    <t>Horror of Fame</t>
  </si>
  <si>
    <t>Solitary Journey</t>
  </si>
  <si>
    <t>Crescent</t>
  </si>
  <si>
    <t>Dragon Formation is generally recommended</t>
  </si>
  <si>
    <t>Relentless Pursuit</t>
  </si>
  <si>
    <t>Unclear activation conditions; Low base defense talent</t>
  </si>
  <si>
    <t>Poisoner Hua Tuo</t>
  </si>
  <si>
    <t>2x Reagent Drops</t>
  </si>
  <si>
    <t>Ninjustu</t>
  </si>
  <si>
    <t>Core damage dealer via Leech %HP DMG; Only means of healing most team members</t>
  </si>
  <si>
    <t>Core damage dealer via poison %HP DMG; Team healer; Generally target for Naga rage transfer</t>
  </si>
  <si>
    <t>Competes with Huang for Cathay material; Highest value in two anecdote types; High value passive</t>
  </si>
  <si>
    <t>Leechcraft</t>
  </si>
  <si>
    <t>Only needed if one drifter is below recommended level for the anecdote; High opportunity cost</t>
  </si>
  <si>
    <t>Rejuvenation</t>
  </si>
  <si>
    <t>Primary team heal; Higher potency frees up turns to refresh poison</t>
  </si>
  <si>
    <t>Soul Break</t>
  </si>
  <si>
    <t>Primary source of team damage; Does not improve % HP DMG after lv10</t>
  </si>
  <si>
    <t>Heart Devourer</t>
  </si>
  <si>
    <t>Leech generally doesn't need poison marks</t>
  </si>
  <si>
    <t>Leech</t>
  </si>
  <si>
    <t>Primary source of team damage; Does not improve % HP DMG after lv10; Best DMG per turn at 0 marks</t>
  </si>
  <si>
    <t>Moderate band talent gain per level</t>
  </si>
  <si>
    <t>Core damage dealer; Buffs team ATK</t>
  </si>
  <si>
    <t>Competes with Guan Yu/Poisoner for Cathay material; High value in two anecdote types; Terrible passive</t>
  </si>
  <si>
    <t>Zhuge Crossbow</t>
  </si>
  <si>
    <t>Mechanics</t>
  </si>
  <si>
    <t>Thunder Cannon</t>
  </si>
  <si>
    <t>Generally clears the screen; Can buy time for Momochi Resuscitation; Spotty AI skill usage</t>
  </si>
  <si>
    <t>Professional Tuning</t>
  </si>
  <si>
    <t>Optimal compositon is 3/5 female</t>
  </si>
  <si>
    <t>Valkyrie's Peak</t>
  </si>
  <si>
    <t>Highest value band boost</t>
  </si>
  <si>
    <t>2nd highest talent; High innate HP; Easy rage management through Meditation; Low skill damage</t>
  </si>
  <si>
    <t>Competes with Amakusa for the flex 3rd slot. High damage on fire-weak fights and high survivability on water-weak fights; Difficult to manage chakra</t>
  </si>
  <si>
    <t>Competes with Commissioner for Koryeo material; Replaceable in two anecdote types; Good passive</t>
  </si>
  <si>
    <t>Strength Slash</t>
  </si>
  <si>
    <t>Better than Strength Field on single target fights; Lowest HP targeting counter-productive for poison; Strength Awakening is useless</t>
  </si>
  <si>
    <t>Meditation</t>
  </si>
  <si>
    <t>Used on alternating turns to keep hitman's rage above poisoner's</t>
  </si>
  <si>
    <t>Strength Field</t>
  </si>
  <si>
    <t>Requires a 2nd enemy to activate 2nd hit; Only gains base DMG after lv10</t>
  </si>
  <si>
    <t>Strength Sword</t>
  </si>
  <si>
    <t>Fire bonus is a final DMG multiplier; Ignore DEF effect appears not to work</t>
  </si>
  <si>
    <t>Strength Insight</t>
  </si>
  <si>
    <t>Only affects Hitman; Siege skill too low to matter</t>
  </si>
  <si>
    <t>Koryeon Commissioner</t>
  </si>
  <si>
    <t>2nd highest talent</t>
  </si>
  <si>
    <t>Worse version of Amakusa; Unable to complete several of the last anecdotes at lv60 with all maxed skills; Lowest level requirements for 2nd to last anecdote</t>
  </si>
  <si>
    <t>D/B</t>
  </si>
  <si>
    <t>Faster than Kitty on later train stages; Dead weight on non-train stages</t>
  </si>
  <si>
    <t>Competes with Hitman/Idol Boy for Koryeo material; Only necessary for one anecdote type; Fast growth potential enables high level relative to other drifters; Terrible passive</t>
  </si>
  <si>
    <t>Country Metal</t>
  </si>
  <si>
    <t>Requires Commissioner to be in one of the 3 back slots</t>
  </si>
  <si>
    <t>Only affects Commissioner; Requires Commissioner to be in the first slot; Final multiplier on her score; Useless if not using her</t>
  </si>
  <si>
    <t>Absolute Command</t>
  </si>
  <si>
    <t>Pre-war Deployment</t>
  </si>
  <si>
    <t>SPD boost only lasts 1s</t>
  </si>
  <si>
    <t>Officer's Train</t>
  </si>
  <si>
    <t>Only useful on train stages; Several of the last anecdotes are train races</t>
  </si>
  <si>
    <t>2nd weakest of core 5 members</t>
  </si>
  <si>
    <t>Requires maximum investment compared with Amakusa comp; Struggles against all-male anecdotes; Easiest means of clearing Socialite Ball (lv26-30 required)</t>
  </si>
  <si>
    <t>Competes with Commissioner for Koryeo material; Only necessary for one anecdote type; Slight leveling helpful to clear one anecdote; Terrible passive</t>
  </si>
  <si>
    <t>Requires Athena's Delight to activate</t>
  </si>
  <si>
    <t>Harmonium Chorus</t>
  </si>
  <si>
    <t>Passionate Samba</t>
  </si>
  <si>
    <t>3 of the last 4 anecdotes are type Samba</t>
  </si>
  <si>
    <t>Idol Worship</t>
  </si>
  <si>
    <t>Pink Charm</t>
  </si>
  <si>
    <t>Reduces level investment needed to clear Socialite Ball</t>
  </si>
  <si>
    <t>Strongest of the 5 sailing options</t>
  </si>
  <si>
    <t>Competes with Trinidad/Soleil for Britland material; Highest value for pure sailing focus; Lower value for sailing/siege focus; Low value passive</t>
  </si>
  <si>
    <t>Mending Expertise</t>
  </si>
  <si>
    <t>Impact Resistance</t>
  </si>
  <si>
    <t>Justice Barrier</t>
  </si>
  <si>
    <t>Fleet armor increases by 4x listed value</t>
  </si>
  <si>
    <t>Energy Shield</t>
  </si>
  <si>
    <t>Heart of Peace</t>
  </si>
  <si>
    <t>2nd Strongest of the 5 sailing options</t>
  </si>
  <si>
    <t>Competes with Peacekeeper for Britland material; Highest value for sailing/siege focus; Lower value for pure sailing focus; Moderate value passive</t>
  </si>
  <si>
    <t>Spirit Barrier</t>
  </si>
  <si>
    <t>Fleet firepower increases by 4x listed value</t>
  </si>
  <si>
    <t>Sanctuary Expansion</t>
  </si>
  <si>
    <t>Holy Light Protection</t>
  </si>
  <si>
    <t>Flank Reinforcement</t>
  </si>
  <si>
    <t>Significantly better performance than dragon on the final anecdote; Only required lv18 to win</t>
  </si>
  <si>
    <t>Trinity</t>
  </si>
  <si>
    <t>Lower overall benefit than Flank Reinforcement; Only required lv10 to win final anecdote</t>
  </si>
  <si>
    <t>Part of Trinidad/Soleil/Tridentman/Peacekeeper composition</t>
  </si>
  <si>
    <t>Tactical Command</t>
  </si>
  <si>
    <t>Command of the Sea</t>
  </si>
  <si>
    <t>Highest value sailing bonus</t>
  </si>
  <si>
    <t>Preemptive Attack</t>
  </si>
  <si>
    <t>Trap Master</t>
  </si>
  <si>
    <t>Ring Formation is not recommended</t>
  </si>
  <si>
    <t>Will of France</t>
  </si>
  <si>
    <t>Priest</t>
  </si>
  <si>
    <t>Primary Priest Breakpoints</t>
  </si>
  <si>
    <t>Sanctum</t>
  </si>
  <si>
    <t>Prairie</t>
  </si>
  <si>
    <t>Protolith</t>
  </si>
  <si>
    <t>3* SS vs. 5* Purple</t>
  </si>
  <si>
    <t>4* SS vs. 5* Purple</t>
  </si>
  <si>
    <t>SS wins for purple in [33, 104]</t>
  </si>
  <si>
    <t>SS wins for purple &gt; lvl 23</t>
  </si>
  <si>
    <t>Option 1</t>
  </si>
  <si>
    <t>Pegasus (SSS)</t>
  </si>
  <si>
    <t>Stars</t>
  </si>
  <si>
    <t>3* SSS vs. 5* Purple</t>
  </si>
  <si>
    <t>4* SSS vs. 5* Purple</t>
  </si>
  <si>
    <t>SSS wins for purple in [24, 118]</t>
  </si>
  <si>
    <t>SSS wins for purple &gt; lvl 17</t>
  </si>
  <si>
    <t>Biome</t>
  </si>
  <si>
    <t>Adaptability</t>
  </si>
  <si>
    <t>Level Gain</t>
  </si>
  <si>
    <t>Base Glory</t>
  </si>
  <si>
    <t>Neutral Glory</t>
  </si>
  <si>
    <t>Sanctum Glory</t>
  </si>
  <si>
    <t>Option 2</t>
  </si>
  <si>
    <t>Pegasus (SS)</t>
  </si>
  <si>
    <t>Devotee</t>
  </si>
  <si>
    <t>Primary Devotee Breakpoints</t>
  </si>
  <si>
    <t>3* S vs. 5* Purple</t>
  </si>
  <si>
    <t>4* S vs. 5* Purple</t>
  </si>
  <si>
    <t>Purple always wins</t>
  </si>
  <si>
    <t>Elkobra</t>
  </si>
  <si>
    <t>SS wins for purple in [39, 70]</t>
  </si>
  <si>
    <t>3* SS/SSS vs. 5* Purple</t>
  </si>
  <si>
    <t>4* SS/SSS vs. 5* Purple</t>
  </si>
  <si>
    <t>SSS wins for purple in [32, 48]</t>
  </si>
  <si>
    <t>SSS wins for purple &gt; lvl 24</t>
  </si>
  <si>
    <t>Cobraking</t>
  </si>
  <si>
    <t>Brionac (SSS)</t>
  </si>
  <si>
    <t>Forest</t>
  </si>
  <si>
    <t>1* Base</t>
  </si>
  <si>
    <t>2* Base</t>
  </si>
  <si>
    <t>3* Base</t>
  </si>
  <si>
    <t>4* Base</t>
  </si>
  <si>
    <t>5* Base</t>
  </si>
  <si>
    <t>6* Base</t>
  </si>
  <si>
    <t>7* Base</t>
  </si>
  <si>
    <t>Brionac (SS)</t>
  </si>
  <si>
    <t>T-Rex (SSS)</t>
  </si>
  <si>
    <t>T-Rex (SS)</t>
  </si>
  <si>
    <t>Embergator</t>
  </si>
  <si>
    <t>Pythonwing</t>
  </si>
  <si>
    <t>Aroundight (SSS)</t>
  </si>
  <si>
    <t>Aroundight (SS)</t>
  </si>
  <si>
    <t>Gae Bolg (SSS)</t>
  </si>
  <si>
    <t>Gae Bolg (SS)</t>
  </si>
  <si>
    <t>Gjallarhorn (SSS)</t>
  </si>
  <si>
    <t>Gjallarhorn (SS)</t>
  </si>
  <si>
    <t>Chaomon</t>
  </si>
  <si>
    <t>Ugarmon</t>
  </si>
  <si>
    <t>Netherstag</t>
  </si>
  <si>
    <t>Tyrannocroc</t>
  </si>
  <si>
    <t>% Multiplier</t>
  </si>
  <si>
    <t>Star</t>
  </si>
  <si>
    <t>Max Priest</t>
  </si>
  <si>
    <t>Max Devotee</t>
  </si>
  <si>
    <t>Deathbat</t>
  </si>
  <si>
    <t>Ladomon</t>
  </si>
  <si>
    <t>Shorewing</t>
  </si>
  <si>
    <t>Tigergator</t>
  </si>
  <si>
    <t>Goregator</t>
  </si>
  <si>
    <t>Sortisnake</t>
  </si>
  <si>
    <t>Antlerfang</t>
  </si>
  <si>
    <t>Titanclaw</t>
  </si>
  <si>
    <t>Demonic Flying Fox</t>
  </si>
  <si>
    <t>Vampire Bat</t>
  </si>
  <si>
    <t>Cumulative</t>
  </si>
  <si>
    <t>Level 2</t>
  </si>
  <si>
    <t>Avalon (SSS)</t>
  </si>
  <si>
    <t>Tundra</t>
  </si>
  <si>
    <t>Avalon (SS)</t>
  </si>
  <si>
    <t>Mammoth (SSS)</t>
  </si>
  <si>
    <t>Mammoth (SS)</t>
  </si>
  <si>
    <t>Stormander</t>
  </si>
  <si>
    <t>Gullinbursti (SSS)</t>
  </si>
  <si>
    <t>Gullinbursti (SS)</t>
  </si>
  <si>
    <t>Eljudnir (SSS)</t>
  </si>
  <si>
    <t>Eljudnir (SS)</t>
  </si>
  <si>
    <t>Fragarach (SSS)</t>
  </si>
  <si>
    <t>Fragarach (SS)</t>
  </si>
  <si>
    <t>Lunarcalf</t>
  </si>
  <si>
    <t>Gloomdart</t>
  </si>
  <si>
    <t>Snarefang</t>
  </si>
  <si>
    <t>Direantler</t>
  </si>
  <si>
    <t>Sabermoose</t>
  </si>
  <si>
    <t>Dreadnose</t>
  </si>
  <si>
    <t>Elkwing</t>
  </si>
  <si>
    <t>Titanimon</t>
  </si>
  <si>
    <t>Hartblinker</t>
  </si>
  <si>
    <t>Snaketaur</t>
  </si>
  <si>
    <t>Darkroc</t>
  </si>
  <si>
    <t>Daz Tingo</t>
  </si>
  <si>
    <t>Crocodeer</t>
  </si>
  <si>
    <t>Moose</t>
  </si>
  <si>
    <t>Reindeer</t>
  </si>
  <si>
    <t>Megingjord (SSS)</t>
  </si>
  <si>
    <t>Megingjord (SS)</t>
  </si>
  <si>
    <t>Harpy (SSS)</t>
  </si>
  <si>
    <t>Harpy (SS)</t>
  </si>
  <si>
    <t>Infernalisk</t>
  </si>
  <si>
    <t>Leobat</t>
  </si>
  <si>
    <t>Gandiva (SSS)</t>
  </si>
  <si>
    <t>Gandiva (SS)</t>
  </si>
  <si>
    <t>Laevateinn (SSS)</t>
  </si>
  <si>
    <t>Laevateinn (SS)</t>
  </si>
  <si>
    <t>Gungnir (SSS)</t>
  </si>
  <si>
    <t>Gungnir (SS)</t>
  </si>
  <si>
    <t>Behemoth</t>
  </si>
  <si>
    <t>Ignilion</t>
  </si>
  <si>
    <t>Blazebuck</t>
  </si>
  <si>
    <t>Batannos</t>
  </si>
  <si>
    <t>Cardimon</t>
  </si>
  <si>
    <t>Gurglethon</t>
  </si>
  <si>
    <t>Faramon</t>
  </si>
  <si>
    <t>Harmticore</t>
  </si>
  <si>
    <t>Rattlescone</t>
  </si>
  <si>
    <t>Snakebat</t>
  </si>
  <si>
    <t>Flamethorn</t>
  </si>
  <si>
    <t>Rattlesnake</t>
  </si>
  <si>
    <t>Typhon (SSS)</t>
  </si>
  <si>
    <t>Swamp</t>
  </si>
  <si>
    <t>Typhon (SS)</t>
  </si>
  <si>
    <t>Tyrfing (SSS)</t>
  </si>
  <si>
    <t>Tyrfing (SS)</t>
  </si>
  <si>
    <t>Brontoscorpio (SSS)</t>
  </si>
  <si>
    <t>Brontoscorpio (SS)</t>
  </si>
  <si>
    <t>Crocochad</t>
  </si>
  <si>
    <t>Mystletainn (SSS)</t>
  </si>
  <si>
    <t>Mystletainn (SS)</t>
  </si>
  <si>
    <t>Joyeuse (SSS)</t>
  </si>
  <si>
    <t>Joyeuse (SS)</t>
  </si>
  <si>
    <t>Durandal (SSS)</t>
  </si>
  <si>
    <t>Durandal (SS)</t>
  </si>
  <si>
    <t>Wraithwing</t>
  </si>
  <si>
    <t>Ironhart</t>
  </si>
  <si>
    <t>Venomander</t>
  </si>
  <si>
    <t>Elkgator</t>
  </si>
  <si>
    <t>Cobragator</t>
  </si>
  <si>
    <t>BretroCroc</t>
  </si>
  <si>
    <t>Vancedon</t>
  </si>
  <si>
    <t>Crocthulu</t>
  </si>
  <si>
    <t>Hyperpaw</t>
  </si>
  <si>
    <t>Cobradeer</t>
  </si>
  <si>
    <t>Pyroclad</t>
  </si>
  <si>
    <t>Antlergator</t>
  </si>
  <si>
    <t>Caiman</t>
  </si>
  <si>
    <t>Yangzigator</t>
  </si>
  <si>
    <t>Aegis (SSS)</t>
  </si>
  <si>
    <t>Aegis (SS)</t>
  </si>
  <si>
    <t>Pyromaw</t>
  </si>
  <si>
    <t>Gram (SSS)</t>
  </si>
  <si>
    <t>Gram (SS)</t>
  </si>
  <si>
    <t>Balmung (SSS)</t>
  </si>
  <si>
    <t>Balmung (SS)</t>
  </si>
  <si>
    <t>Sleipnir (SSS)</t>
  </si>
  <si>
    <t>Sleipnir (SS)</t>
  </si>
  <si>
    <t>Griffin</t>
  </si>
  <si>
    <t>Hellwing</t>
  </si>
  <si>
    <t>Voidrake</t>
  </si>
  <si>
    <t>Tartigris</t>
  </si>
  <si>
    <t>Tigermoose</t>
  </si>
  <si>
    <t>Taromon</t>
  </si>
  <si>
    <t>Mantiger</t>
  </si>
  <si>
    <t>Seachimera</t>
  </si>
  <si>
    <t>Smoremon</t>
  </si>
  <si>
    <t>Mantiharpy</t>
  </si>
  <si>
    <t>Crocowing</t>
  </si>
  <si>
    <t>Centiger</t>
  </si>
  <si>
    <t>Rattlecat</t>
  </si>
  <si>
    <t>Sabertooth</t>
  </si>
  <si>
    <t>Clouded Leopard</t>
  </si>
  <si>
    <t>Round 1</t>
  </si>
  <si>
    <t>Round 2</t>
  </si>
  <si>
    <t>Hitman No.</t>
  </si>
  <si>
    <t>Reward</t>
  </si>
  <si>
    <t>ATK 2</t>
  </si>
  <si>
    <t>DEF 2</t>
  </si>
  <si>
    <t>HP 2</t>
  </si>
  <si>
    <t>Weakness 2</t>
  </si>
  <si>
    <t>Reward 2</t>
  </si>
  <si>
    <t>Current AFFCT</t>
  </si>
  <si>
    <t>Hitman w/ RUSH</t>
  </si>
  <si>
    <t>95&amp;96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</si>
</sst>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1">
    <font>
      <sz val="12.0"/>
      <color theme="1"/>
      <name val="Verdana"/>
      <scheme val="minor"/>
    </font>
    <font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rgb="FF1A1A1A"/>
      <name val="Calibri"/>
    </font>
    <font>
      <sz val="12.0"/>
      <color theme="1"/>
      <name val="Calibri"/>
    </font>
    <font>
      <b/>
      <color theme="1"/>
      <name val="Calibri"/>
    </font>
    <font>
      <b/>
      <sz val="12.0"/>
      <color rgb="FF1A1A1A"/>
      <name val="Calibri"/>
    </font>
    <font>
      <color rgb="FFFFFFFF"/>
      <name val="Calibri"/>
    </font>
    <font>
      <b/>
      <sz val="12.0"/>
      <color rgb="FF000000"/>
      <name val="Calibri"/>
    </font>
    <font>
      <sz val="12.0"/>
      <color rgb="FFFF0000"/>
      <name val="Calibri"/>
    </font>
    <font>
      <color theme="1"/>
      <name val="Verdana"/>
      <scheme val="minor"/>
    </font>
    <font>
      <sz val="12.0"/>
      <color rgb="FF1F1F1F"/>
      <name val="Calibri"/>
    </font>
    <font>
      <sz val="11.0"/>
      <color rgb="FF1F1F1F"/>
      <name val="&quot;Google Sans&quot;"/>
    </font>
    <font>
      <strike/>
      <sz val="12.0"/>
      <color rgb="FFFF0000"/>
      <name val="Calibri"/>
    </font>
    <font>
      <sz val="12.0"/>
      <color rgb="FFFFFFFF"/>
      <name val="Calibri"/>
    </font>
    <font>
      <sz val="12.0"/>
      <color theme="1"/>
      <name val="Verdana"/>
    </font>
    <font>
      <color rgb="FFFF0000"/>
      <name val="Verdana"/>
      <scheme val="minor"/>
    </font>
    <font/>
    <font>
      <b/>
      <color theme="1"/>
      <name val="Verdana"/>
      <scheme val="minor"/>
    </font>
    <font>
      <color rgb="FFFFFFFF"/>
      <name val="Verdana"/>
      <scheme val="minor"/>
    </font>
    <font>
      <color theme="1"/>
      <name val="Arial"/>
    </font>
    <font>
      <sz val="12.0"/>
      <color rgb="FF0000FF"/>
      <name val="Calibri"/>
    </font>
    <font>
      <sz val="14.0"/>
      <color theme="1"/>
      <name val="Calibri"/>
    </font>
    <font>
      <sz val="9.0"/>
      <color theme="1"/>
      <name val="Verdana"/>
      <scheme val="minor"/>
    </font>
    <font>
      <sz val="9.0"/>
      <color theme="1"/>
      <name val="Verdana"/>
    </font>
    <font>
      <b/>
      <color rgb="FFFFFFFF"/>
      <name val="Verdana"/>
      <scheme val="minor"/>
    </font>
    <font>
      <b/>
      <color rgb="FFFFFFFF"/>
      <name val="Calibri"/>
    </font>
    <font>
      <sz val="12.0"/>
      <color rgb="FF980000"/>
      <name val="Calibri"/>
    </font>
    <font>
      <color rgb="FF0000FF"/>
      <name val="Calibri"/>
    </font>
    <font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F0E9D7"/>
        <bgColor rgb="FFF0E9D7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8BC34A"/>
        <bgColor rgb="FF8BC34A"/>
      </patternFill>
    </fill>
    <fill>
      <patternFill patternType="solid">
        <fgColor rgb="FFF3F3F3"/>
        <bgColor rgb="FFF3F3F3"/>
      </patternFill>
    </fill>
    <fill>
      <patternFill patternType="solid">
        <fgColor rgb="FFE8F0FE"/>
        <bgColor rgb="FFE8F0FE"/>
      </patternFill>
    </fill>
    <fill>
      <patternFill patternType="solid">
        <fgColor rgb="FFBDBDBD"/>
        <bgColor rgb="FFBDBDBD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5B95F9"/>
        <bgColor rgb="FF5B95F9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EBEFF1"/>
        <bgColor rgb="FFEBEFF1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0" fillId="0" fontId="1" numFmtId="0" xfId="0" applyFont="1"/>
    <xf borderId="5" fillId="0" fontId="1" numFmtId="0" xfId="0" applyBorder="1" applyFont="1"/>
    <xf borderId="4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0" fillId="0" fontId="5" numFmtId="10" xfId="0" applyFont="1" applyNumberFormat="1"/>
    <xf borderId="0" fillId="0" fontId="5" numFmtId="2" xfId="0" applyFont="1" applyNumberFormat="1"/>
    <xf borderId="5" fillId="0" fontId="5" numFmtId="10" xfId="0" applyBorder="1" applyFont="1" applyNumberFormat="1"/>
    <xf borderId="6" fillId="0" fontId="1" numFmtId="0" xfId="0" applyBorder="1" applyFont="1"/>
    <xf borderId="7" fillId="0" fontId="1" numFmtId="0" xfId="0" applyBorder="1" applyFont="1"/>
    <xf borderId="8" fillId="0" fontId="5" numFmtId="10" xfId="0" applyBorder="1" applyFont="1" applyNumberFormat="1"/>
    <xf borderId="4" fillId="0" fontId="1" numFmtId="0" xfId="0" applyBorder="1" applyFont="1"/>
    <xf borderId="0" fillId="0" fontId="1" numFmtId="0" xfId="0" applyFont="1"/>
    <xf borderId="5" fillId="0" fontId="5" numFmtId="10" xfId="0" applyBorder="1" applyFont="1" applyNumberFormat="1"/>
    <xf borderId="1" fillId="0" fontId="2" numFmtId="0" xfId="0" applyBorder="1" applyFont="1"/>
    <xf borderId="3" fillId="0" fontId="5" numFmtId="10" xfId="0" applyBorder="1" applyFont="1" applyNumberFormat="1"/>
    <xf borderId="6" fillId="0" fontId="1" numFmtId="0" xfId="0" applyAlignment="1" applyBorder="1" applyFont="1">
      <alignment readingOrder="0"/>
    </xf>
    <xf borderId="4" fillId="0" fontId="1" numFmtId="0" xfId="0" applyBorder="1" applyFont="1"/>
    <xf borderId="1" fillId="0" fontId="6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4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5" fillId="0" fontId="1" numFmtId="0" xfId="0" applyBorder="1" applyFont="1"/>
    <xf borderId="5" fillId="0" fontId="1" numFmtId="0" xfId="0" applyAlignment="1" applyBorder="1" applyFont="1">
      <alignment readingOrder="0"/>
    </xf>
    <xf borderId="9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5" fillId="0" fontId="1" numFmtId="4" xfId="0" applyBorder="1" applyFont="1" applyNumberFormat="1"/>
    <xf borderId="9" fillId="0" fontId="1" numFmtId="0" xfId="0" applyAlignment="1" applyBorder="1" applyFont="1">
      <alignment horizontal="center" readingOrder="0"/>
    </xf>
    <xf borderId="9" fillId="0" fontId="1" numFmtId="4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9" fillId="0" fontId="1" numFmtId="4" xfId="0" applyBorder="1" applyFont="1" applyNumberFormat="1"/>
    <xf borderId="8" fillId="0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0" fontId="5" numFmtId="10" xfId="0" applyFont="1" applyNumberFormat="1"/>
    <xf borderId="1" fillId="0" fontId="2" numFmtId="0" xfId="0" applyBorder="1" applyFont="1"/>
    <xf borderId="2" fillId="0" fontId="1" numFmtId="0" xfId="0" applyBorder="1" applyFont="1"/>
    <xf borderId="3" fillId="0" fontId="5" numFmtId="10" xfId="0" applyBorder="1" applyFont="1" applyNumberFormat="1"/>
    <xf borderId="1" fillId="0" fontId="1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6" fillId="0" fontId="3" numFmtId="0" xfId="0" applyAlignment="1" applyBorder="1" applyFont="1">
      <alignment readingOrder="0" shrinkToFit="0" vertical="bottom" wrapText="0"/>
    </xf>
    <xf borderId="9" fillId="0" fontId="2" numFmtId="0" xfId="0" applyBorder="1" applyFont="1"/>
    <xf borderId="9" fillId="0" fontId="1" numFmtId="0" xfId="0" applyAlignment="1" applyBorder="1" applyFont="1">
      <alignment readingOrder="0"/>
    </xf>
    <xf borderId="3" fillId="0" fontId="1" numFmtId="0" xfId="0" applyBorder="1" applyFont="1"/>
    <xf borderId="9" fillId="0" fontId="3" numFmtId="0" xfId="0" applyAlignment="1" applyBorder="1" applyFont="1">
      <alignment readingOrder="0"/>
    </xf>
    <xf borderId="0" fillId="0" fontId="3" numFmtId="0" xfId="0" applyFont="1"/>
    <xf borderId="5" fillId="0" fontId="3" numFmtId="0" xfId="0" applyBorder="1" applyFont="1"/>
    <xf borderId="0" fillId="0" fontId="3" numFmtId="0" xfId="0" applyFont="1"/>
    <xf borderId="7" fillId="0" fontId="3" numFmtId="0" xfId="0" applyBorder="1" applyFont="1"/>
    <xf borderId="8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1" fillId="0" fontId="3" numFmtId="0" xfId="0" applyAlignment="1" applyBorder="1" applyFont="1">
      <alignment horizontal="right" readingOrder="0"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/>
    </xf>
    <xf borderId="5" fillId="0" fontId="10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4" fillId="0" fontId="9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horizontal="right" readingOrder="0" shrinkToFit="0" vertical="bottom" wrapText="0"/>
    </xf>
    <xf borderId="5" fillId="2" fontId="3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1" numFmtId="0" xfId="0" applyFont="1"/>
    <xf borderId="0" fillId="0" fontId="3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3" fontId="12" numFmtId="0" xfId="0" applyAlignment="1" applyFill="1" applyFont="1">
      <alignment readingOrder="0"/>
    </xf>
    <xf borderId="7" fillId="0" fontId="11" numFmtId="0" xfId="0" applyBorder="1" applyFont="1"/>
    <xf borderId="0" fillId="3" fontId="13" numFmtId="0" xfId="0" applyAlignment="1" applyFont="1">
      <alignment readingOrder="0"/>
    </xf>
    <xf borderId="4" fillId="0" fontId="3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5" fillId="0" fontId="5" numFmtId="0" xfId="0" applyBorder="1" applyFont="1"/>
    <xf borderId="5" fillId="0" fontId="5" numFmtId="0" xfId="0" applyBorder="1" applyFont="1"/>
    <xf borderId="7" fillId="0" fontId="5" numFmtId="0" xfId="0" applyBorder="1" applyFont="1"/>
    <xf borderId="8" fillId="0" fontId="5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4" fillId="0" fontId="11" numFmtId="0" xfId="0" applyBorder="1" applyFont="1"/>
    <xf borderId="5" fillId="0" fontId="11" numFmtId="0" xfId="0" applyBorder="1" applyFont="1"/>
    <xf borderId="1" fillId="0" fontId="15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1" fillId="0" fontId="11" numFmtId="0" xfId="0" applyBorder="1" applyFont="1"/>
    <xf borderId="3" fillId="0" fontId="11" numFmtId="0" xfId="0" applyAlignment="1" applyBorder="1" applyFont="1">
      <alignment readingOrder="0"/>
    </xf>
    <xf borderId="7" fillId="0" fontId="11" numFmtId="0" xfId="0" applyBorder="1" applyFont="1"/>
    <xf borderId="8" fillId="0" fontId="11" numFmtId="0" xfId="0" applyBorder="1" applyFont="1"/>
    <xf borderId="2" fillId="0" fontId="3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13" fillId="0" fontId="3" numFmtId="0" xfId="0" applyAlignment="1" applyBorder="1" applyFont="1">
      <alignment readingOrder="0" shrinkToFit="0" vertical="bottom" wrapText="0"/>
    </xf>
    <xf borderId="11" fillId="0" fontId="3" numFmtId="0" xfId="0" applyAlignment="1" applyBorder="1" applyFont="1">
      <alignment readingOrder="0" shrinkToFit="0" vertical="bottom" wrapText="0"/>
    </xf>
    <xf borderId="1" fillId="0" fontId="5" numFmtId="0" xfId="0" applyBorder="1" applyFont="1"/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4" fontId="9" numFmtId="0" xfId="0" applyAlignment="1" applyBorder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4" fillId="0" fontId="5" numFmtId="0" xfId="0" applyAlignment="1" applyBorder="1" applyFont="1">
      <alignment readingOrder="0"/>
    </xf>
    <xf borderId="0" fillId="0" fontId="5" numFmtId="4" xfId="0" applyFont="1" applyNumberFormat="1"/>
    <xf borderId="4" fillId="3" fontId="9" numFmtId="0" xfId="0" applyAlignment="1" applyBorder="1" applyFont="1">
      <alignment readingOrder="0" vertical="bottom"/>
    </xf>
    <xf borderId="0" fillId="3" fontId="3" numFmtId="0" xfId="0" applyAlignment="1" applyFon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3" numFmtId="4" xfId="0" applyAlignment="1" applyFont="1" applyNumberFormat="1">
      <alignment horizontal="right" readingOrder="0" shrinkToFit="0" vertical="bottom" wrapText="0"/>
    </xf>
    <xf borderId="5" fillId="3" fontId="5" numFmtId="0" xfId="0" applyAlignment="1" applyBorder="1" applyFont="1">
      <alignment readingOrder="0" vertical="bottom"/>
    </xf>
    <xf borderId="0" fillId="3" fontId="3" numFmtId="0" xfId="0" applyAlignment="1" applyFont="1">
      <alignment horizontal="right" vertical="bottom"/>
    </xf>
    <xf borderId="5" fillId="3" fontId="10" numFmtId="0" xfId="0" applyAlignment="1" applyBorder="1" applyFont="1">
      <alignment readingOrder="0" vertical="bottom"/>
    </xf>
    <xf borderId="4" fillId="3" fontId="9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3" fontId="5" numFmtId="0" xfId="0" applyAlignment="1" applyBorder="1" applyFont="1">
      <alignment vertical="bottom"/>
    </xf>
    <xf borderId="0" fillId="4" fontId="3" numFmtId="0" xfId="0" applyAlignment="1" applyFont="1">
      <alignment horizontal="right" readingOrder="0" vertical="bottom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/>
    </xf>
    <xf borderId="7" fillId="0" fontId="5" numFmtId="4" xfId="0" applyBorder="1" applyFont="1" applyNumberFormat="1"/>
    <xf borderId="8" fillId="0" fontId="5" numFmtId="0" xfId="0" applyBorder="1" applyFont="1"/>
    <xf borderId="0" fillId="4" fontId="3" numFmtId="4" xfId="0" applyAlignment="1" applyFont="1" applyNumberFormat="1">
      <alignment horizontal="right" vertical="bottom"/>
    </xf>
    <xf borderId="5" fillId="0" fontId="14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7" fillId="0" fontId="3" numFmtId="4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4" fillId="0" fontId="5" numFmtId="0" xfId="0" applyBorder="1" applyFont="1"/>
    <xf borderId="3" fillId="0" fontId="5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readingOrder="0" shrinkToFit="0" vertical="bottom" wrapText="0"/>
    </xf>
    <xf borderId="5" fillId="4" fontId="10" numFmtId="0" xfId="0" applyAlignment="1" applyBorder="1" applyFont="1">
      <alignment readingOrder="0" vertical="bottom"/>
    </xf>
    <xf borderId="0" fillId="4" fontId="5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vertical="bottom"/>
    </xf>
    <xf borderId="1" fillId="5" fontId="3" numFmtId="0" xfId="0" applyAlignment="1" applyBorder="1" applyFill="1" applyFont="1">
      <alignment readingOrder="0" vertical="bottom"/>
    </xf>
    <xf borderId="6" fillId="4" fontId="3" numFmtId="0" xfId="0" applyAlignment="1" applyBorder="1" applyFont="1">
      <alignment readingOrder="0" vertical="bottom"/>
    </xf>
    <xf borderId="7" fillId="4" fontId="5" numFmtId="0" xfId="0" applyAlignment="1" applyBorder="1" applyFont="1">
      <alignment vertical="bottom"/>
    </xf>
    <xf borderId="7" fillId="4" fontId="3" numFmtId="0" xfId="0" applyAlignment="1" applyBorder="1" applyFont="1">
      <alignment horizontal="right" vertical="bottom"/>
    </xf>
    <xf borderId="8" fillId="4" fontId="5" numFmtId="0" xfId="0" applyAlignment="1" applyBorder="1" applyFont="1">
      <alignment vertical="bottom"/>
    </xf>
    <xf borderId="5" fillId="6" fontId="5" numFmtId="0" xfId="0" applyAlignment="1" applyBorder="1" applyFill="1" applyFont="1">
      <alignment readingOrder="0" vertical="bottom"/>
    </xf>
    <xf borderId="4" fillId="3" fontId="9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3" fontId="5" numFmtId="0" xfId="0" applyAlignment="1" applyBorder="1" applyFont="1">
      <alignment vertical="bottom"/>
    </xf>
    <xf borderId="4" fillId="6" fontId="9" numFmtId="0" xfId="0" applyAlignment="1" applyBorder="1" applyFont="1">
      <alignment readingOrder="0" vertical="bottom"/>
    </xf>
    <xf borderId="0" fillId="6" fontId="5" numFmtId="0" xfId="0" applyAlignment="1" applyFont="1">
      <alignment vertical="bottom"/>
    </xf>
    <xf borderId="5" fillId="6" fontId="5" numFmtId="0" xfId="0" applyAlignment="1" applyBorder="1" applyFont="1">
      <alignment readingOrder="0" shrinkToFit="0" vertical="bottom" wrapText="0"/>
    </xf>
    <xf borderId="4" fillId="6" fontId="9" numFmtId="0" xfId="0" applyAlignment="1" applyBorder="1" applyFont="1">
      <alignment vertical="bottom"/>
    </xf>
    <xf borderId="0" fillId="6" fontId="3" numFmtId="0" xfId="0" applyAlignment="1" applyFont="1">
      <alignment horizontal="right" vertical="bottom"/>
    </xf>
    <xf borderId="5" fillId="6" fontId="5" numFmtId="0" xfId="0" applyAlignment="1" applyBorder="1" applyFont="1">
      <alignment vertical="bottom"/>
    </xf>
    <xf borderId="5" fillId="3" fontId="5" numFmtId="0" xfId="0" applyAlignment="1" applyBorder="1" applyFont="1">
      <alignment readingOrder="0" shrinkToFit="0" vertical="bottom" wrapText="0"/>
    </xf>
    <xf borderId="7" fillId="4" fontId="3" numFmtId="4" xfId="0" applyAlignment="1" applyBorder="1" applyFont="1" applyNumberFormat="1">
      <alignment horizontal="right" vertical="bottom"/>
    </xf>
    <xf borderId="0" fillId="6" fontId="5" numFmtId="0" xfId="0" applyAlignment="1" applyFont="1">
      <alignment horizontal="right" readingOrder="0" vertical="bottom"/>
    </xf>
    <xf borderId="0" fillId="6" fontId="5" numFmtId="0" xfId="0" applyAlignment="1" applyFont="1">
      <alignment vertical="bottom"/>
    </xf>
    <xf borderId="0" fillId="6" fontId="3" numFmtId="4" xfId="0" applyAlignment="1" applyFont="1" applyNumberFormat="1">
      <alignment horizontal="right" vertical="bottom"/>
    </xf>
    <xf borderId="5" fillId="6" fontId="10" numFmtId="0" xfId="0" applyAlignment="1" applyBorder="1" applyFont="1">
      <alignment readingOrder="0" vertical="bottom"/>
    </xf>
    <xf borderId="0" fillId="6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5" fillId="4" fontId="3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/>
    </xf>
    <xf borderId="13" fillId="0" fontId="5" numFmtId="0" xfId="0" applyBorder="1" applyFont="1"/>
    <xf borderId="11" fillId="0" fontId="5" numFmtId="0" xfId="0" applyBorder="1" applyFont="1"/>
    <xf borderId="4" fillId="4" fontId="9" numFmtId="0" xfId="0" applyAlignment="1" applyBorder="1" applyFont="1">
      <alignment vertical="bottom"/>
    </xf>
    <xf borderId="0" fillId="4" fontId="5" numFmtId="0" xfId="0" applyAlignment="1" applyFont="1">
      <alignment horizontal="right" vertical="bottom"/>
    </xf>
    <xf borderId="1" fillId="4" fontId="9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vertical="bottom"/>
    </xf>
    <xf borderId="2" fillId="4" fontId="3" numFmtId="4" xfId="0" applyAlignment="1" applyBorder="1" applyFont="1" applyNumberFormat="1">
      <alignment horizontal="right" vertical="bottom"/>
    </xf>
    <xf borderId="4" fillId="4" fontId="9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 vertical="bottom"/>
    </xf>
    <xf borderId="13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4" fillId="5" fontId="15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5" fillId="5" fontId="5" numFmtId="0" xfId="0" applyAlignment="1" applyBorder="1" applyFont="1">
      <alignment vertical="bottom"/>
    </xf>
    <xf borderId="0" fillId="3" fontId="3" numFmtId="0" xfId="0" applyAlignment="1" applyFont="1">
      <alignment horizontal="right" vertical="bottom"/>
    </xf>
    <xf borderId="0" fillId="3" fontId="3" numFmtId="4" xfId="0" applyAlignment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  <xf borderId="7" fillId="3" fontId="5" numFmtId="0" xfId="0" applyAlignment="1" applyBorder="1" applyFont="1">
      <alignment vertical="bottom"/>
    </xf>
    <xf borderId="7" fillId="3" fontId="3" numFmtId="0" xfId="0" applyAlignment="1" applyBorder="1" applyFont="1">
      <alignment horizontal="right" vertical="bottom"/>
    </xf>
    <xf borderId="7" fillId="3" fontId="3" numFmtId="4" xfId="0" applyAlignment="1" applyBorder="1" applyFont="1" applyNumberFormat="1">
      <alignment horizontal="right" vertical="bottom"/>
    </xf>
    <xf borderId="8" fillId="3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0" fillId="3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3" fontId="5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4" fontId="5" numFmtId="4" xfId="0" applyAlignment="1" applyFont="1" applyNumberFormat="1">
      <alignment vertical="bottom"/>
    </xf>
    <xf borderId="0" fillId="3" fontId="5" numFmtId="4" xfId="0" applyAlignment="1" applyFont="1" applyNumberFormat="1">
      <alignment vertical="bottom"/>
    </xf>
    <xf borderId="4" fillId="3" fontId="5" numFmtId="0" xfId="0" applyAlignment="1" applyBorder="1" applyFont="1">
      <alignment vertical="bottom"/>
    </xf>
    <xf borderId="6" fillId="4" fontId="3" numFmtId="0" xfId="0" applyAlignment="1" applyBorder="1" applyFont="1">
      <alignment vertical="bottom"/>
    </xf>
    <xf borderId="6" fillId="5" fontId="15" numFmtId="0" xfId="0" applyAlignment="1" applyBorder="1" applyFont="1">
      <alignment vertical="bottom"/>
    </xf>
    <xf borderId="7" fillId="5" fontId="15" numFmtId="0" xfId="0" applyAlignment="1" applyBorder="1" applyFont="1">
      <alignment vertical="bottom"/>
    </xf>
    <xf borderId="8" fillId="5" fontId="5" numFmtId="0" xfId="0" applyAlignment="1" applyBorder="1" applyFont="1">
      <alignment vertical="bottom"/>
    </xf>
    <xf borderId="4" fillId="4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5" fillId="3" fontId="3" numFmtId="0" xfId="0" applyAlignment="1" applyBorder="1" applyFont="1">
      <alignment readingOrder="0" vertical="bottom"/>
    </xf>
    <xf borderId="5" fillId="4" fontId="10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4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6" fillId="5" fontId="3" numFmtId="0" xfId="0" applyAlignment="1" applyBorder="1" applyFont="1">
      <alignment vertical="bottom"/>
    </xf>
    <xf borderId="7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4" fillId="3" fontId="3" numFmtId="0" xfId="0" applyAlignment="1" applyBorder="1" applyFont="1">
      <alignment vertical="bottom"/>
    </xf>
    <xf borderId="7" fillId="3" fontId="3" numFmtId="0" xfId="0" applyAlignment="1" applyBorder="1" applyFont="1">
      <alignment vertical="bottom"/>
    </xf>
    <xf borderId="5" fillId="5" fontId="15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5" fillId="0" fontId="10" numFmtId="0" xfId="0" applyAlignment="1" applyBorder="1" applyFont="1">
      <alignment readingOrder="0"/>
    </xf>
    <xf borderId="1" fillId="0" fontId="9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10" xfId="0" applyAlignment="1" applyBorder="1" applyFont="1" applyNumberFormat="1">
      <alignment vertical="bottom"/>
    </xf>
    <xf borderId="4" fillId="0" fontId="5" numFmtId="0" xfId="0" applyAlignment="1" applyBorder="1" applyFont="1">
      <alignment readingOrder="0" vertical="bottom"/>
    </xf>
    <xf borderId="5" fillId="0" fontId="10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10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4" fillId="7" fontId="3" numFmtId="0" xfId="0" applyAlignment="1" applyBorder="1" applyFill="1" applyFont="1">
      <alignment readingOrder="0" vertical="bottom"/>
    </xf>
    <xf borderId="5" fillId="7" fontId="10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8" fillId="0" fontId="5" numFmtId="10" xfId="0" applyAlignment="1" applyBorder="1" applyFont="1" applyNumberFormat="1">
      <alignment vertical="bottom"/>
    </xf>
    <xf borderId="4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5" fillId="0" fontId="16" numFmtId="10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3" fillId="0" fontId="16" numFmtId="10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7" fillId="0" fontId="16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3" fillId="0" fontId="5" numFmtId="10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4" fillId="0" fontId="16" numFmtId="0" xfId="0" applyAlignment="1" applyBorder="1" applyFont="1">
      <alignment vertical="bottom"/>
    </xf>
    <xf borderId="5" fillId="0" fontId="16" numFmtId="10" xfId="0" applyAlignment="1" applyBorder="1" applyFont="1" applyNumberFormat="1">
      <alignment vertical="bottom"/>
    </xf>
    <xf borderId="1" fillId="0" fontId="9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10" fillId="0" fontId="2" numFmtId="0" xfId="0" applyAlignment="1" applyBorder="1" applyFont="1">
      <alignment readingOrder="0" vertical="bottom"/>
    </xf>
    <xf borderId="13" fillId="0" fontId="5" numFmtId="0" xfId="0" applyAlignment="1" applyBorder="1" applyFont="1">
      <alignment vertical="bottom"/>
    </xf>
    <xf borderId="13" fillId="0" fontId="3" numFmtId="0" xfId="0" applyAlignment="1" applyBorder="1" applyFont="1">
      <alignment horizontal="right" vertical="bottom"/>
    </xf>
    <xf borderId="11" fillId="0" fontId="5" numFmtId="10" xfId="0" applyAlignment="1" applyBorder="1" applyFont="1" applyNumberFormat="1">
      <alignment vertical="bottom"/>
    </xf>
    <xf borderId="4" fillId="0" fontId="16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3" fillId="0" fontId="16" numFmtId="0" xfId="0" applyAlignment="1" applyBorder="1" applyFont="1">
      <alignment vertical="bottom"/>
    </xf>
    <xf borderId="11" fillId="0" fontId="16" numFmtId="10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9" fillId="8" fontId="3" numFmtId="0" xfId="0" applyAlignment="1" applyBorder="1" applyFill="1" applyFont="1">
      <alignment vertical="bottom"/>
    </xf>
    <xf borderId="9" fillId="8" fontId="3" numFmtId="0" xfId="0" applyAlignment="1" applyBorder="1" applyFont="1">
      <alignment horizontal="right" vertical="bottom"/>
    </xf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4" fillId="0" fontId="9" numFmtId="0" xfId="0" applyBorder="1" applyFont="1"/>
    <xf borderId="5" fillId="0" fontId="3" numFmtId="10" xfId="0" applyBorder="1" applyFont="1" applyNumberFormat="1"/>
    <xf borderId="4" fillId="0" fontId="9" numFmtId="0" xfId="0" applyAlignment="1" applyBorder="1" applyFont="1">
      <alignment readingOrder="0"/>
    </xf>
    <xf borderId="6" fillId="0" fontId="3" numFmtId="0" xfId="0" applyBorder="1" applyFont="1"/>
    <xf borderId="8" fillId="0" fontId="3" numFmtId="10" xfId="0" applyBorder="1" applyFont="1" applyNumberFormat="1"/>
    <xf borderId="5" fillId="0" fontId="3" numFmtId="10" xfId="0" applyBorder="1" applyFont="1" applyNumberFormat="1"/>
    <xf borderId="3" fillId="0" fontId="3" numFmtId="10" xfId="0" applyBorder="1" applyFont="1" applyNumberFormat="1"/>
    <xf borderId="2" fillId="0" fontId="3" numFmtId="0" xfId="0" applyAlignment="1" applyBorder="1" applyFont="1">
      <alignment shrinkToFit="0" vertical="bottom" wrapText="0"/>
    </xf>
    <xf borderId="3" fillId="0" fontId="3" numFmtId="10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shrinkToFit="0" vertical="bottom" wrapText="0"/>
    </xf>
    <xf borderId="5" fillId="0" fontId="3" numFmtId="10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0" fillId="0" fontId="10" numFmtId="0" xfId="0" applyAlignment="1" applyFont="1">
      <alignment readingOrder="0" shrinkToFit="0" vertical="bottom" wrapText="0"/>
    </xf>
    <xf borderId="1" fillId="0" fontId="9" numFmtId="0" xfId="0" applyBorder="1" applyFont="1"/>
    <xf borderId="9" fillId="0" fontId="3" numFmtId="0" xfId="0" applyBorder="1" applyFont="1"/>
    <xf borderId="5" fillId="0" fontId="3" numFmtId="0" xfId="0" applyAlignment="1" applyBorder="1" applyFont="1">
      <alignment shrinkToFit="0" vertical="bottom" wrapText="0"/>
    </xf>
    <xf borderId="8" fillId="0" fontId="3" numFmtId="10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5" fillId="0" fontId="3" numFmtId="10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1" fillId="0" fontId="3" numFmtId="0" xfId="0" applyAlignment="1" applyBorder="1" applyFont="1">
      <alignment horizontal="right" readingOrder="0"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14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10" xfId="0" applyFont="1" applyNumberFormat="1"/>
    <xf borderId="4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15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9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9" fillId="0" fontId="11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9" fillId="0" fontId="3" numFmtId="0" xfId="0" applyAlignment="1" applyBorder="1" applyFont="1">
      <alignment horizontal="right" readingOrder="0" shrinkToFit="0" vertical="bottom" wrapText="0"/>
    </xf>
    <xf borderId="9" fillId="0" fontId="1" numFmtId="0" xfId="0" applyAlignment="1" applyBorder="1" applyFont="1">
      <alignment readingOrder="0"/>
    </xf>
    <xf borderId="12" fillId="0" fontId="3" numFmtId="0" xfId="0" applyAlignment="1" applyBorder="1" applyFont="1">
      <alignment horizontal="right" readingOrder="0" shrinkToFit="0" vertical="bottom" wrapText="0"/>
    </xf>
    <xf borderId="12" fillId="0" fontId="11" numFmtId="0" xfId="0" applyBorder="1" applyFont="1"/>
    <xf borderId="12" fillId="0" fontId="3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horizontal="right" readingOrder="0" shrinkToFit="0" vertical="bottom" wrapText="0"/>
    </xf>
    <xf borderId="9" fillId="0" fontId="11" numFmtId="0" xfId="0" applyBorder="1" applyFont="1"/>
    <xf borderId="9" fillId="0" fontId="3" numFmtId="0" xfId="0" applyAlignment="1" applyBorder="1" applyFont="1">
      <alignment readingOrder="0" shrinkToFit="0" vertical="bottom" wrapText="0"/>
    </xf>
    <xf borderId="10" fillId="9" fontId="3" numFmtId="0" xfId="0" applyAlignment="1" applyBorder="1" applyFill="1" applyFont="1">
      <alignment horizontal="center" readingOrder="0" shrinkToFit="0" vertical="bottom" wrapText="0"/>
    </xf>
    <xf borderId="13" fillId="9" fontId="11" numFmtId="0" xfId="0" applyBorder="1" applyFont="1"/>
    <xf borderId="13" fillId="9" fontId="3" numFmtId="0" xfId="0" applyAlignment="1" applyBorder="1" applyFont="1">
      <alignment horizontal="center" readingOrder="0" shrinkToFit="0" vertical="bottom" wrapText="0"/>
    </xf>
    <xf borderId="9" fillId="9" fontId="3" numFmtId="0" xfId="0" applyAlignment="1" applyBorder="1" applyFont="1">
      <alignment horizontal="center" readingOrder="0" shrinkToFit="0" vertical="bottom" wrapText="0"/>
    </xf>
    <xf borderId="11" fillId="9" fontId="18" numFmtId="0" xfId="0" applyBorder="1" applyFont="1"/>
    <xf borderId="10" fillId="3" fontId="9" numFmtId="0" xfId="0" applyAlignment="1" applyBorder="1" applyFont="1">
      <alignment readingOrder="0" shrinkToFit="0" vertical="bottom" wrapText="0"/>
    </xf>
    <xf borderId="13" fillId="3" fontId="11" numFmtId="0" xfId="0" applyBorder="1" applyFont="1"/>
    <xf borderId="13" fillId="3" fontId="3" numFmtId="0" xfId="0" applyAlignment="1" applyBorder="1" applyFont="1">
      <alignment horizontal="center" readingOrder="0" shrinkToFit="0" vertical="bottom" wrapText="0"/>
    </xf>
    <xf borderId="11" fillId="3" fontId="1" numFmtId="0" xfId="0" applyBorder="1" applyFont="1"/>
    <xf borderId="9" fillId="3" fontId="3" numFmtId="0" xfId="0" applyAlignment="1" applyBorder="1" applyFont="1">
      <alignment horizontal="right" readingOrder="0" shrinkToFit="0" vertical="bottom" wrapText="0"/>
    </xf>
    <xf borderId="10" fillId="3" fontId="3" numFmtId="0" xfId="0" applyAlignment="1" applyBorder="1" applyFont="1">
      <alignment horizontal="center" readingOrder="0" shrinkToFit="0" vertical="bottom" wrapText="0"/>
    </xf>
    <xf borderId="11" fillId="3" fontId="18" numFmtId="0" xfId="0" applyBorder="1" applyFont="1"/>
    <xf borderId="10" fillId="10" fontId="9" numFmtId="0" xfId="0" applyAlignment="1" applyBorder="1" applyFill="1" applyFont="1">
      <alignment readingOrder="0" shrinkToFit="0" vertical="bottom" wrapText="0"/>
    </xf>
    <xf borderId="13" fillId="10" fontId="11" numFmtId="0" xfId="0" applyBorder="1" applyFont="1"/>
    <xf borderId="13" fillId="10" fontId="3" numFmtId="0" xfId="0" applyAlignment="1" applyBorder="1" applyFont="1">
      <alignment horizontal="center" readingOrder="0" shrinkToFit="0" vertical="bottom" wrapText="0"/>
    </xf>
    <xf borderId="0" fillId="10" fontId="1" numFmtId="0" xfId="0" applyFont="1"/>
    <xf borderId="9" fillId="10" fontId="3" numFmtId="0" xfId="0" applyAlignment="1" applyBorder="1" applyFont="1">
      <alignment horizontal="right" readingOrder="0" shrinkToFit="0" vertical="bottom" wrapText="0"/>
    </xf>
    <xf borderId="10" fillId="10" fontId="3" numFmtId="0" xfId="0" applyAlignment="1" applyBorder="1" applyFont="1">
      <alignment horizontal="center" readingOrder="0" shrinkToFit="0" vertical="bottom" wrapText="0"/>
    </xf>
    <xf borderId="11" fillId="10" fontId="18" numFmtId="0" xfId="0" applyBorder="1" applyFont="1"/>
    <xf borderId="10" fillId="3" fontId="3" numFmtId="0" xfId="0" applyAlignment="1" applyBorder="1" applyFont="1">
      <alignment horizontal="center" readingOrder="0" shrinkToFit="0" vertical="bottom" wrapText="0"/>
    </xf>
    <xf borderId="10" fillId="10" fontId="3" numFmtId="0" xfId="0" applyAlignment="1" applyBorder="1" applyFont="1">
      <alignment readingOrder="0" shrinkToFit="0" vertical="bottom" wrapText="0"/>
    </xf>
    <xf borderId="13" fillId="10" fontId="3" numFmtId="0" xfId="0" applyAlignment="1" applyBorder="1" applyFont="1">
      <alignment horizontal="center" readingOrder="0" shrinkToFit="0" vertical="bottom" wrapText="0"/>
    </xf>
    <xf borderId="13" fillId="10" fontId="1" numFmtId="0" xfId="0" applyBorder="1" applyFont="1"/>
    <xf borderId="9" fillId="10" fontId="3" numFmtId="0" xfId="0" applyAlignment="1" applyBorder="1" applyFont="1">
      <alignment horizontal="right" readingOrder="0" shrinkToFit="0" vertical="bottom" wrapText="0"/>
    </xf>
    <xf borderId="10" fillId="3" fontId="3" numFmtId="0" xfId="0" applyAlignment="1" applyBorder="1" applyFont="1">
      <alignment readingOrder="0" shrinkToFit="0" vertical="bottom" wrapText="0"/>
    </xf>
    <xf borderId="11" fillId="3" fontId="3" numFmtId="164" xfId="0" applyAlignment="1" applyBorder="1" applyFont="1" applyNumberForma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1" numFmtId="0" xfId="0" applyFont="1"/>
    <xf borderId="0" fillId="3" fontId="3" numFmtId="0" xfId="0" applyAlignment="1" applyFont="1">
      <alignment horizontal="right" readingOrder="0" shrinkToFit="0" vertical="bottom" wrapText="0"/>
    </xf>
    <xf borderId="8" fillId="0" fontId="10" numFmtId="0" xfId="0" applyAlignment="1" applyBorder="1" applyFont="1">
      <alignment readingOrder="0" shrinkToFit="0" vertical="bottom" wrapText="0"/>
    </xf>
    <xf borderId="10" fillId="11" fontId="3" numFmtId="0" xfId="0" applyAlignment="1" applyBorder="1" applyFill="1" applyFont="1">
      <alignment horizontal="center" readingOrder="0" shrinkToFit="0" vertical="bottom" wrapText="0"/>
    </xf>
    <xf borderId="13" fillId="11" fontId="11" numFmtId="0" xfId="0" applyBorder="1" applyFont="1"/>
    <xf borderId="13" fillId="11" fontId="3" numFmtId="0" xfId="0" applyAlignment="1" applyBorder="1" applyFont="1">
      <alignment horizontal="center" readingOrder="0" shrinkToFit="0" vertical="bottom" wrapText="0"/>
    </xf>
    <xf borderId="9" fillId="11" fontId="3" numFmtId="0" xfId="0" applyAlignment="1" applyBorder="1" applyFont="1">
      <alignment horizontal="center" readingOrder="0" shrinkToFit="0" vertical="bottom" wrapText="0"/>
    </xf>
    <xf borderId="11" fillId="11" fontId="18" numFmtId="0" xfId="0" applyBorder="1" applyFont="1"/>
    <xf borderId="10" fillId="12" fontId="9" numFmtId="0" xfId="0" applyAlignment="1" applyBorder="1" applyFill="1" applyFont="1">
      <alignment readingOrder="0" shrinkToFit="0" vertical="bottom" wrapText="0"/>
    </xf>
    <xf borderId="13" fillId="12" fontId="11" numFmtId="0" xfId="0" applyBorder="1" applyFont="1"/>
    <xf borderId="13" fillId="12" fontId="3" numFmtId="0" xfId="0" applyAlignment="1" applyBorder="1" applyFont="1">
      <alignment horizontal="center" readingOrder="0" shrinkToFit="0" vertical="bottom" wrapText="0"/>
    </xf>
    <xf borderId="0" fillId="12" fontId="1" numFmtId="0" xfId="0" applyFont="1"/>
    <xf borderId="9" fillId="12" fontId="3" numFmtId="0" xfId="0" applyAlignment="1" applyBorder="1" applyFont="1">
      <alignment horizontal="right" readingOrder="0" shrinkToFit="0" vertical="bottom" wrapText="0"/>
    </xf>
    <xf borderId="10" fillId="12" fontId="3" numFmtId="0" xfId="0" applyAlignment="1" applyBorder="1" applyFont="1">
      <alignment horizontal="center" readingOrder="0" shrinkToFit="0" vertical="bottom" wrapText="0"/>
    </xf>
    <xf borderId="11" fillId="12" fontId="18" numFmtId="0" xfId="0" applyBorder="1" applyFont="1"/>
    <xf borderId="10" fillId="12" fontId="3" numFmtId="0" xfId="0" applyAlignment="1" applyBorder="1" applyFont="1">
      <alignment readingOrder="0" shrinkToFit="0" vertical="bottom" wrapText="0"/>
    </xf>
    <xf borderId="13" fillId="12" fontId="3" numFmtId="0" xfId="0" applyAlignment="1" applyBorder="1" applyFont="1">
      <alignment horizontal="center" readingOrder="0" shrinkToFit="0" vertical="bottom" wrapText="0"/>
    </xf>
    <xf borderId="13" fillId="12" fontId="1" numFmtId="0" xfId="0" applyBorder="1" applyFont="1"/>
    <xf borderId="9" fillId="12" fontId="3" numFmtId="0" xfId="0" applyAlignment="1" applyBorder="1" applyFont="1">
      <alignment horizontal="right" readingOrder="0" shrinkToFit="0" vertical="bottom" wrapText="0"/>
    </xf>
    <xf borderId="0" fillId="12" fontId="3" numFmtId="0" xfId="0" applyAlignment="1" applyFont="1">
      <alignment readingOrder="0" shrinkToFit="0" vertical="bottom" wrapText="0"/>
    </xf>
    <xf borderId="0" fillId="12" fontId="11" numFmtId="0" xfId="0" applyFont="1"/>
    <xf borderId="0" fillId="12" fontId="3" numFmtId="0" xfId="0" applyAlignment="1" applyFont="1">
      <alignment horizontal="center" readingOrder="0" shrinkToFit="0" vertical="bottom" wrapText="0"/>
    </xf>
    <xf borderId="0" fillId="12" fontId="3" numFmtId="0" xfId="0" applyAlignment="1" applyFont="1">
      <alignment horizontal="right" readingOrder="0" shrinkToFit="0" vertical="bottom" wrapText="0"/>
    </xf>
    <xf borderId="10" fillId="13" fontId="3" numFmtId="0" xfId="0" applyAlignment="1" applyBorder="1" applyFill="1" applyFont="1">
      <alignment horizontal="center" readingOrder="0" shrinkToFit="0" vertical="bottom" wrapText="0"/>
    </xf>
    <xf borderId="13" fillId="13" fontId="11" numFmtId="0" xfId="0" applyBorder="1" applyFont="1"/>
    <xf borderId="13" fillId="13" fontId="3" numFmtId="0" xfId="0" applyAlignment="1" applyBorder="1" applyFont="1">
      <alignment horizontal="center" readingOrder="0" shrinkToFit="0" vertical="bottom" wrapText="0"/>
    </xf>
    <xf borderId="9" fillId="13" fontId="3" numFmtId="0" xfId="0" applyAlignment="1" applyBorder="1" applyFont="1">
      <alignment horizontal="center" readingOrder="0" shrinkToFit="0" vertical="bottom" wrapText="0"/>
    </xf>
    <xf borderId="11" fillId="0" fontId="18" numFmtId="0" xfId="0" applyBorder="1" applyFont="1"/>
    <xf borderId="0" fillId="0" fontId="11" numFmtId="164" xfId="0" applyAlignment="1" applyFont="1" applyNumberFormat="1">
      <alignment readingOrder="0"/>
    </xf>
    <xf borderId="4" fillId="3" fontId="9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10" fillId="14" fontId="9" numFmtId="0" xfId="0" applyAlignment="1" applyBorder="1" applyFill="1" applyFont="1">
      <alignment readingOrder="0" shrinkToFit="0" vertical="bottom" wrapText="0"/>
    </xf>
    <xf borderId="13" fillId="14" fontId="11" numFmtId="0" xfId="0" applyBorder="1" applyFont="1"/>
    <xf borderId="13" fillId="14" fontId="3" numFmtId="0" xfId="0" applyAlignment="1" applyBorder="1" applyFont="1">
      <alignment horizontal="center" readingOrder="0" shrinkToFit="0" vertical="bottom" wrapText="0"/>
    </xf>
    <xf borderId="13" fillId="14" fontId="1" numFmtId="0" xfId="0" applyBorder="1" applyFont="1"/>
    <xf borderId="9" fillId="14" fontId="3" numFmtId="0" xfId="0" applyAlignment="1" applyBorder="1" applyFont="1">
      <alignment horizontal="right" readingOrder="0" shrinkToFit="0" vertical="bottom" wrapText="0"/>
    </xf>
    <xf borderId="10" fillId="14" fontId="3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readingOrder="0"/>
    </xf>
    <xf borderId="6" fillId="3" fontId="9" numFmtId="0" xfId="0" applyAlignment="1" applyBorder="1" applyFont="1">
      <alignment readingOrder="0" shrinkToFit="0" vertical="bottom" wrapText="0"/>
    </xf>
    <xf borderId="7" fillId="3" fontId="3" numFmtId="0" xfId="0" applyAlignment="1" applyBorder="1" applyFont="1">
      <alignment horizontal="center" readingOrder="0" shrinkToFit="0" vertical="bottom" wrapText="0"/>
    </xf>
    <xf borderId="7" fillId="3" fontId="1" numFmtId="0" xfId="0" applyBorder="1" applyFont="1"/>
    <xf borderId="10" fillId="14" fontId="3" numFmtId="0" xfId="0" applyAlignment="1" applyBorder="1" applyFont="1">
      <alignment readingOrder="0" shrinkToFit="0" vertical="bottom" wrapText="0"/>
    </xf>
    <xf borderId="13" fillId="14" fontId="3" numFmtId="0" xfId="0" applyAlignment="1" applyBorder="1" applyFont="1">
      <alignment horizontal="center" readingOrder="0" shrinkToFit="0" vertical="bottom" wrapText="0"/>
    </xf>
    <xf borderId="9" fillId="14" fontId="3" numFmtId="0" xfId="0" applyAlignment="1" applyBorder="1" applyFont="1">
      <alignment horizontal="right" readingOrder="0" shrinkToFit="0" vertical="bottom" wrapText="0"/>
    </xf>
    <xf borderId="10" fillId="15" fontId="3" numFmtId="0" xfId="0" applyAlignment="1" applyBorder="1" applyFill="1" applyFont="1">
      <alignment horizontal="center" readingOrder="0" shrinkToFit="0" vertical="bottom" wrapText="0"/>
    </xf>
    <xf borderId="13" fillId="15" fontId="11" numFmtId="0" xfId="0" applyBorder="1" applyFont="1"/>
    <xf borderId="13" fillId="15" fontId="3" numFmtId="0" xfId="0" applyAlignment="1" applyBorder="1" applyFont="1">
      <alignment horizontal="center" readingOrder="0" shrinkToFit="0" vertical="bottom" wrapText="0"/>
    </xf>
    <xf borderId="9" fillId="15" fontId="3" numFmtId="0" xfId="0" applyAlignment="1" applyBorder="1" applyFont="1">
      <alignment horizontal="center" readingOrder="0" shrinkToFit="0" vertical="bottom" wrapText="0"/>
    </xf>
    <xf borderId="11" fillId="15" fontId="18" numFmtId="0" xfId="0" applyBorder="1" applyFont="1"/>
    <xf borderId="10" fillId="16" fontId="9" numFmtId="0" xfId="0" applyAlignment="1" applyBorder="1" applyFill="1" applyFont="1">
      <alignment readingOrder="0" shrinkToFit="0" vertical="bottom" wrapText="0"/>
    </xf>
    <xf borderId="13" fillId="16" fontId="11" numFmtId="0" xfId="0" applyBorder="1" applyFont="1"/>
    <xf borderId="13" fillId="16" fontId="3" numFmtId="0" xfId="0" applyAlignment="1" applyBorder="1" applyFont="1">
      <alignment horizontal="center" readingOrder="0" shrinkToFit="0" vertical="bottom" wrapText="0"/>
    </xf>
    <xf borderId="0" fillId="16" fontId="1" numFmtId="0" xfId="0" applyFont="1"/>
    <xf borderId="9" fillId="16" fontId="3" numFmtId="0" xfId="0" applyAlignment="1" applyBorder="1" applyFont="1">
      <alignment horizontal="right" readingOrder="0" shrinkToFit="0" vertical="bottom" wrapText="0"/>
    </xf>
    <xf borderId="10" fillId="16" fontId="3" numFmtId="0" xfId="0" applyAlignment="1" applyBorder="1" applyFont="1">
      <alignment horizontal="center" readingOrder="0" shrinkToFit="0" vertical="bottom" wrapText="0"/>
    </xf>
    <xf borderId="11" fillId="16" fontId="18" numFmtId="0" xfId="0" applyBorder="1" applyFont="1"/>
    <xf borderId="10" fillId="16" fontId="3" numFmtId="0" xfId="0" applyAlignment="1" applyBorder="1" applyFont="1">
      <alignment readingOrder="0" shrinkToFit="0" vertical="bottom" wrapText="0"/>
    </xf>
    <xf borderId="13" fillId="16" fontId="3" numFmtId="0" xfId="0" applyAlignment="1" applyBorder="1" applyFont="1">
      <alignment horizontal="center" readingOrder="0" shrinkToFit="0" vertical="bottom" wrapText="0"/>
    </xf>
    <xf borderId="13" fillId="16" fontId="1" numFmtId="0" xfId="0" applyBorder="1" applyFont="1"/>
    <xf borderId="9" fillId="16" fontId="3" numFmtId="0" xfId="0" applyAlignment="1" applyBorder="1" applyFont="1">
      <alignment horizontal="right" readingOrder="0" shrinkToFit="0" vertical="bottom" wrapText="0"/>
    </xf>
    <xf borderId="10" fillId="5" fontId="3" numFmtId="0" xfId="0" applyAlignment="1" applyBorder="1" applyFont="1">
      <alignment horizontal="center" readingOrder="0" shrinkToFit="0" vertical="bottom" wrapText="0"/>
    </xf>
    <xf borderId="13" fillId="5" fontId="11" numFmtId="0" xfId="0" applyBorder="1" applyFont="1"/>
    <xf borderId="13" fillId="5" fontId="3" numFmtId="0" xfId="0" applyAlignment="1" applyBorder="1" applyFont="1">
      <alignment horizontal="center" readingOrder="0" shrinkToFit="0" vertical="bottom" wrapText="0"/>
    </xf>
    <xf borderId="9" fillId="5" fontId="3" numFmtId="0" xfId="0" applyAlignment="1" applyBorder="1" applyFont="1">
      <alignment horizontal="center" readingOrder="0" shrinkToFit="0" vertical="bottom" wrapText="0"/>
    </xf>
    <xf borderId="11" fillId="5" fontId="18" numFmtId="0" xfId="0" applyBorder="1" applyFont="1"/>
    <xf borderId="10" fillId="4" fontId="9" numFmtId="0" xfId="0" applyAlignment="1" applyBorder="1" applyFont="1">
      <alignment readingOrder="0" shrinkToFit="0" vertical="bottom" wrapText="0"/>
    </xf>
    <xf borderId="13" fillId="4" fontId="11" numFmtId="0" xfId="0" applyBorder="1" applyFont="1"/>
    <xf borderId="13" fillId="4" fontId="3" numFmtId="0" xfId="0" applyAlignment="1" applyBorder="1" applyFont="1">
      <alignment horizontal="center" readingOrder="0" shrinkToFit="0" vertical="bottom" wrapText="0"/>
    </xf>
    <xf borderId="11" fillId="4" fontId="1" numFmtId="0" xfId="0" applyBorder="1" applyFont="1"/>
    <xf borderId="9" fillId="4" fontId="3" numFmtId="0" xfId="0" applyAlignment="1" applyBorder="1" applyFont="1">
      <alignment horizontal="right" readingOrder="0" shrinkToFit="0" vertical="bottom" wrapText="0"/>
    </xf>
    <xf borderId="10" fillId="4" fontId="3" numFmtId="0" xfId="0" applyAlignment="1" applyBorder="1" applyFont="1">
      <alignment horizontal="center" readingOrder="0" shrinkToFit="0" vertical="bottom" wrapText="0"/>
    </xf>
    <xf borderId="11" fillId="4" fontId="18" numFmtId="0" xfId="0" applyBorder="1" applyFont="1"/>
    <xf borderId="11" fillId="3" fontId="1" numFmtId="0" xfId="0" applyAlignment="1" applyBorder="1" applyFont="1">
      <alignment readingOrder="0"/>
    </xf>
    <xf borderId="10" fillId="4" fontId="3" numFmtId="0" xfId="0" applyAlignment="1" applyBorder="1" applyFont="1">
      <alignment readingOrder="0" shrinkToFit="0" vertical="bottom" wrapText="0"/>
    </xf>
    <xf borderId="13" fillId="4" fontId="3" numFmtId="0" xfId="0" applyAlignment="1" applyBorder="1" applyFont="1">
      <alignment horizontal="center" readingOrder="0" shrinkToFit="0" vertical="bottom" wrapText="0"/>
    </xf>
    <xf borderId="13" fillId="4" fontId="1" numFmtId="0" xfId="0" applyBorder="1" applyFont="1"/>
    <xf borderId="9" fillId="4" fontId="3" numFmtId="0" xfId="0" applyAlignment="1" applyBorder="1" applyFont="1">
      <alignment horizontal="right" readingOrder="0" shrinkToFit="0" vertical="bottom" wrapText="0"/>
    </xf>
    <xf quotePrefix="1" borderId="10" fillId="4" fontId="3" numFmtId="0" xfId="0" applyAlignment="1" applyBorder="1" applyFont="1">
      <alignment horizontal="center" readingOrder="0" shrinkToFit="0" vertical="bottom" wrapText="0"/>
    </xf>
    <xf borderId="10" fillId="0" fontId="9" numFmtId="0" xfId="0" applyAlignment="1" applyBorder="1" applyFont="1">
      <alignment readingOrder="0" shrinkToFit="0" vertical="bottom" wrapText="0"/>
    </xf>
    <xf borderId="13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horizontal="center" readingOrder="0" shrinkToFit="0" vertical="bottom" wrapText="0"/>
    </xf>
    <xf borderId="13" fillId="0" fontId="3" numFmtId="0" xfId="0" applyAlignment="1" applyBorder="1" applyFont="1">
      <alignment horizontal="center" readingOrder="0" shrinkToFit="0" vertical="bottom" wrapText="0"/>
    </xf>
    <xf borderId="13" fillId="0" fontId="1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 shrinkToFit="0" vertical="bottom" wrapText="0"/>
    </xf>
    <xf borderId="10" fillId="8" fontId="3" numFmtId="0" xfId="0" applyAlignment="1" applyBorder="1" applyFont="1">
      <alignment horizontal="center" readingOrder="0" shrinkToFit="0" vertical="bottom" wrapText="0"/>
    </xf>
    <xf borderId="2" fillId="8" fontId="11" numFmtId="0" xfId="0" applyBorder="1" applyFont="1"/>
    <xf borderId="13" fillId="8" fontId="3" numFmtId="0" xfId="0" applyAlignment="1" applyBorder="1" applyFont="1">
      <alignment horizontal="center" readingOrder="0" shrinkToFit="0" vertical="bottom" wrapText="0"/>
    </xf>
    <xf borderId="13" fillId="8" fontId="1" numFmtId="0" xfId="0" applyAlignment="1" applyBorder="1" applyFont="1">
      <alignment horizontal="center" readingOrder="0"/>
    </xf>
    <xf borderId="9" fillId="8" fontId="3" numFmtId="0" xfId="0" applyAlignment="1" applyBorder="1" applyFont="1">
      <alignment horizontal="center" readingOrder="0" shrinkToFit="0" vertical="bottom" wrapText="0"/>
    </xf>
    <xf borderId="11" fillId="8" fontId="18" numFmtId="0" xfId="0" applyBorder="1" applyFont="1"/>
    <xf borderId="13" fillId="3" fontId="1" numFmtId="0" xfId="0" applyAlignment="1" applyBorder="1" applyFont="1">
      <alignment horizontal="center"/>
    </xf>
    <xf borderId="13" fillId="3" fontId="1" numFmtId="0" xfId="0" applyBorder="1" applyFont="1"/>
    <xf borderId="9" fillId="3" fontId="1" numFmtId="0" xfId="0" applyBorder="1" applyFont="1"/>
    <xf borderId="4" fillId="6" fontId="3" numFmtId="0" xfId="0" applyAlignment="1" applyBorder="1" applyFont="1">
      <alignment readingOrder="0" shrinkToFit="0" vertical="bottom" wrapText="0"/>
    </xf>
    <xf borderId="0" fillId="6" fontId="3" numFmtId="0" xfId="0" applyAlignment="1" applyFont="1">
      <alignment horizontal="center" readingOrder="0" shrinkToFit="0" vertical="bottom" wrapText="0"/>
    </xf>
    <xf borderId="0" fillId="6" fontId="1" numFmtId="0" xfId="0" applyAlignment="1" applyFont="1">
      <alignment horizontal="center"/>
    </xf>
    <xf borderId="0" fillId="6" fontId="1" numFmtId="0" xfId="0" applyFont="1"/>
    <xf borderId="9" fillId="6" fontId="1" numFmtId="0" xfId="0" applyBorder="1" applyFont="1"/>
    <xf borderId="5" fillId="6" fontId="18" numFmtId="0" xfId="0" applyBorder="1" applyFont="1"/>
    <xf borderId="10" fillId="6" fontId="3" numFmtId="0" xfId="0" applyAlignment="1" applyBorder="1" applyFont="1">
      <alignment readingOrder="0" shrinkToFit="0" vertical="bottom" wrapText="0"/>
    </xf>
    <xf borderId="13" fillId="6" fontId="11" numFmtId="0" xfId="0" applyBorder="1" applyFont="1"/>
    <xf borderId="13" fillId="6" fontId="3" numFmtId="0" xfId="0" applyAlignment="1" applyBorder="1" applyFont="1">
      <alignment horizontal="center" readingOrder="0" shrinkToFit="0" vertical="bottom" wrapText="0"/>
    </xf>
    <xf borderId="13" fillId="6" fontId="1" numFmtId="0" xfId="0" applyAlignment="1" applyBorder="1" applyFont="1">
      <alignment horizontal="center"/>
    </xf>
    <xf borderId="11" fillId="6" fontId="1" numFmtId="0" xfId="0" applyBorder="1" applyFont="1"/>
    <xf borderId="10" fillId="6" fontId="11" numFmtId="0" xfId="0" applyBorder="1" applyFont="1"/>
    <xf borderId="11" fillId="6" fontId="3" numFmtId="0" xfId="0" applyAlignment="1" applyBorder="1" applyFont="1">
      <alignment horizontal="center" readingOrder="0" shrinkToFit="0" vertical="bottom" wrapText="0"/>
    </xf>
    <xf borderId="9" fillId="17" fontId="9" numFmtId="0" xfId="0" applyAlignment="1" applyBorder="1" applyFill="1" applyFont="1">
      <alignment readingOrder="0" shrinkToFit="0" vertical="bottom" wrapText="0"/>
    </xf>
    <xf borderId="9" fillId="17" fontId="3" numFmtId="0" xfId="0" applyAlignment="1" applyBorder="1" applyFont="1">
      <alignment shrinkToFit="0" vertical="bottom" wrapText="0"/>
    </xf>
    <xf borderId="9" fillId="17" fontId="3" numFmtId="0" xfId="0" applyAlignment="1" applyBorder="1" applyFont="1">
      <alignment horizontal="center" readingOrder="0" shrinkToFit="0" vertical="bottom" wrapText="0"/>
    </xf>
    <xf borderId="10" fillId="17" fontId="3" numFmtId="0" xfId="0" applyAlignment="1" applyBorder="1" applyFont="1">
      <alignment horizontal="center" readingOrder="0" shrinkToFit="0" vertical="bottom" wrapText="0"/>
    </xf>
    <xf borderId="13" fillId="17" fontId="18" numFmtId="0" xfId="0" applyBorder="1" applyFont="1"/>
    <xf borderId="11" fillId="17" fontId="18" numFmtId="0" xfId="0" applyBorder="1" applyFont="1"/>
    <xf borderId="9" fillId="3" fontId="9" numFmtId="0" xfId="0" applyAlignment="1" applyBorder="1" applyFont="1">
      <alignment readingOrder="0" shrinkToFit="0" vertical="bottom" wrapText="0"/>
    </xf>
    <xf borderId="9" fillId="3" fontId="3" numFmtId="0" xfId="0" applyAlignment="1" applyBorder="1" applyFont="1">
      <alignment readingOrder="0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10" fillId="3" fontId="3" numFmtId="0" xfId="0" applyAlignment="1" applyBorder="1" applyFont="1">
      <alignment readingOrder="0" shrinkToFit="0" vertical="bottom" wrapText="0"/>
    </xf>
    <xf borderId="13" fillId="3" fontId="18" numFmtId="0" xfId="0" applyBorder="1" applyFont="1"/>
    <xf borderId="9" fillId="18" fontId="9" numFmtId="0" xfId="0" applyAlignment="1" applyBorder="1" applyFill="1" applyFont="1">
      <alignment readingOrder="0" shrinkToFit="0" vertical="bottom" wrapText="0"/>
    </xf>
    <xf borderId="9" fillId="18" fontId="3" numFmtId="0" xfId="0" applyAlignment="1" applyBorder="1" applyFont="1">
      <alignment readingOrder="0" shrinkToFit="0" vertical="bottom" wrapText="0"/>
    </xf>
    <xf borderId="9" fillId="18" fontId="3" numFmtId="0" xfId="0" applyAlignment="1" applyBorder="1" applyFont="1">
      <alignment horizontal="right" readingOrder="0" shrinkToFit="0" vertical="bottom" wrapText="0"/>
    </xf>
    <xf borderId="9" fillId="18" fontId="3" numFmtId="0" xfId="0" applyAlignment="1" applyBorder="1" applyFont="1">
      <alignment horizontal="center" readingOrder="0" shrinkToFit="0" vertical="bottom" wrapText="0"/>
    </xf>
    <xf borderId="10" fillId="18" fontId="5" numFmtId="0" xfId="0" applyAlignment="1" applyBorder="1" applyFont="1">
      <alignment readingOrder="0" shrinkToFit="0" vertical="bottom" wrapText="0"/>
    </xf>
    <xf borderId="13" fillId="18" fontId="18" numFmtId="0" xfId="0" applyBorder="1" applyFont="1"/>
    <xf borderId="11" fillId="18" fontId="18" numFmtId="0" xfId="0" applyBorder="1" applyFont="1"/>
    <xf borderId="9" fillId="3" fontId="9" numFmtId="0" xfId="0" applyAlignment="1" applyBorder="1" applyFont="1">
      <alignment readingOrder="0" shrinkToFit="0" vertical="bottom" wrapText="0"/>
    </xf>
    <xf borderId="10" fillId="3" fontId="5" numFmtId="0" xfId="0" applyAlignment="1" applyBorder="1" applyFont="1">
      <alignment readingOrder="0" shrinkToFit="0" vertical="bottom" wrapText="0"/>
    </xf>
    <xf borderId="9" fillId="18" fontId="3" numFmtId="0" xfId="0" applyAlignment="1" applyBorder="1" applyFont="1">
      <alignment readingOrder="0" shrinkToFit="0" vertical="bottom" wrapText="0"/>
    </xf>
    <xf borderId="9" fillId="18" fontId="3" numFmtId="0" xfId="0" applyAlignment="1" applyBorder="1" applyFont="1">
      <alignment horizontal="right" readingOrder="0" shrinkToFit="0" vertical="bottom" wrapText="0"/>
    </xf>
    <xf borderId="9" fillId="3" fontId="3" numFmtId="0" xfId="0" applyAlignment="1" applyBorder="1" applyFont="1">
      <alignment readingOrder="0" shrinkToFit="0" vertical="bottom" wrapText="0"/>
    </xf>
    <xf borderId="9" fillId="3" fontId="3" numFmtId="0" xfId="0" applyAlignment="1" applyBorder="1" applyFont="1">
      <alignment horizontal="right" readingOrder="0" shrinkToFit="0" vertical="bottom" wrapText="0"/>
    </xf>
    <xf borderId="9" fillId="18" fontId="9" numFmtId="0" xfId="0" applyAlignment="1" applyBorder="1" applyFont="1">
      <alignment readingOrder="0" shrinkToFit="0" vertical="bottom" wrapText="0"/>
    </xf>
    <xf borderId="9" fillId="18" fontId="10" numFmtId="0" xfId="0" applyAlignment="1" applyBorder="1" applyFont="1">
      <alignment readingOrder="0" shrinkToFit="0" vertical="bottom" wrapText="0"/>
    </xf>
    <xf borderId="9" fillId="18" fontId="5" numFmtId="0" xfId="0" applyAlignment="1" applyBorder="1" applyFont="1">
      <alignment readingOrder="0" shrinkToFit="0" vertical="bottom" wrapText="0"/>
    </xf>
    <xf borderId="9" fillId="19" fontId="9" numFmtId="0" xfId="0" applyAlignment="1" applyBorder="1" applyFill="1" applyFont="1">
      <alignment readingOrder="0" shrinkToFit="0" vertical="bottom" wrapText="0"/>
    </xf>
    <xf borderId="9" fillId="19" fontId="3" numFmtId="0" xfId="0" applyAlignment="1" applyBorder="1" applyFont="1">
      <alignment shrinkToFit="0" vertical="bottom" wrapText="0"/>
    </xf>
    <xf borderId="9" fillId="19" fontId="3" numFmtId="0" xfId="0" applyAlignment="1" applyBorder="1" applyFont="1">
      <alignment horizontal="center" readingOrder="0" shrinkToFit="0" vertical="bottom" wrapText="0"/>
    </xf>
    <xf borderId="10" fillId="19" fontId="3" numFmtId="0" xfId="0" applyAlignment="1" applyBorder="1" applyFont="1">
      <alignment horizontal="center" readingOrder="0" shrinkToFit="0" vertical="bottom" wrapText="0"/>
    </xf>
    <xf borderId="13" fillId="19" fontId="18" numFmtId="0" xfId="0" applyBorder="1" applyFont="1"/>
    <xf borderId="11" fillId="19" fontId="18" numFmtId="0" xfId="0" applyBorder="1" applyFont="1"/>
    <xf borderId="10" fillId="3" fontId="10" numFmtId="0" xfId="0" applyAlignment="1" applyBorder="1" applyFont="1">
      <alignment readingOrder="0" shrinkToFit="0" vertical="bottom" wrapText="0"/>
    </xf>
    <xf borderId="9" fillId="20" fontId="3" numFmtId="0" xfId="0" applyAlignment="1" applyBorder="1" applyFill="1" applyFont="1">
      <alignment readingOrder="0" shrinkToFit="0" vertical="bottom" wrapText="0"/>
    </xf>
    <xf borderId="9" fillId="20" fontId="3" numFmtId="0" xfId="0" applyAlignment="1" applyBorder="1" applyFont="1">
      <alignment horizontal="right" readingOrder="0" shrinkToFit="0" vertical="bottom" wrapText="0"/>
    </xf>
    <xf borderId="10" fillId="20" fontId="10" numFmtId="0" xfId="0" applyAlignment="1" applyBorder="1" applyFont="1">
      <alignment readingOrder="0" shrinkToFit="0" vertical="bottom" wrapText="0"/>
    </xf>
    <xf borderId="13" fillId="20" fontId="18" numFmtId="0" xfId="0" applyBorder="1" applyFont="1"/>
    <xf borderId="11" fillId="20" fontId="18" numFmtId="0" xfId="0" applyBorder="1" applyFont="1"/>
    <xf borderId="9" fillId="20" fontId="3" numFmtId="0" xfId="0" applyAlignment="1" applyBorder="1" applyFont="1">
      <alignment readingOrder="0" shrinkToFit="0" vertical="bottom" wrapText="0"/>
    </xf>
    <xf borderId="10" fillId="20" fontId="5" numFmtId="0" xfId="0" applyAlignment="1" applyBorder="1" applyFont="1">
      <alignment readingOrder="0" shrinkToFit="0" vertical="bottom" wrapText="0"/>
    </xf>
    <xf borderId="9" fillId="21" fontId="9" numFmtId="0" xfId="0" applyAlignment="1" applyBorder="1" applyFill="1" applyFont="1">
      <alignment readingOrder="0" shrinkToFit="0" vertical="bottom" wrapText="0"/>
    </xf>
    <xf borderId="9" fillId="21" fontId="3" numFmtId="0" xfId="0" applyAlignment="1" applyBorder="1" applyFont="1">
      <alignment shrinkToFit="0" vertical="bottom" wrapText="0"/>
    </xf>
    <xf borderId="9" fillId="21" fontId="3" numFmtId="0" xfId="0" applyAlignment="1" applyBorder="1" applyFont="1">
      <alignment horizontal="center" readingOrder="0" shrinkToFit="0" vertical="bottom" wrapText="0"/>
    </xf>
    <xf borderId="10" fillId="21" fontId="3" numFmtId="0" xfId="0" applyAlignment="1" applyBorder="1" applyFont="1">
      <alignment horizontal="center" readingOrder="0" shrinkToFit="0" vertical="bottom" wrapText="0"/>
    </xf>
    <xf borderId="13" fillId="21" fontId="18" numFmtId="0" xfId="0" applyBorder="1" applyFont="1"/>
    <xf borderId="11" fillId="21" fontId="18" numFmtId="0" xfId="0" applyBorder="1" applyFont="1"/>
    <xf borderId="9" fillId="7" fontId="3" numFmtId="0" xfId="0" applyAlignment="1" applyBorder="1" applyFont="1">
      <alignment readingOrder="0" shrinkToFit="0" vertical="bottom" wrapText="0"/>
    </xf>
    <xf borderId="9" fillId="7" fontId="3" numFmtId="0" xfId="0" applyAlignment="1" applyBorder="1" applyFont="1">
      <alignment horizontal="right" readingOrder="0" shrinkToFit="0" vertical="bottom" wrapText="0"/>
    </xf>
    <xf borderId="10" fillId="7" fontId="5" numFmtId="0" xfId="0" applyAlignment="1" applyBorder="1" applyFont="1">
      <alignment readingOrder="0" shrinkToFit="0" vertical="bottom" wrapText="0"/>
    </xf>
    <xf borderId="13" fillId="7" fontId="18" numFmtId="0" xfId="0" applyBorder="1" applyFont="1"/>
    <xf borderId="11" fillId="7" fontId="18" numFmtId="0" xfId="0" applyBorder="1" applyFont="1"/>
    <xf borderId="9" fillId="7" fontId="3" numFmtId="0" xfId="0" applyAlignment="1" applyBorder="1" applyFont="1">
      <alignment readingOrder="0" shrinkToFit="0" vertical="bottom" wrapText="0"/>
    </xf>
    <xf borderId="9" fillId="7" fontId="3" numFmtId="0" xfId="0" applyAlignment="1" applyBorder="1" applyFont="1">
      <alignment horizontal="right" readingOrder="0" shrinkToFit="0" vertical="bottom" wrapText="0"/>
    </xf>
    <xf borderId="10" fillId="7" fontId="10" numFmtId="0" xfId="0" applyAlignment="1" applyBorder="1" applyFont="1">
      <alignment readingOrder="0" shrinkToFit="0" vertical="bottom" wrapText="0"/>
    </xf>
    <xf borderId="9" fillId="15" fontId="9" numFmtId="0" xfId="0" applyAlignment="1" applyBorder="1" applyFont="1">
      <alignment readingOrder="0" shrinkToFit="0" vertical="bottom" wrapText="0"/>
    </xf>
    <xf borderId="9" fillId="15" fontId="3" numFmtId="0" xfId="0" applyAlignment="1" applyBorder="1" applyFont="1">
      <alignment shrinkToFit="0" vertical="bottom" wrapText="0"/>
    </xf>
    <xf borderId="9" fillId="15" fontId="3" numFmtId="0" xfId="0" applyAlignment="1" applyBorder="1" applyFont="1">
      <alignment horizontal="center" readingOrder="0" shrinkToFit="0" vertical="bottom" wrapText="0"/>
    </xf>
    <xf borderId="13" fillId="15" fontId="18" numFmtId="0" xfId="0" applyBorder="1" applyFont="1"/>
    <xf borderId="9" fillId="16" fontId="3" numFmtId="0" xfId="0" applyAlignment="1" applyBorder="1" applyFont="1">
      <alignment readingOrder="0" shrinkToFit="0" vertical="bottom" wrapText="0"/>
    </xf>
    <xf borderId="10" fillId="16" fontId="10" numFmtId="0" xfId="0" applyAlignment="1" applyBorder="1" applyFont="1">
      <alignment readingOrder="0" shrinkToFit="0" vertical="bottom" wrapText="0"/>
    </xf>
    <xf borderId="13" fillId="16" fontId="18" numFmtId="0" xfId="0" applyBorder="1" applyFont="1"/>
    <xf borderId="9" fillId="16" fontId="3" numFmtId="0" xfId="0" applyAlignment="1" applyBorder="1" applyFont="1">
      <alignment readingOrder="0" shrinkToFit="0" vertical="bottom" wrapText="0"/>
    </xf>
    <xf borderId="9" fillId="16" fontId="3" numFmtId="0" xfId="0" applyAlignment="1" applyBorder="1" applyFont="1">
      <alignment horizontal="right" readingOrder="0" shrinkToFit="0" vertical="bottom" wrapText="0"/>
    </xf>
    <xf borderId="10" fillId="16" fontId="5" numFmtId="0" xfId="0" applyAlignment="1" applyBorder="1" applyFont="1">
      <alignment readingOrder="0" shrinkToFit="0" vertical="bottom" wrapText="0"/>
    </xf>
    <xf borderId="9" fillId="22" fontId="9" numFmtId="0" xfId="0" applyAlignment="1" applyBorder="1" applyFill="1" applyFont="1">
      <alignment readingOrder="0" shrinkToFit="0" vertical="bottom" wrapText="0"/>
    </xf>
    <xf borderId="9" fillId="22" fontId="3" numFmtId="0" xfId="0" applyAlignment="1" applyBorder="1" applyFont="1">
      <alignment shrinkToFit="0" vertical="bottom" wrapText="0"/>
    </xf>
    <xf borderId="9" fillId="22" fontId="3" numFmtId="0" xfId="0" applyAlignment="1" applyBorder="1" applyFont="1">
      <alignment horizontal="center" readingOrder="0" shrinkToFit="0" vertical="bottom" wrapText="0"/>
    </xf>
    <xf borderId="10" fillId="22" fontId="3" numFmtId="0" xfId="0" applyAlignment="1" applyBorder="1" applyFont="1">
      <alignment horizontal="center" readingOrder="0" shrinkToFit="0" vertical="bottom" wrapText="0"/>
    </xf>
    <xf borderId="13" fillId="22" fontId="18" numFmtId="0" xfId="0" applyBorder="1" applyFont="1"/>
    <xf borderId="11" fillId="22" fontId="18" numFmtId="0" xfId="0" applyBorder="1" applyFont="1"/>
    <xf borderId="9" fillId="23" fontId="3" numFmtId="0" xfId="0" applyAlignment="1" applyBorder="1" applyFill="1" applyFont="1">
      <alignment readingOrder="0" shrinkToFit="0" vertical="bottom" wrapText="0"/>
    </xf>
    <xf borderId="9" fillId="23" fontId="3" numFmtId="0" xfId="0" applyAlignment="1" applyBorder="1" applyFont="1">
      <alignment horizontal="right" readingOrder="0" shrinkToFit="0" vertical="bottom" wrapText="0"/>
    </xf>
    <xf borderId="10" fillId="23" fontId="5" numFmtId="0" xfId="0" applyAlignment="1" applyBorder="1" applyFont="1">
      <alignment readingOrder="0" shrinkToFit="0" vertical="bottom" wrapText="0"/>
    </xf>
    <xf borderId="13" fillId="23" fontId="18" numFmtId="0" xfId="0" applyBorder="1" applyFont="1"/>
    <xf borderId="11" fillId="23" fontId="18" numFmtId="0" xfId="0" applyBorder="1" applyFont="1"/>
    <xf borderId="9" fillId="23" fontId="3" numFmtId="0" xfId="0" applyAlignment="1" applyBorder="1" applyFont="1">
      <alignment readingOrder="0" shrinkToFit="0" vertical="bottom" wrapText="0"/>
    </xf>
    <xf borderId="9" fillId="23" fontId="3" numFmtId="0" xfId="0" applyAlignment="1" applyBorder="1" applyFont="1">
      <alignment horizontal="right" readingOrder="0" shrinkToFit="0" vertical="bottom" wrapText="0"/>
    </xf>
    <xf borderId="9" fillId="18" fontId="5" numFmtId="0" xfId="0" applyAlignment="1" applyBorder="1" applyFont="1">
      <alignment vertical="bottom"/>
    </xf>
    <xf borderId="9" fillId="18" fontId="3" numFmtId="0" xfId="0" applyAlignment="1" applyBorder="1" applyFont="1">
      <alignment horizontal="right" readingOrder="0" vertical="bottom"/>
    </xf>
    <xf borderId="10" fillId="18" fontId="10" numFmtId="0" xfId="0" applyAlignment="1" applyBorder="1" applyFont="1">
      <alignment readingOrder="0" vertical="bottom"/>
    </xf>
    <xf borderId="10" fillId="18" fontId="10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0" fillId="0" fontId="5" numFmtId="0" xfId="0" applyFont="1"/>
    <xf borderId="6" fillId="0" fontId="5" numFmtId="0" xfId="0" applyBorder="1" applyFont="1"/>
    <xf borderId="7" fillId="0" fontId="5" numFmtId="0" xfId="0" applyBorder="1" applyFont="1"/>
    <xf borderId="0" fillId="0" fontId="11" numFmtId="0" xfId="0" applyFont="1"/>
    <xf borderId="1" fillId="0" fontId="5" numFmtId="0" xfId="0" applyBorder="1" applyFont="1"/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1" fillId="0" fontId="5" numFmtId="0" xfId="0" applyAlignment="1" applyBorder="1" applyFont="1">
      <alignment readingOrder="0"/>
    </xf>
    <xf borderId="3" fillId="0" fontId="5" numFmtId="0" xfId="0" applyBorder="1" applyFont="1"/>
    <xf borderId="0" fillId="0" fontId="19" numFmtId="0" xfId="0" applyAlignment="1" applyFont="1">
      <alignment horizontal="center" readingOrder="0"/>
    </xf>
    <xf borderId="1" fillId="0" fontId="19" numFmtId="0" xfId="0" applyAlignment="1" applyBorder="1" applyFont="1">
      <alignment readingOrder="0"/>
    </xf>
    <xf borderId="2" fillId="0" fontId="11" numFmtId="0" xfId="0" applyBorder="1" applyFont="1"/>
    <xf borderId="3" fillId="0" fontId="11" numFmtId="0" xfId="0" applyBorder="1" applyFont="1"/>
    <xf borderId="1" fillId="0" fontId="11" numFmtId="0" xfId="0" applyAlignment="1" applyBorder="1" applyFont="1">
      <alignment readingOrder="0"/>
    </xf>
    <xf borderId="2" fillId="0" fontId="11" numFmtId="0" xfId="0" applyBorder="1" applyFont="1"/>
    <xf borderId="3" fillId="0" fontId="11" numFmtId="0" xfId="0" applyBorder="1" applyFont="1"/>
    <xf borderId="1" fillId="8" fontId="11" numFmtId="0" xfId="0" applyAlignment="1" applyBorder="1" applyFont="1">
      <alignment horizontal="center" readingOrder="0"/>
    </xf>
    <xf borderId="2" fillId="8" fontId="18" numFmtId="0" xfId="0" applyBorder="1" applyFont="1"/>
    <xf borderId="3" fillId="8" fontId="18" numFmtId="0" xfId="0" applyBorder="1" applyFont="1"/>
    <xf borderId="10" fillId="8" fontId="11" numFmtId="0" xfId="0" applyAlignment="1" applyBorder="1" applyFont="1">
      <alignment horizontal="center" readingOrder="0"/>
    </xf>
    <xf borderId="13" fillId="8" fontId="18" numFmtId="0" xfId="0" applyBorder="1" applyFont="1"/>
    <xf borderId="10" fillId="0" fontId="19" numFmtId="0" xfId="0" applyAlignment="1" applyBorder="1" applyFont="1">
      <alignment readingOrder="0"/>
    </xf>
    <xf borderId="13" fillId="0" fontId="19" numFmtId="0" xfId="0" applyAlignment="1" applyBorder="1" applyFont="1">
      <alignment readingOrder="0"/>
    </xf>
    <xf borderId="11" fillId="0" fontId="19" numFmtId="0" xfId="0" applyAlignment="1" applyBorder="1" applyFont="1">
      <alignment readingOrder="0"/>
    </xf>
    <xf borderId="9" fillId="3" fontId="11" numFmtId="0" xfId="0" applyBorder="1" applyFont="1"/>
    <xf borderId="9" fillId="3" fontId="11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5" fillId="0" fontId="11" numFmtId="0" xfId="0" applyAlignment="1" applyBorder="1" applyFont="1">
      <alignment readingOrder="0"/>
    </xf>
    <xf borderId="9" fillId="6" fontId="11" numFmtId="0" xfId="0" applyAlignment="1" applyBorder="1" applyFont="1">
      <alignment horizontal="center" readingOrder="0"/>
    </xf>
    <xf borderId="9" fillId="6" fontId="11" numFmtId="0" xfId="0" applyAlignment="1" applyBorder="1" applyFont="1">
      <alignment readingOrder="0"/>
    </xf>
    <xf borderId="9" fillId="6" fontId="11" numFmtId="0" xfId="0" applyAlignment="1" applyBorder="1" applyFont="1">
      <alignment horizontal="center"/>
    </xf>
    <xf borderId="9" fillId="6" fontId="11" numFmtId="0" xfId="0" applyBorder="1" applyFont="1"/>
    <xf borderId="4" fillId="0" fontId="11" numFmtId="0" xfId="0" applyAlignment="1" applyBorder="1" applyFont="1">
      <alignment readingOrder="0"/>
    </xf>
    <xf borderId="9" fillId="3" fontId="11" numFmtId="0" xfId="0" applyAlignment="1" applyBorder="1" applyFont="1">
      <alignment readingOrder="0"/>
    </xf>
    <xf borderId="9" fillId="3" fontId="11" numFmtId="0" xfId="0" applyAlignment="1" applyBorder="1" applyFont="1">
      <alignment horizontal="center"/>
    </xf>
    <xf borderId="6" fillId="0" fontId="11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15" fillId="0" fontId="11" numFmtId="0" xfId="0" applyBorder="1" applyFont="1"/>
    <xf borderId="15" fillId="0" fontId="19" numFmtId="0" xfId="0" applyAlignment="1" applyBorder="1" applyFont="1">
      <alignment horizontal="center" readingOrder="0"/>
    </xf>
    <xf borderId="15" fillId="0" fontId="19" numFmtId="0" xfId="0" applyAlignment="1" applyBorder="1" applyFont="1">
      <alignment readingOrder="0"/>
    </xf>
    <xf borderId="1" fillId="4" fontId="11" numFmtId="0" xfId="0" applyBorder="1" applyFont="1"/>
    <xf borderId="15" fillId="4" fontId="11" numFmtId="0" xfId="0" applyBorder="1" applyFont="1"/>
    <xf borderId="2" fillId="4" fontId="11" numFmtId="0" xfId="0" applyBorder="1" applyFont="1"/>
    <xf borderId="3" fillId="4" fontId="11" numFmtId="0" xfId="0" applyBorder="1" applyFont="1"/>
    <xf borderId="4" fillId="4" fontId="11" numFmtId="0" xfId="0" applyBorder="1" applyFont="1"/>
    <xf borderId="14" fillId="4" fontId="11" numFmtId="0" xfId="0" applyBorder="1" applyFont="1"/>
    <xf borderId="0" fillId="4" fontId="11" numFmtId="0" xfId="0" applyFont="1"/>
    <xf borderId="5" fillId="4" fontId="11" numFmtId="0" xfId="0" applyBorder="1" applyFont="1"/>
    <xf borderId="6" fillId="4" fontId="11" numFmtId="0" xfId="0" applyBorder="1" applyFont="1"/>
    <xf borderId="12" fillId="4" fontId="11" numFmtId="0" xfId="0" applyBorder="1" applyFont="1"/>
    <xf borderId="7" fillId="4" fontId="11" numFmtId="0" xfId="0" applyBorder="1" applyFont="1"/>
    <xf borderId="8" fillId="4" fontId="11" numFmtId="0" xfId="0" applyBorder="1" applyFont="1"/>
    <xf borderId="1" fillId="12" fontId="11" numFmtId="0" xfId="0" applyBorder="1" applyFont="1"/>
    <xf borderId="15" fillId="12" fontId="11" numFmtId="0" xfId="0" applyBorder="1" applyFont="1"/>
    <xf borderId="2" fillId="12" fontId="11" numFmtId="0" xfId="0" applyBorder="1" applyFont="1"/>
    <xf borderId="3" fillId="12" fontId="11" numFmtId="0" xfId="0" applyBorder="1" applyFont="1"/>
    <xf borderId="4" fillId="12" fontId="11" numFmtId="0" xfId="0" applyBorder="1" applyFont="1"/>
    <xf borderId="14" fillId="12" fontId="11" numFmtId="0" xfId="0" applyBorder="1" applyFont="1"/>
    <xf borderId="5" fillId="12" fontId="11" numFmtId="0" xfId="0" applyBorder="1" applyFont="1"/>
    <xf borderId="6" fillId="12" fontId="11" numFmtId="0" xfId="0" applyBorder="1" applyFont="1"/>
    <xf borderId="12" fillId="12" fontId="11" numFmtId="0" xfId="0" applyBorder="1" applyFont="1"/>
    <xf borderId="7" fillId="12" fontId="11" numFmtId="0" xfId="0" applyBorder="1" applyFont="1"/>
    <xf borderId="8" fillId="12" fontId="11" numFmtId="0" xfId="0" applyBorder="1" applyFont="1"/>
    <xf borderId="1" fillId="16" fontId="11" numFmtId="0" xfId="0" applyBorder="1" applyFont="1"/>
    <xf borderId="15" fillId="16" fontId="11" numFmtId="0" xfId="0" applyBorder="1" applyFont="1"/>
    <xf borderId="2" fillId="16" fontId="11" numFmtId="0" xfId="0" applyBorder="1" applyFont="1"/>
    <xf borderId="3" fillId="16" fontId="11" numFmtId="0" xfId="0" applyBorder="1" applyFont="1"/>
    <xf borderId="2" fillId="0" fontId="11" numFmtId="0" xfId="0" applyAlignment="1" applyBorder="1" applyFont="1">
      <alignment readingOrder="0"/>
    </xf>
    <xf borderId="4" fillId="16" fontId="11" numFmtId="0" xfId="0" applyBorder="1" applyFont="1"/>
    <xf borderId="14" fillId="16" fontId="11" numFmtId="0" xfId="0" applyBorder="1" applyFont="1"/>
    <xf borderId="0" fillId="16" fontId="11" numFmtId="0" xfId="0" applyFont="1"/>
    <xf borderId="5" fillId="16" fontId="11" numFmtId="0" xfId="0" applyBorder="1" applyFont="1"/>
    <xf borderId="6" fillId="16" fontId="11" numFmtId="0" xfId="0" applyBorder="1" applyFont="1"/>
    <xf borderId="12" fillId="16" fontId="11" numFmtId="0" xfId="0" applyBorder="1" applyFont="1"/>
    <xf borderId="7" fillId="16" fontId="11" numFmtId="0" xfId="0" applyBorder="1" applyFont="1"/>
    <xf borderId="8" fillId="16" fontId="11" numFmtId="0" xfId="0" applyBorder="1" applyFont="1"/>
    <xf borderId="1" fillId="23" fontId="11" numFmtId="0" xfId="0" applyBorder="1" applyFont="1"/>
    <xf borderId="15" fillId="23" fontId="11" numFmtId="0" xfId="0" applyBorder="1" applyFont="1"/>
    <xf borderId="2" fillId="23" fontId="11" numFmtId="0" xfId="0" applyBorder="1" applyFont="1"/>
    <xf borderId="3" fillId="23" fontId="11" numFmtId="0" xfId="0" applyBorder="1" applyFont="1"/>
    <xf borderId="4" fillId="23" fontId="11" numFmtId="0" xfId="0" applyBorder="1" applyFont="1"/>
    <xf borderId="14" fillId="23" fontId="11" numFmtId="0" xfId="0" applyBorder="1" applyFont="1"/>
    <xf borderId="0" fillId="23" fontId="11" numFmtId="0" xfId="0" applyFont="1"/>
    <xf borderId="5" fillId="23" fontId="11" numFmtId="0" xfId="0" applyBorder="1" applyFont="1"/>
    <xf borderId="6" fillId="23" fontId="11" numFmtId="0" xfId="0" applyBorder="1" applyFont="1"/>
    <xf borderId="12" fillId="23" fontId="11" numFmtId="0" xfId="0" applyBorder="1" applyFont="1"/>
    <xf borderId="7" fillId="23" fontId="11" numFmtId="0" xfId="0" applyBorder="1" applyFont="1"/>
    <xf borderId="8" fillId="23" fontId="11" numFmtId="0" xfId="0" applyBorder="1" applyFont="1"/>
    <xf borderId="4" fillId="24" fontId="11" numFmtId="0" xfId="0" applyBorder="1" applyFill="1" applyFont="1"/>
    <xf borderId="14" fillId="24" fontId="11" numFmtId="0" xfId="0" applyBorder="1" applyFont="1"/>
    <xf borderId="5" fillId="24" fontId="11" numFmtId="0" xfId="0" applyBorder="1" applyFont="1"/>
    <xf borderId="8" fillId="24" fontId="11" numFmtId="0" xfId="0" applyBorder="1" applyFont="1"/>
    <xf borderId="1" fillId="18" fontId="11" numFmtId="0" xfId="0" applyBorder="1" applyFont="1"/>
    <xf borderId="15" fillId="18" fontId="11" numFmtId="0" xfId="0" applyBorder="1" applyFont="1"/>
    <xf borderId="2" fillId="18" fontId="11" numFmtId="0" xfId="0" applyBorder="1" applyFont="1"/>
    <xf borderId="5" fillId="18" fontId="11" numFmtId="0" xfId="0" applyBorder="1" applyFont="1"/>
    <xf borderId="4" fillId="18" fontId="11" numFmtId="0" xfId="0" applyBorder="1" applyFont="1"/>
    <xf borderId="14" fillId="18" fontId="11" numFmtId="0" xfId="0" applyBorder="1" applyFont="1"/>
    <xf borderId="0" fillId="18" fontId="11" numFmtId="0" xfId="0" applyFont="1"/>
    <xf borderId="6" fillId="18" fontId="11" numFmtId="0" xfId="0" applyBorder="1" applyFont="1"/>
    <xf borderId="12" fillId="18" fontId="11" numFmtId="0" xfId="0" applyBorder="1" applyFont="1"/>
    <xf borderId="7" fillId="18" fontId="11" numFmtId="0" xfId="0" applyBorder="1" applyFont="1"/>
    <xf borderId="8" fillId="18" fontId="11" numFmtId="0" xfId="0" applyBorder="1" applyFont="1"/>
    <xf borderId="1" fillId="0" fontId="20" numFmtId="0" xfId="0" applyAlignment="1" applyBorder="1" applyFont="1">
      <alignment readingOrder="0"/>
    </xf>
    <xf borderId="0" fillId="3" fontId="16" numFmtId="0" xfId="0" applyAlignment="1" applyFont="1">
      <alignment horizontal="right" vertical="bottom"/>
    </xf>
    <xf borderId="5" fillId="3" fontId="16" numFmtId="0" xfId="0" applyAlignment="1" applyBorder="1" applyFont="1">
      <alignment horizontal="right" vertical="bottom"/>
    </xf>
    <xf borderId="4" fillId="0" fontId="20" numFmtId="0" xfId="0" applyAlignment="1" applyBorder="1" applyFont="1">
      <alignment readingOrder="0"/>
    </xf>
    <xf borderId="0" fillId="0" fontId="11" numFmtId="0" xfId="0" applyFont="1"/>
    <xf borderId="5" fillId="0" fontId="11" numFmtId="0" xfId="0" applyBorder="1" applyFont="1"/>
    <xf borderId="4" fillId="0" fontId="19" numFmtId="0" xfId="0" applyAlignment="1" applyBorder="1" applyFont="1">
      <alignment readingOrder="0"/>
    </xf>
    <xf borderId="0" fillId="0" fontId="21" numFmtId="0" xfId="0" applyAlignment="1" applyFont="1">
      <alignment vertical="bottom"/>
    </xf>
    <xf borderId="9" fillId="25" fontId="5" numFmtId="0" xfId="0" applyAlignment="1" applyBorder="1" applyFill="1" applyFont="1">
      <alignment horizontal="center" vertical="bottom"/>
    </xf>
    <xf borderId="9" fillId="26" fontId="5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right" vertical="bottom"/>
    </xf>
    <xf borderId="9" fillId="26" fontId="22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/>
    </xf>
    <xf borderId="9" fillId="25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9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27" fontId="2" numFmtId="0" xfId="0" applyAlignment="1" applyBorder="1" applyFill="1" applyFont="1">
      <alignment horizontal="center" vertical="bottom"/>
    </xf>
    <xf borderId="9" fillId="26" fontId="5" numFmtId="0" xfId="0" applyAlignment="1" applyBorder="1" applyFont="1">
      <alignment horizontal="center" vertical="bottom"/>
    </xf>
    <xf borderId="9" fillId="28" fontId="5" numFmtId="0" xfId="0" applyAlignment="1" applyBorder="1" applyFill="1" applyFont="1">
      <alignment horizontal="center" vertical="bottom"/>
    </xf>
    <xf borderId="9" fillId="28" fontId="5" numFmtId="0" xfId="0" applyAlignment="1" applyBorder="1" applyFont="1">
      <alignment horizontal="center" readingOrder="0" vertical="bottom"/>
    </xf>
    <xf borderId="9" fillId="29" fontId="5" numFmtId="0" xfId="0" applyAlignment="1" applyBorder="1" applyFill="1" applyFont="1">
      <alignment horizontal="center" vertical="bottom"/>
    </xf>
    <xf borderId="9" fillId="29" fontId="5" numFmtId="0" xfId="0" applyAlignment="1" applyBorder="1" applyFont="1">
      <alignment horizontal="center" readingOrder="0" vertical="bottom"/>
    </xf>
    <xf borderId="9" fillId="30" fontId="5" numFmtId="0" xfId="0" applyAlignment="1" applyBorder="1" applyFill="1" applyFont="1">
      <alignment horizontal="center" vertical="bottom"/>
    </xf>
    <xf borderId="9" fillId="30" fontId="5" numFmtId="0" xfId="0" applyAlignment="1" applyBorder="1" applyFont="1">
      <alignment horizontal="center" readingOrder="0" vertical="bottom"/>
    </xf>
    <xf borderId="9" fillId="31" fontId="5" numFmtId="0" xfId="0" applyAlignment="1" applyBorder="1" applyFill="1" applyFont="1">
      <alignment horizontal="center" vertical="bottom"/>
    </xf>
    <xf borderId="9" fillId="31" fontId="5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vertical="bottom"/>
    </xf>
    <xf borderId="1" fillId="0" fontId="11" numFmtId="0" xfId="0" applyAlignment="1" applyBorder="1" applyFont="1">
      <alignment readingOrder="0"/>
    </xf>
    <xf borderId="1" fillId="0" fontId="23" numFmtId="0" xfId="0" applyAlignment="1" applyBorder="1" applyFont="1">
      <alignment readingOrder="0" shrinkToFit="0" vertical="bottom" wrapText="0"/>
    </xf>
    <xf borderId="2" fillId="0" fontId="23" numFmtId="0" xfId="0" applyAlignment="1" applyBorder="1" applyFont="1">
      <alignment readingOrder="0" shrinkToFit="0" vertical="bottom" wrapText="0"/>
    </xf>
    <xf borderId="2" fillId="0" fontId="23" numFmtId="0" xfId="0" applyAlignment="1" applyBorder="1" applyFont="1">
      <alignment shrinkToFit="0" vertical="bottom" wrapText="0"/>
    </xf>
    <xf borderId="3" fillId="0" fontId="23" numFmtId="0" xfId="0" applyAlignment="1" applyBorder="1" applyFont="1">
      <alignment readingOrder="0" shrinkToFit="0" vertical="bottom" wrapText="0"/>
    </xf>
    <xf borderId="4" fillId="0" fontId="23" numFmtId="0" xfId="0" applyAlignment="1" applyBorder="1" applyFont="1">
      <alignment horizontal="right" readingOrder="0"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0" fillId="0" fontId="23" numFmtId="3" xfId="0" applyAlignment="1" applyFont="1" applyNumberFormat="1">
      <alignment horizontal="right"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5" fillId="0" fontId="23" numFmtId="0" xfId="0" applyAlignment="1" applyBorder="1" applyFont="1">
      <alignment horizontal="right" readingOrder="0" shrinkToFit="0" vertical="bottom" wrapText="0"/>
    </xf>
    <xf borderId="6" fillId="0" fontId="23" numFmtId="0" xfId="0" applyAlignment="1" applyBorder="1" applyFont="1">
      <alignment readingOrder="0" shrinkToFit="0" vertical="bottom" wrapText="0"/>
    </xf>
    <xf borderId="7" fillId="0" fontId="23" numFmtId="1" xfId="0" applyAlignment="1" applyBorder="1" applyFont="1" applyNumberFormat="1">
      <alignment horizontal="right" readingOrder="0" shrinkToFit="0" vertical="bottom" wrapText="0"/>
    </xf>
    <xf borderId="7" fillId="0" fontId="23" numFmtId="3" xfId="0" applyAlignment="1" applyBorder="1" applyFont="1" applyNumberFormat="1">
      <alignment horizontal="right" readingOrder="0" shrinkToFit="0" vertical="bottom" wrapText="0"/>
    </xf>
    <xf borderId="7" fillId="0" fontId="23" numFmtId="0" xfId="0" applyAlignment="1" applyBorder="1" applyFont="1">
      <alignment shrinkToFit="0" vertical="bottom" wrapText="0"/>
    </xf>
    <xf borderId="8" fillId="0" fontId="23" numFmtId="3" xfId="0" applyAlignment="1" applyBorder="1" applyFont="1" applyNumberFormat="1">
      <alignment horizontal="right"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5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7" fillId="0" fontId="23" numFmtId="0" xfId="0" applyAlignment="1" applyBorder="1" applyFont="1">
      <alignment horizontal="right" readingOrder="0" shrinkToFit="0" vertical="bottom" wrapText="0"/>
    </xf>
    <xf borderId="1" fillId="13" fontId="23" numFmtId="0" xfId="0" applyAlignment="1" applyBorder="1" applyFont="1">
      <alignment readingOrder="0" shrinkToFit="0" vertical="bottom" wrapText="0"/>
    </xf>
    <xf borderId="2" fillId="13" fontId="18" numFmtId="0" xfId="0" applyBorder="1" applyFont="1"/>
    <xf borderId="2" fillId="13" fontId="23" numFmtId="0" xfId="0" applyAlignment="1" applyBorder="1" applyFont="1">
      <alignment readingOrder="0" shrinkToFit="0" vertical="bottom" wrapText="0"/>
    </xf>
    <xf borderId="2" fillId="13" fontId="23" numFmtId="0" xfId="0" applyAlignment="1" applyBorder="1" applyFont="1">
      <alignment shrinkToFit="0" vertical="bottom" wrapText="0"/>
    </xf>
    <xf borderId="3" fillId="13" fontId="23" numFmtId="0" xfId="0" applyAlignment="1" applyBorder="1" applyFont="1">
      <alignment readingOrder="0" shrinkToFit="0" vertical="bottom" wrapText="0"/>
    </xf>
    <xf borderId="4" fillId="3" fontId="23" numFmtId="0" xfId="0" applyAlignment="1" applyBorder="1" applyFont="1">
      <alignment horizontal="right" readingOrder="0" shrinkToFit="0" vertical="bottom" wrapText="0"/>
    </xf>
    <xf borderId="0" fillId="3" fontId="23" numFmtId="0" xfId="0" applyAlignment="1" applyFont="1">
      <alignment horizontal="right" readingOrder="0" shrinkToFit="0" vertical="bottom" wrapText="0"/>
    </xf>
    <xf borderId="0" fillId="3" fontId="23" numFmtId="3" xfId="0" applyAlignment="1" applyFont="1" applyNumberFormat="1">
      <alignment horizontal="right" readingOrder="0" shrinkToFit="0" vertical="bottom" wrapText="0"/>
    </xf>
    <xf borderId="0" fillId="3" fontId="23" numFmtId="0" xfId="0" applyAlignment="1" applyFont="1">
      <alignment readingOrder="0" shrinkToFit="0" vertical="bottom" wrapText="0"/>
    </xf>
    <xf borderId="5" fillId="3" fontId="23" numFmtId="0" xfId="0" applyAlignment="1" applyBorder="1" applyFont="1">
      <alignment horizontal="right" readingOrder="0" shrinkToFit="0" vertical="bottom" wrapText="0"/>
    </xf>
    <xf borderId="4" fillId="14" fontId="23" numFmtId="0" xfId="0" applyAlignment="1" applyBorder="1" applyFont="1">
      <alignment horizontal="right" readingOrder="0" shrinkToFit="0" vertical="bottom" wrapText="0"/>
    </xf>
    <xf borderId="0" fillId="14" fontId="23" numFmtId="0" xfId="0" applyAlignment="1" applyFont="1">
      <alignment horizontal="right" readingOrder="0" shrinkToFit="0" vertical="bottom" wrapText="0"/>
    </xf>
    <xf borderId="0" fillId="14" fontId="23" numFmtId="3" xfId="0" applyAlignment="1" applyFont="1" applyNumberFormat="1">
      <alignment horizontal="right" readingOrder="0" shrinkToFit="0" vertical="bottom" wrapText="0"/>
    </xf>
    <xf borderId="0" fillId="14" fontId="23" numFmtId="0" xfId="0" applyAlignment="1" applyFont="1">
      <alignment readingOrder="0" shrinkToFit="0" vertical="bottom" wrapText="0"/>
    </xf>
    <xf borderId="5" fillId="14" fontId="23" numFmtId="0" xfId="0" applyAlignment="1" applyBorder="1" applyFont="1">
      <alignment horizontal="right" readingOrder="0" shrinkToFit="0" vertical="bottom" wrapText="0"/>
    </xf>
    <xf borderId="6" fillId="3" fontId="23" numFmtId="0" xfId="0" applyAlignment="1" applyBorder="1" applyFont="1">
      <alignment readingOrder="0" shrinkToFit="0" vertical="bottom" wrapText="0"/>
    </xf>
    <xf borderId="7" fillId="3" fontId="23" numFmtId="1" xfId="0" applyAlignment="1" applyBorder="1" applyFont="1" applyNumberFormat="1">
      <alignment horizontal="right" readingOrder="0" shrinkToFit="0" vertical="bottom" wrapText="0"/>
    </xf>
    <xf borderId="7" fillId="3" fontId="23" numFmtId="3" xfId="0" applyAlignment="1" applyBorder="1" applyFont="1" applyNumberFormat="1">
      <alignment horizontal="right" readingOrder="0" shrinkToFit="0" vertical="bottom" wrapText="0"/>
    </xf>
    <xf borderId="7" fillId="3" fontId="23" numFmtId="0" xfId="0" applyAlignment="1" applyBorder="1" applyFont="1">
      <alignment shrinkToFit="0" vertical="bottom" wrapText="0"/>
    </xf>
    <xf borderId="8" fillId="3" fontId="23" numFmtId="3" xfId="0" applyAlignment="1" applyBorder="1" applyFont="1" applyNumberFormat="1">
      <alignment horizontal="right" readingOrder="0" shrinkToFit="0" vertical="bottom" wrapText="0"/>
    </xf>
    <xf borderId="7" fillId="3" fontId="23" numFmtId="0" xfId="0" applyAlignment="1" applyBorder="1" applyFont="1">
      <alignment horizontal="right" readingOrder="0" shrinkToFit="0" vertical="bottom" wrapText="0"/>
    </xf>
    <xf borderId="1" fillId="0" fontId="11" numFmtId="0" xfId="0" applyBorder="1" applyFont="1"/>
    <xf borderId="6" fillId="0" fontId="11" numFmtId="0" xfId="0" applyBorder="1" applyFont="1"/>
    <xf borderId="6" fillId="0" fontId="23" numFmtId="0" xfId="0" applyAlignment="1" applyBorder="1" applyFont="1">
      <alignment horizontal="right" readingOrder="0" shrinkToFit="0" vertical="bottom" wrapText="0"/>
    </xf>
    <xf borderId="8" fillId="0" fontId="23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0" fillId="0" fontId="23" numFmtId="3" xfId="0" applyAlignment="1" applyFont="1" applyNumberFormat="1">
      <alignment horizontal="right" readingOrder="0" shrinkToFit="0" vertical="bottom" wrapText="0"/>
    </xf>
    <xf borderId="4" fillId="0" fontId="23" numFmtId="0" xfId="0" applyAlignment="1" applyBorder="1" applyFont="1">
      <alignment readingOrder="0" shrinkToFit="0" vertical="bottom" wrapText="0"/>
    </xf>
    <xf borderId="0" fillId="0" fontId="23" numFmtId="1" xfId="0" applyAlignment="1" applyFont="1" applyNumberFormat="1">
      <alignment horizontal="right" readingOrder="0" shrinkToFit="0" vertical="bottom" wrapText="0"/>
    </xf>
    <xf borderId="5" fillId="0" fontId="23" numFmtId="3" xfId="0" applyAlignment="1" applyBorder="1" applyFont="1" applyNumberFormat="1">
      <alignment shrinkToFit="0" vertical="bottom" wrapText="0"/>
    </xf>
    <xf borderId="0" fillId="0" fontId="23" numFmtId="164" xfId="0" applyAlignment="1" applyFont="1" applyNumberFormat="1">
      <alignment horizontal="right" readingOrder="0" shrinkToFit="0" vertical="bottom" wrapText="0"/>
    </xf>
    <xf borderId="7" fillId="0" fontId="23" numFmtId="164" xfId="0" applyAlignment="1" applyBorder="1" applyFont="1" applyNumberFormat="1">
      <alignment horizontal="right" readingOrder="0" shrinkToFit="0" vertical="bottom" wrapText="0"/>
    </xf>
    <xf borderId="8" fillId="0" fontId="23" numFmtId="3" xfId="0" applyAlignment="1" applyBorder="1" applyFont="1" applyNumberFormat="1">
      <alignment shrinkToFit="0" vertical="bottom" wrapText="0"/>
    </xf>
    <xf borderId="0" fillId="0" fontId="11" numFmtId="4" xfId="0" applyFont="1" applyNumberFormat="1"/>
    <xf borderId="3" fillId="0" fontId="23" numFmtId="0" xfId="0" applyAlignment="1" applyBorder="1" applyFont="1">
      <alignment shrinkToFit="0" vertical="bottom" wrapText="0"/>
    </xf>
    <xf borderId="1" fillId="19" fontId="23" numFmtId="0" xfId="0" applyAlignment="1" applyBorder="1" applyFont="1">
      <alignment readingOrder="0" shrinkToFit="0" vertical="bottom" wrapText="0"/>
    </xf>
    <xf borderId="2" fillId="19" fontId="18" numFmtId="0" xfId="0" applyBorder="1" applyFont="1"/>
    <xf borderId="2" fillId="19" fontId="23" numFmtId="0" xfId="0" applyAlignment="1" applyBorder="1" applyFont="1">
      <alignment readingOrder="0" shrinkToFit="0" vertical="bottom" wrapText="0"/>
    </xf>
    <xf borderId="2" fillId="19" fontId="23" numFmtId="0" xfId="0" applyAlignment="1" applyBorder="1" applyFont="1">
      <alignment shrinkToFit="0" vertical="bottom" wrapText="0"/>
    </xf>
    <xf borderId="3" fillId="19" fontId="23" numFmtId="0" xfId="0" applyAlignment="1" applyBorder="1" applyFont="1">
      <alignment readingOrder="0" shrinkToFit="0" vertical="bottom" wrapText="0"/>
    </xf>
    <xf borderId="3" fillId="19" fontId="23" numFmtId="0" xfId="0" applyAlignment="1" applyBorder="1" applyFont="1">
      <alignment shrinkToFit="0" vertical="bottom" wrapText="0"/>
    </xf>
    <xf borderId="4" fillId="20" fontId="23" numFmtId="0" xfId="0" applyAlignment="1" applyBorder="1" applyFont="1">
      <alignment horizontal="right" readingOrder="0" shrinkToFit="0" vertical="bottom" wrapText="0"/>
    </xf>
    <xf borderId="0" fillId="20" fontId="23" numFmtId="0" xfId="0" applyAlignment="1" applyFont="1">
      <alignment horizontal="right" readingOrder="0" shrinkToFit="0" vertical="bottom" wrapText="0"/>
    </xf>
    <xf borderId="0" fillId="20" fontId="23" numFmtId="3" xfId="0" applyAlignment="1" applyFont="1" applyNumberFormat="1">
      <alignment horizontal="right" readingOrder="0" shrinkToFit="0" vertical="bottom" wrapText="0"/>
    </xf>
    <xf borderId="0" fillId="20" fontId="23" numFmtId="0" xfId="0" applyAlignment="1" applyFont="1">
      <alignment readingOrder="0" shrinkToFit="0" vertical="bottom" wrapText="0"/>
    </xf>
    <xf borderId="5" fillId="20" fontId="23" numFmtId="0" xfId="0" applyAlignment="1" applyBorder="1" applyFont="1">
      <alignment horizontal="right" readingOrder="0" shrinkToFit="0" vertical="bottom" wrapText="0"/>
    </xf>
    <xf borderId="0" fillId="0" fontId="11" numFmtId="1" xfId="0" applyFont="1" applyNumberFormat="1"/>
    <xf borderId="0" fillId="0" fontId="11" numFmtId="1" xfId="0" applyAlignment="1" applyFont="1" applyNumberFormat="1">
      <alignment readingOrder="0"/>
    </xf>
    <xf borderId="5" fillId="0" fontId="11" numFmtId="1" xfId="0" applyBorder="1" applyFont="1" applyNumberFormat="1"/>
    <xf borderId="0" fillId="0" fontId="11" numFmtId="164" xfId="0" applyFont="1" applyNumberFormat="1"/>
    <xf borderId="5" fillId="0" fontId="11" numFmtId="164" xfId="0" applyBorder="1" applyFont="1" applyNumberFormat="1"/>
    <xf borderId="0" fillId="0" fontId="11" numFmtId="3" xfId="0" applyFont="1" applyNumberFormat="1"/>
    <xf borderId="5" fillId="0" fontId="11" numFmtId="3" xfId="0" applyBorder="1" applyFont="1" applyNumberFormat="1"/>
    <xf borderId="7" fillId="0" fontId="11" numFmtId="3" xfId="0" applyBorder="1" applyFont="1" applyNumberFormat="1"/>
    <xf borderId="8" fillId="0" fontId="11" numFmtId="3" xfId="0" applyBorder="1" applyFont="1" applyNumberFormat="1"/>
    <xf borderId="0" fillId="0" fontId="24" numFmtId="0" xfId="0" applyAlignment="1" applyFont="1">
      <alignment readingOrder="0"/>
    </xf>
    <xf borderId="4" fillId="6" fontId="25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5" fillId="6" fontId="16" numFmtId="0" xfId="0" applyAlignment="1" applyBorder="1" applyFont="1">
      <alignment readingOrder="0" vertical="bottom"/>
    </xf>
    <xf borderId="4" fillId="6" fontId="25" numFmtId="0" xfId="0" applyAlignment="1" applyBorder="1" applyFont="1">
      <alignment readingOrder="0" vertical="bottom"/>
    </xf>
    <xf borderId="0" fillId="0" fontId="16" numFmtId="0" xfId="0" applyAlignment="1" applyFont="1">
      <alignment readingOrder="0" vertical="bottom"/>
    </xf>
    <xf borderId="15" fillId="0" fontId="11" numFmtId="0" xfId="0" applyAlignment="1" applyBorder="1" applyFont="1">
      <alignment readingOrder="0"/>
    </xf>
    <xf borderId="14" fillId="0" fontId="11" numFmtId="0" xfId="0" applyAlignment="1" applyBorder="1" applyFont="1">
      <alignment readingOrder="0"/>
    </xf>
    <xf borderId="12" fillId="0" fontId="11" numFmtId="0" xfId="0" applyAlignment="1" applyBorder="1" applyFont="1">
      <alignment readingOrder="0"/>
    </xf>
    <xf borderId="7" fillId="0" fontId="24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4" fillId="0" fontId="24" numFmtId="0" xfId="0" applyAlignment="1" applyBorder="1" applyFont="1">
      <alignment readingOrder="0"/>
    </xf>
    <xf borderId="15" fillId="0" fontId="20" numFmtId="0" xfId="0" applyBorder="1" applyFont="1"/>
    <xf borderId="2" fillId="0" fontId="20" numFmtId="0" xfId="0" applyBorder="1" applyFont="1"/>
    <xf borderId="3" fillId="0" fontId="20" numFmtId="0" xfId="0" applyBorder="1" applyFont="1"/>
    <xf borderId="14" fillId="0" fontId="11" numFmtId="0" xfId="0" applyBorder="1" applyFont="1"/>
    <xf borderId="0" fillId="0" fontId="11" numFmtId="0" xfId="0" applyFont="1"/>
    <xf borderId="5" fillId="0" fontId="11" numFmtId="0" xfId="0" applyBorder="1" applyFont="1"/>
    <xf borderId="0" fillId="0" fontId="24" numFmtId="0" xfId="0" applyFont="1"/>
    <xf borderId="8" fillId="0" fontId="11" numFmtId="0" xfId="0" applyBorder="1" applyFont="1"/>
    <xf borderId="15" fillId="0" fontId="20" numFmtId="0" xfId="0" applyAlignment="1" applyBorder="1" applyFont="1">
      <alignment readingOrder="0"/>
    </xf>
    <xf borderId="3" fillId="0" fontId="20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4" fillId="3" fontId="16" numFmtId="0" xfId="0" applyAlignment="1" applyBorder="1" applyFont="1">
      <alignment horizontal="right" readingOrder="0" vertical="bottom"/>
    </xf>
    <xf borderId="4" fillId="3" fontId="16" numFmtId="0" xfId="0" applyAlignment="1" applyBorder="1" applyFont="1">
      <alignment readingOrder="0" vertical="bottom"/>
    </xf>
    <xf borderId="0" fillId="3" fontId="25" numFmtId="0" xfId="0" applyAlignment="1" applyFont="1">
      <alignment readingOrder="0" vertical="bottom"/>
    </xf>
    <xf borderId="5" fillId="3" fontId="16" numFmtId="0" xfId="0" applyAlignment="1" applyBorder="1" applyFont="1">
      <alignment readingOrder="0" vertical="bottom"/>
    </xf>
    <xf borderId="14" fillId="3" fontId="16" numFmtId="0" xfId="0" applyAlignment="1" applyBorder="1" applyFont="1">
      <alignment horizontal="right" readingOrder="0" vertical="bottom"/>
    </xf>
    <xf borderId="0" fillId="3" fontId="16" numFmtId="0" xfId="0" applyAlignment="1" applyFont="1">
      <alignment readingOrder="0" vertical="bottom"/>
    </xf>
    <xf borderId="5" fillId="3" fontId="16" numFmtId="0" xfId="0" applyAlignment="1" applyBorder="1" applyFont="1">
      <alignment vertical="bottom"/>
    </xf>
    <xf borderId="14" fillId="23" fontId="16" numFmtId="0" xfId="0" applyAlignment="1" applyBorder="1" applyFont="1">
      <alignment horizontal="right" readingOrder="0" vertical="bottom"/>
    </xf>
    <xf borderId="0" fillId="23" fontId="16" numFmtId="0" xfId="0" applyAlignment="1" applyFont="1">
      <alignment readingOrder="0" vertical="bottom"/>
    </xf>
    <xf borderId="0" fillId="23" fontId="25" numFmtId="0" xfId="0" applyAlignment="1" applyFont="1">
      <alignment readingOrder="0" vertical="bottom"/>
    </xf>
    <xf borderId="5" fillId="23" fontId="16" numFmtId="0" xfId="0" applyAlignment="1" applyBorder="1" applyFont="1">
      <alignment vertical="bottom"/>
    </xf>
    <xf borderId="4" fillId="0" fontId="10" numFmtId="0" xfId="0" applyAlignment="1" applyBorder="1" applyFont="1">
      <alignment readingOrder="0" shrinkToFit="0" vertical="bottom" wrapText="0"/>
    </xf>
    <xf borderId="10" fillId="32" fontId="5" numFmtId="0" xfId="0" applyAlignment="1" applyBorder="1" applyFill="1" applyFont="1">
      <alignment horizontal="center" readingOrder="0"/>
    </xf>
    <xf borderId="13" fillId="0" fontId="18" numFmtId="0" xfId="0" applyBorder="1" applyFont="1"/>
    <xf borderId="2" fillId="8" fontId="5" numFmtId="0" xfId="0" applyAlignment="1" applyBorder="1" applyFont="1">
      <alignment horizontal="center" readingOrder="0"/>
    </xf>
    <xf borderId="1" fillId="8" fontId="5" numFmtId="0" xfId="0" applyAlignment="1" applyBorder="1" applyFont="1">
      <alignment horizontal="center" readingOrder="0"/>
    </xf>
    <xf borderId="4" fillId="3" fontId="10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5" fillId="3" fontId="5" numFmtId="0" xfId="0" applyAlignment="1" applyBorder="1" applyFont="1">
      <alignment readingOrder="0"/>
    </xf>
    <xf borderId="4" fillId="3" fontId="3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5" fillId="3" fontId="5" numFmtId="0" xfId="0" applyAlignment="1" applyBorder="1" applyFont="1">
      <alignment vertical="bottom"/>
    </xf>
    <xf borderId="5" fillId="3" fontId="10" numFmtId="0" xfId="0" applyAlignment="1" applyBorder="1" applyFont="1">
      <alignment readingOrder="0"/>
    </xf>
    <xf borderId="4" fillId="6" fontId="10" numFmtId="0" xfId="0" applyAlignment="1" applyBorder="1" applyFont="1">
      <alignment readingOrder="0" shrinkToFit="0" vertical="bottom" wrapText="0"/>
    </xf>
    <xf borderId="0" fillId="6" fontId="3" numFmtId="0" xfId="0" applyAlignment="1" applyFont="1">
      <alignment readingOrder="0" shrinkToFit="0" vertical="bottom" wrapText="0"/>
    </xf>
    <xf borderId="5" fillId="6" fontId="5" numFmtId="0" xfId="0" applyAlignment="1" applyBorder="1" applyFont="1">
      <alignment readingOrder="0"/>
    </xf>
    <xf borderId="4" fillId="6" fontId="5" numFmtId="0" xfId="0" applyAlignment="1" applyBorder="1" applyFont="1">
      <alignment vertical="bottom"/>
    </xf>
    <xf borderId="0" fillId="6" fontId="5" numFmtId="0" xfId="0" applyAlignment="1" applyFont="1">
      <alignment vertical="bottom"/>
    </xf>
    <xf borderId="5" fillId="6" fontId="5" numFmtId="0" xfId="0" applyAlignment="1" applyBorder="1" applyFont="1">
      <alignment vertical="bottom"/>
    </xf>
    <xf borderId="5" fillId="6" fontId="10" numFmtId="0" xfId="0" applyAlignment="1" applyBorder="1" applyFont="1">
      <alignment readingOrder="0"/>
    </xf>
    <xf borderId="5" fillId="6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vertical="bottom"/>
    </xf>
    <xf borderId="7" fillId="3" fontId="5" numFmtId="0" xfId="0" applyAlignment="1" applyBorder="1" applyFont="1">
      <alignment vertical="bottom"/>
    </xf>
    <xf borderId="8" fillId="3" fontId="5" numFmtId="0" xfId="0" applyAlignment="1" applyBorder="1" applyFont="1">
      <alignment vertical="bottom"/>
    </xf>
    <xf borderId="0" fillId="6" fontId="5" numFmtId="0" xfId="0" applyAlignment="1" applyFont="1">
      <alignment readingOrder="0"/>
    </xf>
    <xf borderId="0" fillId="3" fontId="5" numFmtId="0" xfId="0" applyAlignment="1" applyFont="1">
      <alignment readingOrder="0"/>
    </xf>
    <xf borderId="6" fillId="6" fontId="3" numFmtId="0" xfId="0" applyAlignment="1" applyBorder="1" applyFont="1">
      <alignment readingOrder="0" shrinkToFit="0" vertical="bottom" wrapText="0"/>
    </xf>
    <xf borderId="7" fillId="6" fontId="3" numFmtId="0" xfId="0" applyAlignment="1" applyBorder="1" applyFont="1">
      <alignment readingOrder="0" shrinkToFit="0" vertical="bottom" wrapText="0"/>
    </xf>
    <xf borderId="8" fillId="6" fontId="5" numFmtId="0" xfId="0" applyAlignment="1" applyBorder="1" applyFont="1">
      <alignment readingOrder="0"/>
    </xf>
    <xf borderId="5" fillId="3" fontId="5" numFmtId="0" xfId="0" applyAlignment="1" applyBorder="1" applyFont="1">
      <alignment readingOrder="0"/>
    </xf>
    <xf borderId="5" fillId="6" fontId="5" numFmtId="0" xfId="0" applyAlignment="1" applyBorder="1" applyFont="1">
      <alignment readingOrder="0"/>
    </xf>
    <xf borderId="6" fillId="3" fontId="3" numFmtId="0" xfId="0" applyAlignment="1" applyBorder="1" applyFont="1">
      <alignment readingOrder="0" shrinkToFit="0" vertical="bottom" wrapText="0"/>
    </xf>
    <xf borderId="7" fillId="3" fontId="3" numFmtId="0" xfId="0" applyAlignment="1" applyBorder="1" applyFont="1">
      <alignment readingOrder="0" shrinkToFit="0" vertical="bottom" wrapText="0"/>
    </xf>
    <xf borderId="8" fillId="3" fontId="5" numFmtId="0" xfId="0" applyAlignment="1" applyBorder="1" applyFont="1">
      <alignment readingOrder="0"/>
    </xf>
    <xf borderId="7" fillId="3" fontId="5" numFmtId="0" xfId="0" applyAlignment="1" applyBorder="1" applyFont="1">
      <alignment readingOrder="0"/>
    </xf>
    <xf borderId="8" fillId="3" fontId="5" numFmtId="0" xfId="0" applyAlignment="1" applyBorder="1" applyFont="1">
      <alignment readingOrder="0"/>
    </xf>
    <xf borderId="10" fillId="25" fontId="1" numFmtId="0" xfId="0" applyAlignment="1" applyBorder="1" applyFont="1">
      <alignment readingOrder="0"/>
    </xf>
    <xf borderId="13" fillId="25" fontId="1" numFmtId="0" xfId="0" applyBorder="1" applyFont="1"/>
    <xf borderId="11" fillId="25" fontId="1" numFmtId="0" xfId="0" applyBorder="1" applyFont="1"/>
    <xf borderId="1" fillId="0" fontId="10" numFmtId="0" xfId="0" applyAlignment="1" applyBorder="1" applyFont="1">
      <alignment readingOrder="0" shrinkToFit="0" vertical="bottom" wrapText="0"/>
    </xf>
    <xf borderId="6" fillId="0" fontId="10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9" numFmtId="0" xfId="0" applyAlignment="1" applyFont="1">
      <alignment readingOrder="0"/>
    </xf>
    <xf borderId="13" fillId="0" fontId="11" numFmtId="0" xfId="0" applyBorder="1" applyFont="1"/>
    <xf borderId="11" fillId="32" fontId="1" numFmtId="0" xfId="0" applyBorder="1" applyFont="1"/>
    <xf borderId="9" fillId="14" fontId="1" numFmtId="0" xfId="0" applyAlignment="1" applyBorder="1" applyFont="1">
      <alignment horizontal="center" readingOrder="0"/>
    </xf>
    <xf borderId="9" fillId="14" fontId="6" numFmtId="0" xfId="0" applyAlignment="1" applyBorder="1" applyFont="1">
      <alignment horizontal="center" readingOrder="0"/>
    </xf>
    <xf borderId="9" fillId="12" fontId="1" numFmtId="0" xfId="0" applyAlignment="1" applyBorder="1" applyFont="1">
      <alignment horizontal="center" readingOrder="0"/>
    </xf>
    <xf borderId="9" fillId="12" fontId="6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26" numFmtId="0" xfId="0" applyAlignment="1" applyBorder="1" applyFont="1">
      <alignment readingOrder="0"/>
    </xf>
    <xf borderId="13" fillId="0" fontId="20" numFmtId="0" xfId="0" applyBorder="1" applyFont="1"/>
    <xf borderId="11" fillId="0" fontId="20" numFmtId="0" xfId="0" applyBorder="1" applyFont="1"/>
    <xf borderId="9" fillId="0" fontId="27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center"/>
    </xf>
    <xf borderId="11" fillId="0" fontId="8" numFmtId="0" xfId="0" applyBorder="1" applyFont="1"/>
    <xf borderId="9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center"/>
    </xf>
    <xf borderId="9" fillId="0" fontId="1" numFmtId="41" xfId="0" applyAlignment="1" applyBorder="1" applyFont="1" applyNumberFormat="1">
      <alignment horizontal="center" readingOrder="0"/>
    </xf>
    <xf borderId="9" fillId="0" fontId="5" numFmtId="41" xfId="0" applyAlignment="1" applyBorder="1" applyFont="1" applyNumberFormat="1">
      <alignment horizontal="center" readingOrder="0"/>
    </xf>
    <xf borderId="9" fillId="0" fontId="5" numFmtId="41" xfId="0" applyBorder="1" applyFont="1" applyNumberFormat="1"/>
    <xf borderId="11" fillId="0" fontId="11" numFmtId="0" xfId="0" applyBorder="1" applyFont="1"/>
    <xf borderId="9" fillId="0" fontId="6" numFmtId="0" xfId="0" applyAlignment="1" applyBorder="1" applyFont="1">
      <alignment horizontal="center" readingOrder="0"/>
    </xf>
    <xf borderId="13" fillId="0" fontId="1" numFmtId="0" xfId="0" applyBorder="1" applyFont="1"/>
    <xf borderId="9" fillId="0" fontId="21" numFmtId="0" xfId="0" applyAlignment="1" applyBorder="1" applyFont="1">
      <alignment vertical="bottom"/>
    </xf>
    <xf borderId="9" fillId="0" fontId="5" numFmtId="0" xfId="0" applyAlignment="1" applyBorder="1" applyFont="1">
      <alignment horizontal="center" readingOrder="0" vertical="bottom"/>
    </xf>
    <xf borderId="11" fillId="25" fontId="5" numFmtId="0" xfId="0" applyAlignment="1" applyBorder="1" applyFont="1">
      <alignment horizontal="center" vertical="bottom"/>
    </xf>
    <xf borderId="11" fillId="25" fontId="5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/>
    </xf>
    <xf borderId="9" fillId="26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8" fillId="26" fontId="22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vertical="bottom"/>
    </xf>
    <xf borderId="9" fillId="25" fontId="5" numFmtId="0" xfId="0" applyAlignment="1" applyBorder="1" applyFont="1">
      <alignment horizontal="center" readingOrder="0" vertical="bottom"/>
    </xf>
    <xf borderId="10" fillId="26" fontId="22" numFmtId="0" xfId="0" applyAlignment="1" applyBorder="1" applyFont="1">
      <alignment horizontal="center" readingOrder="0" vertical="bottom"/>
    </xf>
    <xf borderId="9" fillId="25" fontId="5" numFmtId="0" xfId="0" applyAlignment="1" applyBorder="1" applyFont="1">
      <alignment vertical="bottom"/>
    </xf>
    <xf borderId="10" fillId="29" fontId="28" numFmtId="0" xfId="0" applyAlignment="1" applyBorder="1" applyFont="1">
      <alignment vertical="bottom"/>
    </xf>
    <xf borderId="12" fillId="0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9" fillId="25" fontId="1" numFmtId="0" xfId="0" applyAlignment="1" applyBorder="1" applyFont="1">
      <alignment horizontal="center" vertical="bottom"/>
    </xf>
    <xf borderId="9" fillId="25" fontId="1" numFmtId="0" xfId="0" applyAlignment="1" applyBorder="1" applyFont="1">
      <alignment horizontal="center" readingOrder="0" vertical="bottom"/>
    </xf>
    <xf borderId="0" fillId="25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9" fillId="0" fontId="1" numFmtId="0" xfId="0" applyAlignment="1" applyBorder="1" applyFont="1">
      <alignment horizontal="center" vertical="bottom"/>
    </xf>
    <xf borderId="9" fillId="26" fontId="22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9" fillId="25" fontId="1" numFmtId="0" xfId="0" applyAlignment="1" applyBorder="1" applyFont="1">
      <alignment vertical="bottom"/>
    </xf>
    <xf borderId="9" fillId="26" fontId="29" numFmtId="0" xfId="0" applyAlignment="1" applyBorder="1" applyFont="1">
      <alignment horizontal="center" readingOrder="0" vertical="bottom"/>
    </xf>
    <xf borderId="9" fillId="26" fontId="29" numFmtId="0" xfId="0" applyAlignment="1" applyBorder="1" applyFont="1">
      <alignment horizontal="right" readingOrder="0" vertical="bottom"/>
    </xf>
    <xf borderId="9" fillId="0" fontId="1" numFmtId="1" xfId="0" applyAlignment="1" applyBorder="1" applyFont="1" applyNumberFormat="1">
      <alignment vertical="bottom"/>
    </xf>
    <xf borderId="9" fillId="0" fontId="30" numFmtId="0" xfId="0" applyAlignment="1" applyBorder="1" applyFont="1">
      <alignment horizontal="center" readingOrder="0" vertical="bottom"/>
    </xf>
    <xf borderId="9" fillId="0" fontId="1" numFmtId="1" xfId="0" applyBorder="1" applyFont="1" applyNumberFormat="1"/>
    <xf borderId="9" fillId="0" fontId="1" numFmtId="0" xfId="0" applyAlignment="1" applyBorder="1" applyFont="1">
      <alignment horizontal="right" readingOrder="0" vertical="bottom"/>
    </xf>
    <xf borderId="10" fillId="25" fontId="1" numFmtId="0" xfId="0" applyAlignment="1" applyBorder="1" applyFont="1">
      <alignment horizontal="center" readingOrder="0"/>
    </xf>
    <xf borderId="9" fillId="28" fontId="1" numFmtId="1" xfId="0" applyAlignment="1" applyBorder="1" applyFont="1" applyNumberFormat="1">
      <alignment horizontal="right" vertical="bottom"/>
    </xf>
    <xf borderId="9" fillId="29" fontId="28" numFmtId="0" xfId="0" applyAlignment="1" applyBorder="1" applyFont="1">
      <alignment horizontal="center" vertical="bottom"/>
    </xf>
    <xf borderId="9" fillId="0" fontId="1" numFmtId="1" xfId="0" applyAlignment="1" applyBorder="1" applyFont="1" applyNumberFormat="1">
      <alignment horizontal="right" vertical="bottom"/>
    </xf>
    <xf borderId="15" fillId="0" fontId="1" numFmtId="0" xfId="0" applyAlignment="1" applyBorder="1" applyFont="1">
      <alignment horizontal="center" vertical="bottom"/>
    </xf>
    <xf borderId="15" fillId="26" fontId="29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10" fillId="25" fontId="5" numFmtId="0" xfId="0" applyAlignment="1" applyBorder="1" applyFont="1">
      <alignment horizontal="center" vertical="bottom"/>
    </xf>
    <xf borderId="9" fillId="0" fontId="5" numFmtId="10" xfId="0" applyAlignment="1" applyBorder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0" fillId="0" fontId="5" numFmtId="10" xfId="0" applyAlignment="1" applyFont="1" applyNumberFormat="1">
      <alignment readingOrder="0" vertical="bottom"/>
    </xf>
    <xf borderId="9" fillId="26" fontId="22" numFmtId="0" xfId="0" applyAlignment="1" applyBorder="1" applyFont="1">
      <alignment horizontal="center" readingOrder="0" vertical="bottom"/>
    </xf>
    <xf borderId="6" fillId="25" fontId="5" numFmtId="0" xfId="0" applyAlignment="1" applyBorder="1" applyFont="1">
      <alignment horizontal="center" readingOrder="0" vertical="bottom"/>
    </xf>
    <xf borderId="9" fillId="0" fontId="5" numFmtId="10" xfId="0" applyAlignment="1" applyBorder="1" applyFont="1" applyNumberFormat="1">
      <alignment horizontal="right" readingOrder="0" vertical="bottom"/>
    </xf>
    <xf borderId="0" fillId="0" fontId="5" numFmtId="41" xfId="0" applyAlignment="1" applyFont="1" applyNumberFormat="1">
      <alignment vertical="bottom"/>
    </xf>
    <xf borderId="9" fillId="28" fontId="5" numFmtId="41" xfId="0" applyAlignment="1" applyBorder="1" applyFont="1" applyNumberFormat="1">
      <alignment horizontal="right" vertical="bottom"/>
    </xf>
    <xf borderId="9" fillId="26" fontId="22" numFmtId="41" xfId="0" applyAlignment="1" applyBorder="1" applyFont="1" applyNumberFormat="1">
      <alignment horizontal="right" vertical="bottom"/>
    </xf>
    <xf borderId="9" fillId="28" fontId="5" numFmtId="41" xfId="0" applyAlignment="1" applyBorder="1" applyFont="1" applyNumberFormat="1">
      <alignment horizontal="center" vertical="bottom"/>
    </xf>
    <xf borderId="15" fillId="0" fontId="5" numFmtId="10" xfId="0" applyAlignment="1" applyBorder="1" applyFont="1" applyNumberFormat="1">
      <alignment vertical="bottom"/>
    </xf>
    <xf borderId="9" fillId="28" fontId="5" numFmtId="10" xfId="0" applyAlignment="1" applyBorder="1" applyFont="1" applyNumberFormat="1">
      <alignment horizontal="center" vertical="bottom"/>
    </xf>
    <xf borderId="12" fillId="0" fontId="5" numFmtId="0" xfId="0" applyAlignment="1" applyBorder="1" applyFont="1">
      <alignment vertical="bottom"/>
    </xf>
    <xf borderId="10" fillId="25" fontId="5" numFmtId="0" xfId="0" applyAlignment="1" applyBorder="1" applyFont="1">
      <alignment vertical="bottom"/>
    </xf>
    <xf borderId="13" fillId="25" fontId="5" numFmtId="0" xfId="0" applyAlignment="1" applyBorder="1" applyFont="1">
      <alignment vertical="bottom"/>
    </xf>
    <xf borderId="11" fillId="25" fontId="5" numFmtId="0" xfId="0" applyAlignment="1" applyBorder="1" applyFont="1">
      <alignment vertical="bottom"/>
    </xf>
    <xf borderId="1" fillId="25" fontId="5" numFmtId="0" xfId="0" applyAlignment="1" applyBorder="1" applyFont="1">
      <alignment horizontal="center" vertical="bottom"/>
    </xf>
    <xf borderId="3" fillId="0" fontId="18" numFmtId="0" xfId="0" applyBorder="1" applyFont="1"/>
    <xf borderId="2" fillId="25" fontId="5" numFmtId="0" xfId="0" applyAlignment="1" applyBorder="1" applyFont="1">
      <alignment horizontal="center" vertical="bottom"/>
    </xf>
    <xf borderId="2" fillId="0" fontId="18" numFmtId="0" xfId="0" applyBorder="1" applyFont="1"/>
    <xf borderId="3" fillId="25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9" fillId="0" fontId="5" numFmtId="0" xfId="0" applyAlignment="1" applyBorder="1" applyFont="1">
      <alignment horizontal="center"/>
    </xf>
    <xf borderId="10" fillId="33" fontId="2" numFmtId="0" xfId="0" applyAlignment="1" applyBorder="1" applyFill="1" applyFont="1">
      <alignment horizontal="center" vertical="bottom"/>
    </xf>
    <xf borderId="11" fillId="33" fontId="5" numFmtId="0" xfId="0" applyAlignment="1" applyBorder="1" applyFont="1">
      <alignment horizontal="center" vertical="bottom"/>
    </xf>
    <xf borderId="2" fillId="33" fontId="5" numFmtId="0" xfId="0" applyAlignment="1" applyBorder="1" applyFont="1">
      <alignment horizontal="center" vertical="bottom"/>
    </xf>
    <xf borderId="2" fillId="33" fontId="5" numFmtId="0" xfId="0" applyAlignment="1" applyBorder="1" applyFont="1">
      <alignment vertical="bottom"/>
    </xf>
    <xf borderId="2" fillId="33" fontId="5" numFmtId="0" xfId="0" applyBorder="1" applyFont="1"/>
    <xf borderId="3" fillId="33" fontId="5" numFmtId="0" xfId="0" applyBorder="1" applyFont="1"/>
    <xf borderId="9" fillId="27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vertical="bottom"/>
    </xf>
    <xf borderId="2" fillId="27" fontId="5" numFmtId="0" xfId="0" applyAlignment="1" applyBorder="1" applyFont="1">
      <alignment horizontal="center" vertical="bottom"/>
    </xf>
    <xf borderId="2" fillId="27" fontId="5" numFmtId="0" xfId="0" applyBorder="1" applyFont="1"/>
    <xf borderId="3" fillId="27" fontId="5" numFmtId="0" xfId="0" applyBorder="1" applyFont="1"/>
    <xf borderId="7" fillId="0" fontId="5" numFmtId="0" xfId="0" applyAlignment="1" applyBorder="1" applyFont="1">
      <alignment readingOrder="0" vertical="bottom"/>
    </xf>
    <xf borderId="9" fillId="27" fontId="5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/>
    </xf>
    <xf borderId="1" fillId="27" fontId="19" numFmtId="0" xfId="0" applyAlignment="1" applyBorder="1" applyFont="1">
      <alignment readingOrder="0"/>
    </xf>
    <xf borderId="2" fillId="27" fontId="11" numFmtId="0" xfId="0" applyAlignment="1" applyBorder="1" applyFont="1">
      <alignment readingOrder="0"/>
    </xf>
    <xf borderId="9" fillId="25" fontId="2" numFmtId="0" xfId="0" applyAlignment="1" applyBorder="1" applyFont="1">
      <alignment horizontal="center" readingOrder="0"/>
    </xf>
    <xf borderId="4" fillId="27" fontId="11" numFmtId="0" xfId="0" applyBorder="1" applyFont="1"/>
    <xf borderId="0" fillId="27" fontId="5" numFmtId="0" xfId="0" applyFont="1"/>
    <xf borderId="5" fillId="27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Alignment="1" applyBorder="1" applyFont="1">
      <alignment readingOrder="0"/>
    </xf>
    <xf borderId="6" fillId="0" fontId="11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9" fillId="32" fontId="2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  <xf borderId="9" fillId="34" fontId="2" numFmtId="0" xfId="0" applyBorder="1" applyFill="1" applyFont="1"/>
    <xf borderId="9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center" readingOrder="0"/>
    </xf>
    <xf borderId="10" fillId="8" fontId="5" numFmtId="0" xfId="0" applyAlignment="1" applyBorder="1" applyFont="1">
      <alignment vertical="bottom"/>
    </xf>
    <xf borderId="13" fillId="8" fontId="5" numFmtId="0" xfId="0" applyBorder="1" applyFont="1"/>
    <xf borderId="11" fillId="8" fontId="5" numFmtId="0" xfId="0" applyBorder="1" applyFont="1"/>
    <xf borderId="9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3" fillId="8" fontId="5" numFmtId="0" xfId="0" applyAlignment="1" applyBorder="1" applyFont="1">
      <alignment vertical="bottom"/>
    </xf>
    <xf borderId="11" fillId="8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readingOrder="0"/>
    </xf>
    <xf borderId="9" fillId="0" fontId="11" numFmtId="3" xfId="0" applyAlignment="1" applyBorder="1" applyFont="1" applyNumberFormat="1">
      <alignment readingOrder="0"/>
    </xf>
    <xf borderId="9" fillId="0" fontId="5" numFmtId="3" xfId="0" applyAlignment="1" applyBorder="1" applyFont="1" applyNumberFormat="1">
      <alignment readingOrder="0"/>
    </xf>
    <xf borderId="9" fillId="0" fontId="5" numFmtId="3" xfId="0" applyBorder="1" applyFont="1" applyNumberFormat="1"/>
    <xf borderId="15" fillId="8" fontId="1" numFmtId="0" xfId="0" applyAlignment="1" applyBorder="1" applyFont="1">
      <alignment readingOrder="0"/>
    </xf>
    <xf borderId="1" fillId="8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4" fillId="0" fontId="5" numFmtId="41" xfId="0" applyBorder="1" applyFont="1" applyNumberFormat="1"/>
    <xf borderId="0" fillId="0" fontId="5" numFmtId="41" xfId="0" applyFont="1" applyNumberFormat="1"/>
    <xf borderId="5" fillId="0" fontId="5" numFmtId="41" xfId="0" applyBorder="1" applyFont="1" applyNumberFormat="1"/>
    <xf borderId="0" fillId="0" fontId="5" numFmtId="41" xfId="0" applyAlignment="1" applyFont="1" applyNumberFormat="1">
      <alignment readingOrder="0"/>
    </xf>
    <xf borderId="9" fillId="27" fontId="1" numFmtId="41" xfId="0" applyAlignment="1" applyBorder="1" applyFont="1" applyNumberFormat="1">
      <alignment readingOrder="0"/>
    </xf>
    <xf borderId="4" fillId="0" fontId="5" numFmtId="41" xfId="0" applyAlignment="1" applyBorder="1" applyFont="1" applyNumberFormat="1">
      <alignment readingOrder="0"/>
    </xf>
    <xf borderId="0" fillId="0" fontId="5" numFmtId="41" xfId="0" applyAlignment="1" applyFont="1" applyNumberFormat="1">
      <alignment horizontal="right" vertical="bottom"/>
    </xf>
    <xf borderId="0" fillId="0" fontId="1" numFmtId="41" xfId="0" applyFont="1" applyNumberFormat="1"/>
    <xf borderId="5" fillId="0" fontId="5" numFmtId="41" xfId="0" applyAlignment="1" applyBorder="1" applyFont="1" applyNumberFormat="1">
      <alignment readingOrder="0"/>
    </xf>
    <xf borderId="0" fillId="0" fontId="5" numFmtId="41" xfId="0" applyAlignment="1" applyFont="1" applyNumberFormat="1">
      <alignment readingOrder="0"/>
    </xf>
    <xf borderId="14" fillId="0" fontId="5" numFmtId="0" xfId="0" applyAlignment="1" applyBorder="1" applyFont="1">
      <alignment horizontal="right" readingOrder="0"/>
    </xf>
  </cellXfs>
  <cellStyles count="1">
    <cellStyle xfId="0" name="Normal" builtinId="0"/>
  </cellStyles>
  <dxfs count="3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980000"/>
      </font>
      <fill>
        <patternFill patternType="solid">
          <fgColor rgb="FFF4CCCC"/>
          <bgColor rgb="FFF4CCCC"/>
        </patternFill>
      </fill>
      <border/>
    </dxf>
  </dxfs>
  <tableStyles count="369">
    <tableStyle count="3" pivot="0" name="Offering Speed-style">
      <tableStyleElement dxfId="1" type="headerRow"/>
      <tableStyleElement dxfId="2" type="firstRowStripe"/>
      <tableStyleElement dxfId="3" type="secondRowStripe"/>
    </tableStyle>
    <tableStyle count="3" pivot="0" name="Offering Speed-style 2">
      <tableStyleElement dxfId="1" type="headerRow"/>
      <tableStyleElement dxfId="2" type="firstRowStripe"/>
      <tableStyleElement dxfId="3" type="secondRowStripe"/>
    </tableStyle>
    <tableStyle count="3" pivot="0" name="Offering Speed-style 3">
      <tableStyleElement dxfId="1" type="headerRow"/>
      <tableStyleElement dxfId="2" type="firstRowStripe"/>
      <tableStyleElement dxfId="3" type="secondRowStripe"/>
    </tableStyle>
    <tableStyle count="3" pivot="0" name="Offering Speed-style 4">
      <tableStyleElement dxfId="1" type="headerRow"/>
      <tableStyleElement dxfId="2" type="firstRowStripe"/>
      <tableStyleElement dxfId="3" type="secondRowStripe"/>
    </tableStyle>
    <tableStyle count="3" pivot="0" name="Offering Speed-style 5">
      <tableStyleElement dxfId="1" type="headerRow"/>
      <tableStyleElement dxfId="2" type="firstRowStripe"/>
      <tableStyleElement dxfId="3" type="secondRowStripe"/>
    </tableStyle>
    <tableStyle count="3" pivot="0" name="Offering Speed-style 6">
      <tableStyleElement dxfId="1" type="headerRow"/>
      <tableStyleElement dxfId="2" type="firstRowStripe"/>
      <tableStyleElement dxfId="3" type="secondRowStripe"/>
    </tableStyle>
    <tableStyle count="3" pivot="0" name="Offering Speed-style 7">
      <tableStyleElement dxfId="4" type="headerRow"/>
      <tableStyleElement dxfId="2" type="firstRowStripe"/>
      <tableStyleElement dxfId="5" type="secondRowStripe"/>
    </tableStyle>
    <tableStyle count="3" pivot="0" name="Offering Speed-style 8">
      <tableStyleElement dxfId="4" type="headerRow"/>
      <tableStyleElement dxfId="2" type="firstRowStripe"/>
      <tableStyleElement dxfId="5" type="secondRowStripe"/>
    </tableStyle>
    <tableStyle count="3" pivot="0" name="Travel Speed-style">
      <tableStyleElement dxfId="4" type="headerRow"/>
      <tableStyleElement dxfId="2" type="firstRowStripe"/>
      <tableStyleElement dxfId="5" type="secondRowStripe"/>
    </tableStyle>
    <tableStyle count="3" pivot="0" name="Travel Speed-style 2">
      <tableStyleElement dxfId="4" type="headerRow"/>
      <tableStyleElement dxfId="2" type="firstRowStripe"/>
      <tableStyleElement dxfId="5" type="secondRowStripe"/>
    </tableStyle>
    <tableStyle count="3" pivot="0" name="Travel Speed-style 3">
      <tableStyleElement dxfId="4" type="headerRow"/>
      <tableStyleElement dxfId="2" type="firstRowStripe"/>
      <tableStyleElement dxfId="5" type="secondRowStripe"/>
    </tableStyle>
    <tableStyle count="3" pivot="0" name="Travel Speed-style 4">
      <tableStyleElement dxfId="6" type="headerRow"/>
      <tableStyleElement dxfId="2" type="firstRowStripe"/>
      <tableStyleElement dxfId="7" type="secondRowStripe"/>
    </tableStyle>
    <tableStyle count="3" pivot="0" name="Travel Speed-style 5">
      <tableStyleElement dxfId="8" type="headerRow"/>
      <tableStyleElement dxfId="2" type="firstRowStripe"/>
      <tableStyleElement dxfId="9" type="secondRowStripe"/>
    </tableStyle>
    <tableStyle count="3" pivot="0" name="Travel Speed-style 6">
      <tableStyleElement dxfId="10" type="headerRow"/>
      <tableStyleElement dxfId="2" type="firstRowStripe"/>
      <tableStyleElement dxfId="11" type="secondRowStripe"/>
    </tableStyle>
    <tableStyle count="3" pivot="0" name="Travel Speed-style 7">
      <tableStyleElement dxfId="12" type="headerRow"/>
      <tableStyleElement dxfId="2" type="firstRowStripe"/>
      <tableStyleElement dxfId="13" type="secondRowStripe"/>
    </tableStyle>
    <tableStyle count="3" pivot="0" name="Travel Speed-style 8">
      <tableStyleElement dxfId="14" type="headerRow"/>
      <tableStyleElement dxfId="2" type="firstRowStripe"/>
      <tableStyleElement dxfId="15" type="secondRowStripe"/>
    </tableStyle>
    <tableStyle count="3" pivot="0" name="Travel Speed-style 9">
      <tableStyleElement dxfId="16" type="headerRow"/>
      <tableStyleElement dxfId="2" type="firstRowStripe"/>
      <tableStyleElement dxfId="17" type="secondRowStripe"/>
    </tableStyle>
    <tableStyle count="3" pivot="0" name="Travel Speed-style 10">
      <tableStyleElement dxfId="4" type="headerRow"/>
      <tableStyleElement dxfId="2" type="firstRowStripe"/>
      <tableStyleElement dxfId="5" type="secondRowStripe"/>
    </tableStyle>
    <tableStyle count="3" pivot="0" name="Travel Speed-style 11">
      <tableStyleElement dxfId="4" type="headerRow"/>
      <tableStyleElement dxfId="2" type="firstRowStripe"/>
      <tableStyleElement dxfId="5" type="secondRowStripe"/>
    </tableStyle>
    <tableStyle count="3" pivot="0" name="Travel Speed-style 12">
      <tableStyleElement dxfId="4" type="headerRow"/>
      <tableStyleElement dxfId="2" type="firstRowStripe"/>
      <tableStyleElement dxfId="5" type="secondRowStripe"/>
    </tableStyle>
    <tableStyle count="3" pivot="0" name="Travel Speed-style 13">
      <tableStyleElement dxfId="4" type="headerRow"/>
      <tableStyleElement dxfId="2" type="firstRowStripe"/>
      <tableStyleElement dxfId="5" type="secondRowStripe"/>
    </tableStyle>
    <tableStyle count="3" pivot="0" name="Travel Speed-style 14">
      <tableStyleElement dxfId="4" type="headerRow"/>
      <tableStyleElement dxfId="2" type="firstRowStripe"/>
      <tableStyleElement dxfId="5" type="secondRowStripe"/>
    </tableStyle>
    <tableStyle count="3" pivot="0" name="Travel Speed-style 15">
      <tableStyleElement dxfId="4" type="headerRow"/>
      <tableStyleElement dxfId="2" type="firstRowStripe"/>
      <tableStyleElement dxfId="5" type="secondRowStripe"/>
    </tableStyle>
    <tableStyle count="3" pivot="0" name="Travel Speed-style 16">
      <tableStyleElement dxfId="4" type="headerRow"/>
      <tableStyleElement dxfId="2" type="firstRowStripe"/>
      <tableStyleElement dxfId="5" type="secondRowStripe"/>
    </tableStyle>
    <tableStyle count="3" pivot="0" name="Travel Speed-style 17">
      <tableStyleElement dxfId="4" type="headerRow"/>
      <tableStyleElement dxfId="2" type="firstRowStripe"/>
      <tableStyleElement dxfId="5" type="secondRowStripe"/>
    </tableStyle>
    <tableStyle count="3" pivot="0" name="Gene Research-style">
      <tableStyleElement dxfId="4" type="headerRow"/>
      <tableStyleElement dxfId="2" type="firstRowStripe"/>
      <tableStyleElement dxfId="5" type="secondRowStripe"/>
    </tableStyle>
    <tableStyle count="3" pivot="0" name="Gene Research-style 2">
      <tableStyleElement dxfId="4" type="headerRow"/>
      <tableStyleElement dxfId="2" type="firstRowStripe"/>
      <tableStyleElement dxfId="5" type="secondRowStripe"/>
    </tableStyle>
    <tableStyle count="3" pivot="0" name="Gene Research-style 3">
      <tableStyleElement dxfId="4" type="headerRow"/>
      <tableStyleElement dxfId="2" type="firstRowStripe"/>
      <tableStyleElement dxfId="5" type="secondRowStripe"/>
    </tableStyle>
    <tableStyle count="3" pivot="0" name="Gene Research-style 4">
      <tableStyleElement dxfId="4" type="headerRow"/>
      <tableStyleElement dxfId="2" type="firstRowStripe"/>
      <tableStyleElement dxfId="5" type="secondRowStripe"/>
    </tableStyle>
    <tableStyle count="3" pivot="0" name="Gene Research-style 5">
      <tableStyleElement dxfId="4" type="headerRow"/>
      <tableStyleElement dxfId="2" type="firstRowStripe"/>
      <tableStyleElement dxfId="5" type="secondRowStripe"/>
    </tableStyle>
    <tableStyle count="3" pivot="0" name="Gene Research-style 6">
      <tableStyleElement dxfId="4" type="headerRow"/>
      <tableStyleElement dxfId="2" type="firstRowStripe"/>
      <tableStyleElement dxfId="5" type="secondRowStripe"/>
    </tableStyle>
    <tableStyle count="3" pivot="0" name="Gene Research-style 7">
      <tableStyleElement dxfId="4" type="headerRow"/>
      <tableStyleElement dxfId="2" type="firstRowStripe"/>
      <tableStyleElement dxfId="5" type="secondRowStripe"/>
    </tableStyle>
    <tableStyle count="3" pivot="0" name="Gene Research-style 8">
      <tableStyleElement dxfId="4" type="headerRow"/>
      <tableStyleElement dxfId="2" type="firstRowStripe"/>
      <tableStyleElement dxfId="5" type="secondRowStripe"/>
    </tableStyle>
    <tableStyle count="3" pivot="0" name="Gene Research-style 9">
      <tableStyleElement dxfId="4" type="headerRow"/>
      <tableStyleElement dxfId="2" type="firstRowStripe"/>
      <tableStyleElement dxfId="5" type="secondRowStripe"/>
    </tableStyle>
    <tableStyle count="3" pivot="0" name="Gene Research-style 10">
      <tableStyleElement dxfId="4" type="headerRow"/>
      <tableStyleElement dxfId="2" type="firstRowStripe"/>
      <tableStyleElement dxfId="5" type="secondRowStripe"/>
    </tableStyle>
    <tableStyle count="3" pivot="0" name="Gene Research-style 11">
      <tableStyleElement dxfId="6" type="headerRow"/>
      <tableStyleElement dxfId="2" type="firstRowStripe"/>
      <tableStyleElement dxfId="7" type="secondRowStripe"/>
    </tableStyle>
    <tableStyle count="3" pivot="0" name="Gene Research-style 12">
      <tableStyleElement dxfId="6" type="headerRow"/>
      <tableStyleElement dxfId="2" type="firstRowStripe"/>
      <tableStyleElement dxfId="7" type="secondRowStripe"/>
    </tableStyle>
    <tableStyle count="3" pivot="0" name="Gene Research-style 13">
      <tableStyleElement dxfId="6" type="headerRow"/>
      <tableStyleElement dxfId="2" type="firstRowStripe"/>
      <tableStyleElement dxfId="7" type="secondRowStripe"/>
    </tableStyle>
    <tableStyle count="3" pivot="0" name="Gene Research-style 14">
      <tableStyleElement dxfId="8" type="headerRow"/>
      <tableStyleElement dxfId="2" type="firstRowStripe"/>
      <tableStyleElement dxfId="9" type="secondRowStripe"/>
    </tableStyle>
    <tableStyle count="3" pivot="0" name="Gene Research-style 15">
      <tableStyleElement dxfId="8" type="headerRow"/>
      <tableStyleElement dxfId="2" type="firstRowStripe"/>
      <tableStyleElement dxfId="9" type="secondRowStripe"/>
    </tableStyle>
    <tableStyle count="3" pivot="0" name="Gene Research-style 16">
      <tableStyleElement dxfId="10" type="headerRow"/>
      <tableStyleElement dxfId="2" type="firstRowStripe"/>
      <tableStyleElement dxfId="11" type="secondRowStripe"/>
    </tableStyle>
    <tableStyle count="3" pivot="0" name="Gene Research-style 17">
      <tableStyleElement dxfId="10" type="headerRow"/>
      <tableStyleElement dxfId="2" type="firstRowStripe"/>
      <tableStyleElement dxfId="11" type="secondRowStripe"/>
    </tableStyle>
    <tableStyle count="3" pivot="0" name="Gene Research-style 18">
      <tableStyleElement dxfId="10" type="headerRow"/>
      <tableStyleElement dxfId="2" type="firstRowStripe"/>
      <tableStyleElement dxfId="11" type="secondRowStripe"/>
    </tableStyle>
    <tableStyle count="3" pivot="0" name="Gene Research-style 19">
      <tableStyleElement dxfId="12" type="headerRow"/>
      <tableStyleElement dxfId="2" type="firstRowStripe"/>
      <tableStyleElement dxfId="13" type="secondRowStripe"/>
    </tableStyle>
    <tableStyle count="3" pivot="0" name="Gene Research-style 20">
      <tableStyleElement dxfId="12" type="headerRow"/>
      <tableStyleElement dxfId="2" type="firstRowStripe"/>
      <tableStyleElement dxfId="13" type="secondRowStripe"/>
    </tableStyle>
    <tableStyle count="3" pivot="0" name="Gene Research-style 21">
      <tableStyleElement dxfId="12" type="headerRow"/>
      <tableStyleElement dxfId="2" type="firstRowStripe"/>
      <tableStyleElement dxfId="13" type="secondRowStripe"/>
    </tableStyle>
    <tableStyle count="3" pivot="0" name="Gene Research-style 22">
      <tableStyleElement dxfId="14" type="headerRow"/>
      <tableStyleElement dxfId="2" type="firstRowStripe"/>
      <tableStyleElement dxfId="15" type="secondRowStripe"/>
    </tableStyle>
    <tableStyle count="3" pivot="0" name="Gene Research-style 23">
      <tableStyleElement dxfId="14" type="headerRow"/>
      <tableStyleElement dxfId="2" type="firstRowStripe"/>
      <tableStyleElement dxfId="15" type="secondRowStripe"/>
    </tableStyle>
    <tableStyle count="3" pivot="0" name="Gene Research-style 24">
      <tableStyleElement dxfId="14" type="headerRow"/>
      <tableStyleElement dxfId="2" type="firstRowStripe"/>
      <tableStyleElement dxfId="15" type="secondRowStripe"/>
    </tableStyle>
    <tableStyle count="3" pivot="0" name="Gene Research-style 25">
      <tableStyleElement dxfId="16" type="headerRow"/>
      <tableStyleElement dxfId="2" type="firstRowStripe"/>
      <tableStyleElement dxfId="17" type="secondRowStripe"/>
    </tableStyle>
    <tableStyle count="3" pivot="0" name="Gene Research-style 26">
      <tableStyleElement dxfId="16" type="headerRow"/>
      <tableStyleElement dxfId="2" type="firstRowStripe"/>
      <tableStyleElement dxfId="17" type="secondRowStripe"/>
    </tableStyle>
    <tableStyle count="3" pivot="0" name="Gene Research-style 27">
      <tableStyleElement dxfId="4" type="headerRow"/>
      <tableStyleElement dxfId="2" type="firstRowStripe"/>
      <tableStyleElement dxfId="5" type="secondRowStripe"/>
    </tableStyle>
    <tableStyle count="3" pivot="0" name="Cells Gained-style">
      <tableStyleElement dxfId="4" type="headerRow"/>
      <tableStyleElement dxfId="2" type="firstRowStripe"/>
      <tableStyleElement dxfId="5" type="secondRowStripe"/>
    </tableStyle>
    <tableStyle count="3" pivot="0" name="Cells Gained-style 2">
      <tableStyleElement dxfId="4" type="headerRow"/>
      <tableStyleElement dxfId="2" type="firstRowStripe"/>
      <tableStyleElement dxfId="5" type="secondRowStripe"/>
    </tableStyle>
    <tableStyle count="3" pivot="0" name="Cells Gained-style 3">
      <tableStyleElement dxfId="4" type="headerRow"/>
      <tableStyleElement dxfId="2" type="firstRowStripe"/>
      <tableStyleElement dxfId="5" type="secondRowStripe"/>
    </tableStyle>
    <tableStyle count="3" pivot="0" name="Cells Gained-style 4">
      <tableStyleElement dxfId="4" type="headerRow"/>
      <tableStyleElement dxfId="2" type="firstRowStripe"/>
      <tableStyleElement dxfId="5" type="secondRowStripe"/>
    </tableStyle>
    <tableStyle count="3" pivot="0" name="Cells Gained-style 5">
      <tableStyleElement dxfId="4" type="headerRow"/>
      <tableStyleElement dxfId="2" type="firstRowStripe"/>
      <tableStyleElement dxfId="5" type="secondRowStripe"/>
    </tableStyle>
    <tableStyle count="3" pivot="0" name="Cells Gained-style 6">
      <tableStyleElement dxfId="6" type="headerRow"/>
      <tableStyleElement dxfId="2" type="firstRowStripe"/>
      <tableStyleElement dxfId="7" type="secondRowStripe"/>
    </tableStyle>
    <tableStyle count="3" pivot="0" name="Cells Gained-style 7">
      <tableStyleElement dxfId="6" type="headerRow"/>
      <tableStyleElement dxfId="2" type="firstRowStripe"/>
      <tableStyleElement dxfId="7" type="secondRowStripe"/>
    </tableStyle>
    <tableStyle count="3" pivot="0" name="Cells Gained-style 8">
      <tableStyleElement dxfId="8" type="headerRow"/>
      <tableStyleElement dxfId="2" type="firstRowStripe"/>
      <tableStyleElement dxfId="9" type="secondRowStripe"/>
    </tableStyle>
    <tableStyle count="3" pivot="0" name="Cells Gained-style 9">
      <tableStyleElement dxfId="8" type="headerRow"/>
      <tableStyleElement dxfId="2" type="firstRowStripe"/>
      <tableStyleElement dxfId="9" type="secondRowStripe"/>
    </tableStyle>
    <tableStyle count="3" pivot="0" name="Cells Gained-style 10">
      <tableStyleElement dxfId="10" type="headerRow"/>
      <tableStyleElement dxfId="2" type="firstRowStripe"/>
      <tableStyleElement dxfId="11" type="secondRowStripe"/>
    </tableStyle>
    <tableStyle count="3" pivot="0" name="Cells Gained-style 11">
      <tableStyleElement dxfId="10" type="headerRow"/>
      <tableStyleElement dxfId="2" type="firstRowStripe"/>
      <tableStyleElement dxfId="11" type="secondRowStripe"/>
    </tableStyle>
    <tableStyle count="3" pivot="0" name="Cells Gained-style 12">
      <tableStyleElement dxfId="12" type="headerRow"/>
      <tableStyleElement dxfId="2" type="firstRowStripe"/>
      <tableStyleElement dxfId="13" type="secondRowStripe"/>
    </tableStyle>
    <tableStyle count="3" pivot="0" name="Cells Gained-style 13">
      <tableStyleElement dxfId="12" type="headerRow"/>
      <tableStyleElement dxfId="2" type="firstRowStripe"/>
      <tableStyleElement dxfId="13" type="secondRowStripe"/>
    </tableStyle>
    <tableStyle count="3" pivot="0" name="Cells Gained-style 14">
      <tableStyleElement dxfId="14" type="headerRow"/>
      <tableStyleElement dxfId="2" type="firstRowStripe"/>
      <tableStyleElement dxfId="15" type="secondRowStripe"/>
    </tableStyle>
    <tableStyle count="3" pivot="0" name="Cells Gained-style 15">
      <tableStyleElement dxfId="14" type="headerRow"/>
      <tableStyleElement dxfId="2" type="firstRowStripe"/>
      <tableStyleElement dxfId="15" type="secondRowStripe"/>
    </tableStyle>
    <tableStyle count="3" pivot="0" name="Cells Gained-style 16">
      <tableStyleElement dxfId="16" type="headerRow"/>
      <tableStyleElement dxfId="2" type="firstRowStripe"/>
      <tableStyleElement dxfId="17" type="secondRowStripe"/>
    </tableStyle>
    <tableStyle count="3" pivot="0" name="Cells Gained-style 17">
      <tableStyleElement dxfId="4" type="headerRow"/>
      <tableStyleElement dxfId="2" type="firstRowStripe"/>
      <tableStyleElement dxfId="5" type="secondRowStripe"/>
    </tableStyle>
    <tableStyle count="3" pivot="0" name="Museum-style">
      <tableStyleElement dxfId="12" type="headerRow"/>
      <tableStyleElement dxfId="2" type="firstRowStripe"/>
      <tableStyleElement dxfId="13" type="secondRowStripe"/>
    </tableStyle>
    <tableStyle count="3" pivot="0" name="Museum-style 2">
      <tableStyleElement dxfId="12" type="headerRow"/>
      <tableStyleElement dxfId="2" type="firstRowStripe"/>
      <tableStyleElement dxfId="13" type="secondRowStripe"/>
    </tableStyle>
    <tableStyle count="3" pivot="0" name="Museum-style 3">
      <tableStyleElement dxfId="8" type="headerRow"/>
      <tableStyleElement dxfId="2" type="firstRowStripe"/>
      <tableStyleElement dxfId="9" type="secondRowStripe"/>
    </tableStyle>
    <tableStyle count="3" pivot="0" name="Museum-style 4">
      <tableStyleElement dxfId="8" type="headerRow"/>
      <tableStyleElement dxfId="2" type="firstRowStripe"/>
      <tableStyleElement dxfId="9" type="secondRowStripe"/>
    </tableStyle>
    <tableStyle count="3" pivot="0" name="Museum-style 5">
      <tableStyleElement dxfId="6" type="headerRow"/>
      <tableStyleElement dxfId="2" type="firstRowStripe"/>
      <tableStyleElement dxfId="7" type="secondRowStripe"/>
    </tableStyle>
    <tableStyle count="3" pivot="0" name="Museum-style 6">
      <tableStyleElement dxfId="6" type="headerRow"/>
      <tableStyleElement dxfId="2" type="firstRowStripe"/>
      <tableStyleElement dxfId="7" type="secondRowStripe"/>
    </tableStyle>
    <tableStyle count="3" pivot="0" name="Museum-style 7">
      <tableStyleElement dxfId="18" type="headerRow"/>
      <tableStyleElement dxfId="2" type="firstRowStripe"/>
      <tableStyleElement dxfId="19" type="secondRowStripe"/>
    </tableStyle>
    <tableStyle count="3" pivot="0" name="Museum-style 8">
      <tableStyleElement dxfId="18" type="headerRow"/>
      <tableStyleElement dxfId="2" type="firstRowStripe"/>
      <tableStyleElement dxfId="19" type="secondRowStripe"/>
    </tableStyle>
    <tableStyle count="3" pivot="0" name="Museum-style 9">
      <tableStyleElement dxfId="20" type="headerRow"/>
      <tableStyleElement dxfId="2" type="firstRowStripe"/>
      <tableStyleElement dxfId="21" type="secondRowStripe"/>
    </tableStyle>
    <tableStyle count="3" pivot="0" name="Museum-style 10">
      <tableStyleElement dxfId="20" type="headerRow"/>
      <tableStyleElement dxfId="2" type="firstRowStripe"/>
      <tableStyleElement dxfId="21" type="secondRowStripe"/>
    </tableStyle>
    <tableStyle count="3" pivot="0" name="Museum-style 11">
      <tableStyleElement dxfId="22" type="headerRow"/>
      <tableStyleElement dxfId="2" type="firstRowStripe"/>
      <tableStyleElement dxfId="23" type="secondRowStripe"/>
    </tableStyle>
    <tableStyle count="3" pivot="0" name="Museum-style 12">
      <tableStyleElement dxfId="22" type="headerRow"/>
      <tableStyleElement dxfId="2" type="firstRowStripe"/>
      <tableStyleElement dxfId="23" type="secondRowStripe"/>
    </tableStyle>
    <tableStyle count="3" pivot="0" name="Museum-style 13">
      <tableStyleElement dxfId="1" type="headerRow"/>
      <tableStyleElement dxfId="2" type="firstRowStripe"/>
      <tableStyleElement dxfId="3" type="secondRowStripe"/>
    </tableStyle>
    <tableStyle count="3" pivot="0" name="Museum-style 14">
      <tableStyleElement dxfId="1" type="headerRow"/>
      <tableStyleElement dxfId="2" type="firstRowStripe"/>
      <tableStyleElement dxfId="3" type="secondRowStripe"/>
    </tableStyle>
    <tableStyle count="3" pivot="0" name="Museum-style 15">
      <tableStyleElement dxfId="4" type="headerRow"/>
      <tableStyleElement dxfId="2" type="firstRowStripe"/>
      <tableStyleElement dxfId="5" type="secondRowStripe"/>
    </tableStyle>
    <tableStyle count="3" pivot="0" name="Museum-style 16">
      <tableStyleElement dxfId="4" type="headerRow"/>
      <tableStyleElement dxfId="2" type="firstRowStripe"/>
      <tableStyleElement dxfId="5" type="secondRowStripe"/>
    </tableStyle>
    <tableStyle count="3" pivot="0" name="Rocket Cabin Effects-style">
      <tableStyleElement dxfId="4" type="headerRow"/>
      <tableStyleElement dxfId="2" type="firstRowStripe"/>
      <tableStyleElement dxfId="5" type="secondRowStripe"/>
    </tableStyle>
    <tableStyle count="3" pivot="0" name="Rocket Cabin Effects-style 2">
      <tableStyleElement dxfId="4" type="headerRow"/>
      <tableStyleElement dxfId="2" type="firstRowStripe"/>
      <tableStyleElement dxfId="5" type="secondRowStripe"/>
    </tableStyle>
    <tableStyle count="3" pivot="0" name="Rocket Cabin Effects-style 3">
      <tableStyleElement dxfId="10" type="headerRow"/>
      <tableStyleElement dxfId="2" type="firstRowStripe"/>
      <tableStyleElement dxfId="11" type="secondRowStripe"/>
    </tableStyle>
    <tableStyle count="3" pivot="0" name="Rocket Cabin Effects-style 4">
      <tableStyleElement dxfId="14" type="headerRow"/>
      <tableStyleElement dxfId="2" type="firstRowStripe"/>
      <tableStyleElement dxfId="15" type="secondRowStripe"/>
    </tableStyle>
    <tableStyle count="3" pivot="0" name="Rocket Cabin Effects-style 5">
      <tableStyleElement dxfId="8" type="headerRow"/>
      <tableStyleElement dxfId="2" type="firstRowStripe"/>
      <tableStyleElement dxfId="9" type="secondRowStripe"/>
    </tableStyle>
    <tableStyle count="3" pivot="0" name="Rocket Cabin Effects-style 6">
      <tableStyleElement dxfId="6" type="headerRow"/>
      <tableStyleElement dxfId="2" type="firstRowStripe"/>
      <tableStyleElement dxfId="7" type="secondRowStripe"/>
    </tableStyle>
    <tableStyle count="3" pivot="0" name="Rocket Cabin Effects-style 7">
      <tableStyleElement dxfId="14" type="headerRow"/>
      <tableStyleElement dxfId="2" type="firstRowStripe"/>
      <tableStyleElement dxfId="15" type="secondRowStripe"/>
    </tableStyle>
    <tableStyle count="3" pivot="0" name="Rocket Cabin Effects-style 8">
      <tableStyleElement dxfId="6" type="headerRow"/>
      <tableStyleElement dxfId="2" type="firstRowStripe"/>
      <tableStyleElement dxfId="7" type="secondRowStripe"/>
    </tableStyle>
    <tableStyle count="3" pivot="0" name="Rocket Cabin Effects-style 9">
      <tableStyleElement dxfId="4" type="headerRow"/>
      <tableStyleElement dxfId="2" type="firstRowStripe"/>
      <tableStyleElement dxfId="5" type="secondRowStripe"/>
    </tableStyle>
    <tableStyle count="3" pivot="0" name="Rocket Cabin Effects-style 10">
      <tableStyleElement dxfId="4" type="headerRow"/>
      <tableStyleElement dxfId="2" type="firstRowStripe"/>
      <tableStyleElement dxfId="5" type="secondRowStripe"/>
    </tableStyle>
    <tableStyle count="3" pivot="0" name="Rocket Cabin Effects-style 11">
      <tableStyleElement dxfId="4" type="headerRow"/>
      <tableStyleElement dxfId="2" type="firstRowStripe"/>
      <tableStyleElement dxfId="5" type="secondRowStripe"/>
    </tableStyle>
    <tableStyle count="3" pivot="0" name="Rocket Cabin Effects-style 12">
      <tableStyleElement dxfId="4" type="headerRow"/>
      <tableStyleElement dxfId="2" type="firstRowStripe"/>
      <tableStyleElement dxfId="5" type="secondRowStripe"/>
    </tableStyle>
    <tableStyle count="3" pivot="0" name="Rocket Cabin Effects-style 13">
      <tableStyleElement dxfId="8" type="headerRow"/>
      <tableStyleElement dxfId="2" type="firstRowStripe"/>
      <tableStyleElement dxfId="9" type="secondRowStripe"/>
    </tableStyle>
    <tableStyle count="3" pivot="0" name="Rocket Cabin Effects-style 14">
      <tableStyleElement dxfId="16" type="headerRow"/>
      <tableStyleElement dxfId="2" type="firstRowStripe"/>
      <tableStyleElement dxfId="17" type="secondRowStripe"/>
    </tableStyle>
    <tableStyle count="3" pivot="0" name="Rocket Cabin Effects-style 15">
      <tableStyleElement dxfId="14" type="headerRow"/>
      <tableStyleElement dxfId="2" type="firstRowStripe"/>
      <tableStyleElement dxfId="15" type="secondRowStripe"/>
    </tableStyle>
    <tableStyle count="3" pivot="0" name="Rocket Cabin Effects-style 16">
      <tableStyleElement dxfId="12" type="headerRow"/>
      <tableStyleElement dxfId="2" type="firstRowStripe"/>
      <tableStyleElement dxfId="13" type="secondRowStripe"/>
    </tableStyle>
    <tableStyle count="3" pivot="0" name="Rocket Cabin Effects-style 17">
      <tableStyleElement dxfId="8" type="headerRow"/>
      <tableStyleElement dxfId="2" type="firstRowStripe"/>
      <tableStyleElement dxfId="9" type="secondRowStripe"/>
    </tableStyle>
    <tableStyle count="3" pivot="0" name="Rocket Cabin Effects-style 18">
      <tableStyleElement dxfId="16" type="headerRow"/>
      <tableStyleElement dxfId="2" type="firstRowStripe"/>
      <tableStyleElement dxfId="17" type="secondRowStripe"/>
    </tableStyle>
    <tableStyle count="3" pivot="0" name="Rocket Cabin Effects-style 19">
      <tableStyleElement dxfId="4" type="headerRow"/>
      <tableStyleElement dxfId="2" type="firstRowStripe"/>
      <tableStyleElement dxfId="5" type="secondRowStripe"/>
    </tableStyle>
    <tableStyle count="3" pivot="0" name="Rocket Cabin Effects-style 20">
      <tableStyleElement dxfId="4" type="headerRow"/>
      <tableStyleElement dxfId="2" type="firstRowStripe"/>
      <tableStyleElement dxfId="5" type="secondRowStripe"/>
    </tableStyle>
    <tableStyle count="3" pivot="0" name="Rocket Cabin Effects-style 21">
      <tableStyleElement dxfId="4" type="headerRow"/>
      <tableStyleElement dxfId="2" type="firstRowStripe"/>
      <tableStyleElement dxfId="5" type="secondRowStripe"/>
    </tableStyle>
    <tableStyle count="3" pivot="0" name="Rocket Cabin Effects-style 22">
      <tableStyleElement dxfId="4" type="headerRow"/>
      <tableStyleElement dxfId="2" type="firstRowStripe"/>
      <tableStyleElement dxfId="5" type="secondRowStripe"/>
    </tableStyle>
    <tableStyle count="3" pivot="0" name="Rocket Cabin Effects-style 23">
      <tableStyleElement dxfId="10" type="headerRow"/>
      <tableStyleElement dxfId="2" type="firstRowStripe"/>
      <tableStyleElement dxfId="11" type="secondRowStripe"/>
    </tableStyle>
    <tableStyle count="3" pivot="0" name="Rocket Cabin Effects-style 24">
      <tableStyleElement dxfId="12" type="headerRow"/>
      <tableStyleElement dxfId="2" type="firstRowStripe"/>
      <tableStyleElement dxfId="13" type="secondRowStripe"/>
    </tableStyle>
    <tableStyle count="3" pivot="0" name="Rocket Cabin Effects-style 25">
      <tableStyleElement dxfId="6" type="headerRow"/>
      <tableStyleElement dxfId="2" type="firstRowStripe"/>
      <tableStyleElement dxfId="7" type="secondRowStripe"/>
    </tableStyle>
    <tableStyle count="3" pivot="0" name="Rocket Cabin Effects-style 26">
      <tableStyleElement dxfId="16" type="headerRow"/>
      <tableStyleElement dxfId="2" type="firstRowStripe"/>
      <tableStyleElement dxfId="17" type="secondRowStripe"/>
    </tableStyle>
    <tableStyle count="3" pivot="0" name="Rocket Cabin Effects-style 27">
      <tableStyleElement dxfId="10" type="headerRow"/>
      <tableStyleElement dxfId="2" type="firstRowStripe"/>
      <tableStyleElement dxfId="11" type="secondRowStripe"/>
    </tableStyle>
    <tableStyle count="3" pivot="0" name="Rocket Cabin Effects-style 28">
      <tableStyleElement dxfId="12" type="headerRow"/>
      <tableStyleElement dxfId="2" type="firstRowStripe"/>
      <tableStyleElement dxfId="13" type="secondRowStripe"/>
    </tableStyle>
    <tableStyle count="3" pivot="0" name="Rocket Cabin Effects-style 29">
      <tableStyleElement dxfId="4" type="headerRow"/>
      <tableStyleElement dxfId="2" type="firstRowStripe"/>
      <tableStyleElement dxfId="5" type="secondRowStripe"/>
    </tableStyle>
    <tableStyle count="3" pivot="0" name="Rocket Cabin Effects-style 30">
      <tableStyleElement dxfId="4" type="headerRow"/>
      <tableStyleElement dxfId="2" type="firstRowStripe"/>
      <tableStyleElement dxfId="5" type="secondRowStripe"/>
    </tableStyle>
    <tableStyle count="3" pivot="0" name="Rocket Cabin Effects-style 31">
      <tableStyleElement dxfId="4" type="headerRow"/>
      <tableStyleElement dxfId="2" type="firstRowStripe"/>
      <tableStyleElement dxfId="5" type="secondRowStripe"/>
    </tableStyle>
    <tableStyle count="3" pivot="0" name="Minion Boosts-style">
      <tableStyleElement dxfId="4" type="headerRow"/>
      <tableStyleElement dxfId="2" type="firstRowStripe"/>
      <tableStyleElement dxfId="5" type="secondRowStripe"/>
    </tableStyle>
    <tableStyle count="3" pivot="0" name="Minion Boosts-style 2">
      <tableStyleElement dxfId="4" type="headerRow"/>
      <tableStyleElement dxfId="2" type="firstRowStripe"/>
      <tableStyleElement dxfId="5" type="secondRowStripe"/>
    </tableStyle>
    <tableStyle count="3" pivot="0" name="Minion Boosts-style 3">
      <tableStyleElement dxfId="4" type="headerRow"/>
      <tableStyleElement dxfId="2" type="firstRowStripe"/>
      <tableStyleElement dxfId="5" type="secondRowStripe"/>
    </tableStyle>
    <tableStyle count="3" pivot="0" name="Minion Boosts-style 4">
      <tableStyleElement dxfId="4" type="headerRow"/>
      <tableStyleElement dxfId="2" type="firstRowStripe"/>
      <tableStyleElement dxfId="5" type="secondRowStripe"/>
    </tableStyle>
    <tableStyle count="3" pivot="0" name="Minion Boosts-style 5">
      <tableStyleElement dxfId="4" type="headerRow"/>
      <tableStyleElement dxfId="2" type="firstRowStripe"/>
      <tableStyleElement dxfId="5" type="secondRowStripe"/>
    </tableStyle>
    <tableStyle count="3" pivot="0" name="Minion Boosts-style 6">
      <tableStyleElement dxfId="4" type="headerRow"/>
      <tableStyleElement dxfId="2" type="firstRowStripe"/>
      <tableStyleElement dxfId="5" type="secondRowStripe"/>
    </tableStyle>
    <tableStyle count="3" pivot="0" name="Minion Boosts-style 7">
      <tableStyleElement dxfId="6" type="headerRow"/>
      <tableStyleElement dxfId="2" type="firstRowStripe"/>
      <tableStyleElement dxfId="7" type="secondRowStripe"/>
    </tableStyle>
    <tableStyle count="3" pivot="0" name="Minion Boosts-style 8">
      <tableStyleElement dxfId="6" type="headerRow"/>
      <tableStyleElement dxfId="2" type="firstRowStripe"/>
      <tableStyleElement dxfId="7" type="secondRowStripe"/>
    </tableStyle>
    <tableStyle count="3" pivot="0" name="Minion Boosts-style 9">
      <tableStyleElement dxfId="6" type="headerRow"/>
      <tableStyleElement dxfId="2" type="firstRowStripe"/>
      <tableStyleElement dxfId="7" type="secondRowStripe"/>
    </tableStyle>
    <tableStyle count="3" pivot="0" name="Minion Boosts-style 10">
      <tableStyleElement dxfId="6" type="headerRow"/>
      <tableStyleElement dxfId="2" type="firstRowStripe"/>
      <tableStyleElement dxfId="7" type="secondRowStripe"/>
    </tableStyle>
    <tableStyle count="3" pivot="0" name="Minion Boosts-style 11">
      <tableStyleElement dxfId="6" type="headerRow"/>
      <tableStyleElement dxfId="2" type="firstRowStripe"/>
      <tableStyleElement dxfId="7" type="secondRowStripe"/>
    </tableStyle>
    <tableStyle count="3" pivot="0" name="Minion Boosts-style 12">
      <tableStyleElement dxfId="8" type="headerRow"/>
      <tableStyleElement dxfId="2" type="firstRowStripe"/>
      <tableStyleElement dxfId="9" type="secondRowStripe"/>
    </tableStyle>
    <tableStyle count="3" pivot="0" name="Minion Boosts-style 13">
      <tableStyleElement dxfId="8" type="headerRow"/>
      <tableStyleElement dxfId="2" type="firstRowStripe"/>
      <tableStyleElement dxfId="9" type="secondRowStripe"/>
    </tableStyle>
    <tableStyle count="3" pivot="0" name="Minion Boosts-style 14">
      <tableStyleElement dxfId="8" type="headerRow"/>
      <tableStyleElement dxfId="2" type="firstRowStripe"/>
      <tableStyleElement dxfId="9" type="secondRowStripe"/>
    </tableStyle>
    <tableStyle count="3" pivot="0" name="Minion Boosts-style 15">
      <tableStyleElement dxfId="8" type="headerRow"/>
      <tableStyleElement dxfId="2" type="firstRowStripe"/>
      <tableStyleElement dxfId="9" type="secondRowStripe"/>
    </tableStyle>
    <tableStyle count="3" pivot="0" name="Minion Boosts-style 16">
      <tableStyleElement dxfId="8" type="headerRow"/>
      <tableStyleElement dxfId="2" type="firstRowStripe"/>
      <tableStyleElement dxfId="9" type="secondRowStripe"/>
    </tableStyle>
    <tableStyle count="3" pivot="0" name="Minion Boosts-style 17">
      <tableStyleElement dxfId="10" type="headerRow"/>
      <tableStyleElement dxfId="2" type="firstRowStripe"/>
      <tableStyleElement dxfId="11" type="secondRowStripe"/>
    </tableStyle>
    <tableStyle count="3" pivot="0" name="Minion Boosts-style 18">
      <tableStyleElement dxfId="10" type="headerRow"/>
      <tableStyleElement dxfId="2" type="firstRowStripe"/>
      <tableStyleElement dxfId="11" type="secondRowStripe"/>
    </tableStyle>
    <tableStyle count="3" pivot="0" name="Minion Boosts-style 19">
      <tableStyleElement dxfId="10" type="headerRow"/>
      <tableStyleElement dxfId="2" type="firstRowStripe"/>
      <tableStyleElement dxfId="11" type="secondRowStripe"/>
    </tableStyle>
    <tableStyle count="3" pivot="0" name="Minion Boosts-style 20">
      <tableStyleElement dxfId="10" type="headerRow"/>
      <tableStyleElement dxfId="2" type="firstRowStripe"/>
      <tableStyleElement dxfId="11" type="secondRowStripe"/>
    </tableStyle>
    <tableStyle count="3" pivot="0" name="Minion Boosts-style 21">
      <tableStyleElement dxfId="10" type="headerRow"/>
      <tableStyleElement dxfId="2" type="firstRowStripe"/>
      <tableStyleElement dxfId="11" type="secondRowStripe"/>
    </tableStyle>
    <tableStyle count="3" pivot="0" name="Minion Boosts-style 22">
      <tableStyleElement dxfId="12" type="headerRow"/>
      <tableStyleElement dxfId="2" type="firstRowStripe"/>
      <tableStyleElement dxfId="13" type="secondRowStripe"/>
    </tableStyle>
    <tableStyle count="3" pivot="0" name="Minion Boosts-style 23">
      <tableStyleElement dxfId="12" type="headerRow"/>
      <tableStyleElement dxfId="2" type="firstRowStripe"/>
      <tableStyleElement dxfId="13" type="secondRowStripe"/>
    </tableStyle>
    <tableStyle count="3" pivot="0" name="Minion Boosts-style 24">
      <tableStyleElement dxfId="12" type="headerRow"/>
      <tableStyleElement dxfId="2" type="firstRowStripe"/>
      <tableStyleElement dxfId="13" type="secondRowStripe"/>
    </tableStyle>
    <tableStyle count="3" pivot="0" name="Minion Boosts-style 25">
      <tableStyleElement dxfId="12" type="headerRow"/>
      <tableStyleElement dxfId="2" type="firstRowStripe"/>
      <tableStyleElement dxfId="13" type="secondRowStripe"/>
    </tableStyle>
    <tableStyle count="3" pivot="0" name="Minion Boosts-style 26">
      <tableStyleElement dxfId="12" type="headerRow"/>
      <tableStyleElement dxfId="2" type="firstRowStripe"/>
      <tableStyleElement dxfId="13" type="secondRowStripe"/>
    </tableStyle>
    <tableStyle count="3" pivot="0" name="Minion Boosts-style 27">
      <tableStyleElement dxfId="14" type="headerRow"/>
      <tableStyleElement dxfId="2" type="firstRowStripe"/>
      <tableStyleElement dxfId="15" type="secondRowStripe"/>
    </tableStyle>
    <tableStyle count="3" pivot="0" name="Minion Boosts-style 28">
      <tableStyleElement dxfId="14" type="headerRow"/>
      <tableStyleElement dxfId="2" type="firstRowStripe"/>
      <tableStyleElement dxfId="15" type="secondRowStripe"/>
    </tableStyle>
    <tableStyle count="3" pivot="0" name="Minion Boosts-style 29">
      <tableStyleElement dxfId="14" type="headerRow"/>
      <tableStyleElement dxfId="2" type="firstRowStripe"/>
      <tableStyleElement dxfId="15" type="secondRowStripe"/>
    </tableStyle>
    <tableStyle count="3" pivot="0" name="Minion Boosts-style 30">
      <tableStyleElement dxfId="14" type="headerRow"/>
      <tableStyleElement dxfId="2" type="firstRowStripe"/>
      <tableStyleElement dxfId="15" type="secondRowStripe"/>
    </tableStyle>
    <tableStyle count="3" pivot="0" name="Minion Boosts-style 31">
      <tableStyleElement dxfId="14" type="headerRow"/>
      <tableStyleElement dxfId="2" type="firstRowStripe"/>
      <tableStyleElement dxfId="15" type="secondRowStripe"/>
    </tableStyle>
    <tableStyle count="3" pivot="0" name="Minion Boosts-style 32">
      <tableStyleElement dxfId="16" type="headerRow"/>
      <tableStyleElement dxfId="2" type="firstRowStripe"/>
      <tableStyleElement dxfId="17" type="secondRowStripe"/>
    </tableStyle>
    <tableStyle count="3" pivot="0" name="Minion Boosts-style 33">
      <tableStyleElement dxfId="16" type="headerRow"/>
      <tableStyleElement dxfId="2" type="firstRowStripe"/>
      <tableStyleElement dxfId="17" type="secondRowStripe"/>
    </tableStyle>
    <tableStyle count="3" pivot="0" name="Minion Boosts-style 34">
      <tableStyleElement dxfId="16" type="headerRow"/>
      <tableStyleElement dxfId="2" type="firstRowStripe"/>
      <tableStyleElement dxfId="17" type="secondRowStripe"/>
    </tableStyle>
    <tableStyle count="3" pivot="0" name="Minion Boosts-style 35">
      <tableStyleElement dxfId="16" type="headerRow"/>
      <tableStyleElement dxfId="2" type="firstRowStripe"/>
      <tableStyleElement dxfId="17" type="secondRowStripe"/>
    </tableStyle>
    <tableStyle count="3" pivot="0" name="Minion Boosts-style 36">
      <tableStyleElement dxfId="16" type="headerRow"/>
      <tableStyleElement dxfId="2" type="firstRowStripe"/>
      <tableStyleElement dxfId="17" type="secondRowStripe"/>
    </tableStyle>
    <tableStyle count="3" pivot="0" name="Leadership-style">
      <tableStyleElement dxfId="18" type="headerRow"/>
      <tableStyleElement dxfId="2" type="firstRowStripe"/>
      <tableStyleElement dxfId="19" type="secondRowStripe"/>
    </tableStyle>
    <tableStyle count="3" pivot="0" name="Leadership-style 2">
      <tableStyleElement dxfId="18" type="headerRow"/>
      <tableStyleElement dxfId="2" type="firstRowStripe"/>
      <tableStyleElement dxfId="19" type="secondRowStripe"/>
    </tableStyle>
    <tableStyle count="3" pivot="0" name="Leadership-style 3">
      <tableStyleElement dxfId="18" type="headerRow"/>
      <tableStyleElement dxfId="2" type="firstRowStripe"/>
      <tableStyleElement dxfId="19" type="secondRowStripe"/>
    </tableStyle>
    <tableStyle count="3" pivot="0" name="Leadership-style 4">
      <tableStyleElement dxfId="18" type="headerRow"/>
      <tableStyleElement dxfId="2" type="firstRowStripe"/>
      <tableStyleElement dxfId="19" type="secondRowStripe"/>
    </tableStyle>
    <tableStyle count="3" pivot="0" name="Leadership-style 5">
      <tableStyleElement dxfId="18" type="headerRow"/>
      <tableStyleElement dxfId="2" type="firstRowStripe"/>
      <tableStyleElement dxfId="19" type="secondRowStripe"/>
    </tableStyle>
    <tableStyle count="3" pivot="0" name="Leadership-style 6">
      <tableStyleElement dxfId="18" type="headerRow"/>
      <tableStyleElement dxfId="2" type="firstRowStripe"/>
      <tableStyleElement dxfId="19" type="secondRowStripe"/>
    </tableStyle>
    <tableStyle count="3" pivot="0" name="Leadership-style 7">
      <tableStyleElement dxfId="18" type="headerRow"/>
      <tableStyleElement dxfId="2" type="firstRowStripe"/>
      <tableStyleElement dxfId="19" type="secondRowStripe"/>
    </tableStyle>
    <tableStyle count="3" pivot="0" name="Leadership-style 8">
      <tableStyleElement dxfId="18" type="headerRow"/>
      <tableStyleElement dxfId="2" type="firstRowStripe"/>
      <tableStyleElement dxfId="19" type="secondRowStripe"/>
    </tableStyle>
    <tableStyle count="3" pivot="0" name="Leadership-style 9">
      <tableStyleElement dxfId="18" type="headerRow"/>
      <tableStyleElement dxfId="2" type="firstRowStripe"/>
      <tableStyleElement dxfId="19" type="secondRowStripe"/>
    </tableStyle>
    <tableStyle count="3" pivot="0" name="Leadership-style 10">
      <tableStyleElement dxfId="18" type="headerRow"/>
      <tableStyleElement dxfId="2" type="firstRowStripe"/>
      <tableStyleElement dxfId="19" type="secondRowStripe"/>
    </tableStyle>
    <tableStyle count="3" pivot="0" name="Leadership-style 11">
      <tableStyleElement dxfId="18" type="headerRow"/>
      <tableStyleElement dxfId="2" type="firstRowStripe"/>
      <tableStyleElement dxfId="19" type="secondRowStripe"/>
    </tableStyle>
    <tableStyle count="3" pivot="0" name="Leadership-style 12">
      <tableStyleElement dxfId="18" type="headerRow"/>
      <tableStyleElement dxfId="2" type="firstRowStripe"/>
      <tableStyleElement dxfId="19" type="secondRowStripe"/>
    </tableStyle>
    <tableStyle count="3" pivot="0" name="Leadership-style 13">
      <tableStyleElement dxfId="4" type="headerRow"/>
      <tableStyleElement dxfId="2" type="firstRowStripe"/>
      <tableStyleElement dxfId="5" type="secondRowStripe"/>
    </tableStyle>
    <tableStyle count="3" pivot="0" name="Tadpole Pond-style">
      <tableStyleElement dxfId="18" type="headerRow"/>
      <tableStyleElement dxfId="2" type="firstRowStripe"/>
      <tableStyleElement dxfId="19" type="secondRowStripe"/>
    </tableStyle>
    <tableStyle count="3" pivot="0" name="Tadpole Pond-style 2">
      <tableStyleElement dxfId="18" type="headerRow"/>
      <tableStyleElement dxfId="2" type="firstRowStripe"/>
      <tableStyleElement dxfId="19" type="secondRowStripe"/>
    </tableStyle>
    <tableStyle count="3" pivot="0" name="Tadpole Pond-style 3">
      <tableStyleElement dxfId="18" type="headerRow"/>
      <tableStyleElement dxfId="2" type="firstRowStripe"/>
      <tableStyleElement dxfId="19" type="secondRowStripe"/>
    </tableStyle>
    <tableStyle count="3" pivot="0" name="Tadpole Pond-style 4">
      <tableStyleElement dxfId="18" type="headerRow"/>
      <tableStyleElement dxfId="2" type="firstRowStripe"/>
      <tableStyleElement dxfId="19" type="secondRowStripe"/>
    </tableStyle>
    <tableStyle count="3" pivot="0" name="Tadpole Pond-style 5">
      <tableStyleElement dxfId="18" type="headerRow"/>
      <tableStyleElement dxfId="2" type="firstRowStripe"/>
      <tableStyleElement dxfId="19" type="secondRowStripe"/>
    </tableStyle>
    <tableStyle count="3" pivot="0" name="Tadpole Pond-style 6">
      <tableStyleElement dxfId="18" type="headerRow"/>
      <tableStyleElement dxfId="2" type="firstRowStripe"/>
      <tableStyleElement dxfId="19" type="secondRowStripe"/>
    </tableStyle>
    <tableStyle count="3" pivot="0" name="Tadpole Pond-style 7">
      <tableStyleElement dxfId="18" type="headerRow"/>
      <tableStyleElement dxfId="2" type="firstRowStripe"/>
      <tableStyleElement dxfId="19" type="secondRowStripe"/>
    </tableStyle>
    <tableStyle count="3" pivot="0" name="Tadpole Pond-style 8">
      <tableStyleElement dxfId="18" type="headerRow"/>
      <tableStyleElement dxfId="2" type="firstRowStripe"/>
      <tableStyleElement dxfId="19" type="secondRowStripe"/>
    </tableStyle>
    <tableStyle count="3" pivot="0" name="Tadpole Pond-style 9">
      <tableStyleElement dxfId="18" type="headerRow"/>
      <tableStyleElement dxfId="2" type="firstRowStripe"/>
      <tableStyleElement dxfId="19" type="secondRowStripe"/>
    </tableStyle>
    <tableStyle count="3" pivot="0" name="Tadpole Pond-style 10">
      <tableStyleElement dxfId="18" type="headerRow"/>
      <tableStyleElement dxfId="2" type="firstRowStripe"/>
      <tableStyleElement dxfId="19" type="secondRowStripe"/>
    </tableStyle>
    <tableStyle count="3" pivot="0" name="Tadpole Pond-style 11">
      <tableStyleElement dxfId="4" type="headerRow"/>
      <tableStyleElement dxfId="2" type="firstRowStripe"/>
      <tableStyleElement dxfId="5" type="secondRowStripe"/>
    </tableStyle>
    <tableStyle count="3" pivot="0" name="Fungus Farm-style">
      <tableStyleElement dxfId="6" type="headerRow"/>
      <tableStyleElement dxfId="2" type="firstRowStripe"/>
      <tableStyleElement dxfId="7" type="secondRowStripe"/>
    </tableStyle>
    <tableStyle count="3" pivot="0" name="Fungus Farm-style 2">
      <tableStyleElement dxfId="6" type="headerRow"/>
      <tableStyleElement dxfId="2" type="firstRowStripe"/>
      <tableStyleElement dxfId="7" type="secondRowStripe"/>
    </tableStyle>
    <tableStyle count="3" pivot="0" name="Fungus Farm-style 3">
      <tableStyleElement dxfId="6" type="headerRow"/>
      <tableStyleElement dxfId="2" type="firstRowStripe"/>
      <tableStyleElement dxfId="7" type="secondRowStripe"/>
    </tableStyle>
    <tableStyle count="3" pivot="0" name="Fungus Farm-style 4">
      <tableStyleElement dxfId="6" type="headerRow"/>
      <tableStyleElement dxfId="2" type="firstRowStripe"/>
      <tableStyleElement dxfId="7" type="secondRowStripe"/>
    </tableStyle>
    <tableStyle count="3" pivot="0" name="Fungus Farm-style 5">
      <tableStyleElement dxfId="6" type="headerRow"/>
      <tableStyleElement dxfId="2" type="firstRowStripe"/>
      <tableStyleElement dxfId="7" type="secondRowStripe"/>
    </tableStyle>
    <tableStyle count="3" pivot="0" name="Fungus Farm-style 6">
      <tableStyleElement dxfId="6" type="headerRow"/>
      <tableStyleElement dxfId="2" type="firstRowStripe"/>
      <tableStyleElement dxfId="7" type="secondRowStripe"/>
    </tableStyle>
    <tableStyle count="3" pivot="0" name="Fungus Farm-style 7">
      <tableStyleElement dxfId="6" type="headerRow"/>
      <tableStyleElement dxfId="2" type="firstRowStripe"/>
      <tableStyleElement dxfId="7" type="secondRowStripe"/>
    </tableStyle>
    <tableStyle count="3" pivot="0" name="Fungus Farm-style 8">
      <tableStyleElement dxfId="6" type="headerRow"/>
      <tableStyleElement dxfId="2" type="firstRowStripe"/>
      <tableStyleElement dxfId="7" type="secondRowStripe"/>
    </tableStyle>
    <tableStyle count="3" pivot="0" name="Fungus Farm-style 9">
      <tableStyleElement dxfId="4" type="headerRow"/>
      <tableStyleElement dxfId="2" type="firstRowStripe"/>
      <tableStyleElement dxfId="5" type="secondRowStripe"/>
    </tableStyle>
    <tableStyle count="3" pivot="0" name="Time Machine-style">
      <tableStyleElement dxfId="24" type="headerRow"/>
      <tableStyleElement dxfId="2" type="firstRowStripe"/>
      <tableStyleElement dxfId="25" type="secondRowStripe"/>
    </tableStyle>
    <tableStyle count="3" pivot="0" name="Time Machine-style 2">
      <tableStyleElement dxfId="24" type="headerRow"/>
      <tableStyleElement dxfId="2" type="firstRowStripe"/>
      <tableStyleElement dxfId="25" type="secondRowStripe"/>
    </tableStyle>
    <tableStyle count="3" pivot="0" name="Time Machine-style 3">
      <tableStyleElement dxfId="24" type="headerRow"/>
      <tableStyleElement dxfId="2" type="firstRowStripe"/>
      <tableStyleElement dxfId="25" type="secondRowStripe"/>
    </tableStyle>
    <tableStyle count="3" pivot="0" name="Time Machine-style 4">
      <tableStyleElement dxfId="24" type="headerRow"/>
      <tableStyleElement dxfId="2" type="firstRowStripe"/>
      <tableStyleElement dxfId="25" type="secondRowStripe"/>
    </tableStyle>
    <tableStyle count="3" pivot="0" name="Time Machine-style 5">
      <tableStyleElement dxfId="24" type="headerRow"/>
      <tableStyleElement dxfId="2" type="firstRowStripe"/>
      <tableStyleElement dxfId="25" type="secondRowStripe"/>
    </tableStyle>
    <tableStyle count="3" pivot="0" name="Time Machine-style 6">
      <tableStyleElement dxfId="24" type="headerRow"/>
      <tableStyleElement dxfId="2" type="firstRowStripe"/>
      <tableStyleElement dxfId="25" type="secondRowStripe"/>
    </tableStyle>
    <tableStyle count="3" pivot="0" name="Time Machine-style 7">
      <tableStyleElement dxfId="24" type="headerRow"/>
      <tableStyleElement dxfId="2" type="firstRowStripe"/>
      <tableStyleElement dxfId="25" type="secondRowStripe"/>
    </tableStyle>
    <tableStyle count="3" pivot="0" name="Time Machine-style 8">
      <tableStyleElement dxfId="24" type="headerRow"/>
      <tableStyleElement dxfId="2" type="firstRowStripe"/>
      <tableStyleElement dxfId="25" type="secondRowStripe"/>
    </tableStyle>
    <tableStyle count="3" pivot="0" name="Time Machine-style 9">
      <tableStyleElement dxfId="24" type="headerRow"/>
      <tableStyleElement dxfId="2" type="firstRowStripe"/>
      <tableStyleElement dxfId="25" type="secondRowStripe"/>
    </tableStyle>
    <tableStyle count="3" pivot="0" name="Time Machine-style 10">
      <tableStyleElement dxfId="24" type="headerRow"/>
      <tableStyleElement dxfId="2" type="firstRowStripe"/>
      <tableStyleElement dxfId="25" type="secondRowStripe"/>
    </tableStyle>
    <tableStyle count="3" pivot="0" name="Time Machine-style 11">
      <tableStyleElement dxfId="24" type="headerRow"/>
      <tableStyleElement dxfId="2" type="firstRowStripe"/>
      <tableStyleElement dxfId="25" type="secondRowStripe"/>
    </tableStyle>
    <tableStyle count="3" pivot="0" name="Time Machine-style 12">
      <tableStyleElement dxfId="4" type="headerRow"/>
      <tableStyleElement dxfId="2" type="firstRowStripe"/>
      <tableStyleElement dxfId="5" type="secondRowStripe"/>
    </tableStyle>
    <tableStyle count="3" pivot="0" name="Lumber Camp-style">
      <tableStyleElement dxfId="22" type="headerRow"/>
      <tableStyleElement dxfId="2" type="firstRowStripe"/>
      <tableStyleElement dxfId="23" type="secondRowStripe"/>
    </tableStyle>
    <tableStyle count="3" pivot="0" name="Lumber Camp-style 2">
      <tableStyleElement dxfId="22" type="headerRow"/>
      <tableStyleElement dxfId="2" type="firstRowStripe"/>
      <tableStyleElement dxfId="23" type="secondRowStripe"/>
    </tableStyle>
    <tableStyle count="3" pivot="0" name="Lumber Camp-style 3">
      <tableStyleElement dxfId="22" type="headerRow"/>
      <tableStyleElement dxfId="2" type="firstRowStripe"/>
      <tableStyleElement dxfId="23" type="secondRowStripe"/>
    </tableStyle>
    <tableStyle count="3" pivot="0" name="Lumber Camp-style 4">
      <tableStyleElement dxfId="22" type="headerRow"/>
      <tableStyleElement dxfId="2" type="firstRowStripe"/>
      <tableStyleElement dxfId="23" type="secondRowStripe"/>
    </tableStyle>
    <tableStyle count="3" pivot="0" name="Lumber Camp-style 5">
      <tableStyleElement dxfId="22" type="headerRow"/>
      <tableStyleElement dxfId="2" type="firstRowStripe"/>
      <tableStyleElement dxfId="23" type="secondRowStripe"/>
    </tableStyle>
    <tableStyle count="3" pivot="0" name="Lumber Camp-style 6">
      <tableStyleElement dxfId="22" type="headerRow"/>
      <tableStyleElement dxfId="2" type="firstRowStripe"/>
      <tableStyleElement dxfId="23" type="secondRowStripe"/>
    </tableStyle>
    <tableStyle count="3" pivot="0" name="Lumber Camp-style 7">
      <tableStyleElement dxfId="22" type="headerRow"/>
      <tableStyleElement dxfId="2" type="firstRowStripe"/>
      <tableStyleElement dxfId="23" type="secondRowStripe"/>
    </tableStyle>
    <tableStyle count="3" pivot="0" name="Lumber Camp-style 8">
      <tableStyleElement dxfId="22" type="headerRow"/>
      <tableStyleElement dxfId="2" type="firstRowStripe"/>
      <tableStyleElement dxfId="23" type="secondRowStripe"/>
    </tableStyle>
    <tableStyle count="3" pivot="0" name="Lumber Camp-style 9">
      <tableStyleElement dxfId="22" type="headerRow"/>
      <tableStyleElement dxfId="2" type="firstRowStripe"/>
      <tableStyleElement dxfId="23" type="secondRowStripe"/>
    </tableStyle>
    <tableStyle count="3" pivot="0" name="Lumber Camp-style 10">
      <tableStyleElement dxfId="22" type="headerRow"/>
      <tableStyleElement dxfId="2" type="firstRowStripe"/>
      <tableStyleElement dxfId="23" type="secondRowStripe"/>
    </tableStyle>
    <tableStyle count="3" pivot="0" name="Lumber Camp-style 11">
      <tableStyleElement dxfId="4" type="headerRow"/>
      <tableStyleElement dxfId="2" type="firstRowStripe"/>
      <tableStyleElement dxfId="5" type="secondRowStripe"/>
    </tableStyle>
    <tableStyle count="3" pivot="0" name="Quarry-style">
      <tableStyleElement dxfId="4" type="headerRow"/>
      <tableStyleElement dxfId="2" type="firstRowStripe"/>
      <tableStyleElement dxfId="5" type="secondRowStripe"/>
    </tableStyle>
    <tableStyle count="3" pivot="0" name="Quarry-style 2">
      <tableStyleElement dxfId="4" type="headerRow"/>
      <tableStyleElement dxfId="2" type="firstRowStripe"/>
      <tableStyleElement dxfId="5" type="secondRowStripe"/>
    </tableStyle>
    <tableStyle count="3" pivot="0" name="Quarry-style 3">
      <tableStyleElement dxfId="4" type="headerRow"/>
      <tableStyleElement dxfId="2" type="firstRowStripe"/>
      <tableStyleElement dxfId="5" type="secondRowStripe"/>
    </tableStyle>
    <tableStyle count="3" pivot="0" name="Quarry-style 4">
      <tableStyleElement dxfId="4" type="headerRow"/>
      <tableStyleElement dxfId="2" type="firstRowStripe"/>
      <tableStyleElement dxfId="5" type="secondRowStripe"/>
    </tableStyle>
    <tableStyle count="3" pivot="0" name="Quarry-style 5">
      <tableStyleElement dxfId="4" type="headerRow"/>
      <tableStyleElement dxfId="2" type="firstRowStripe"/>
      <tableStyleElement dxfId="5" type="secondRowStripe"/>
    </tableStyle>
    <tableStyle count="3" pivot="0" name="Quarry-style 6">
      <tableStyleElement dxfId="4" type="headerRow"/>
      <tableStyleElement dxfId="2" type="firstRowStripe"/>
      <tableStyleElement dxfId="5" type="secondRowStripe"/>
    </tableStyle>
    <tableStyle count="3" pivot="0" name="Quarry-style 7">
      <tableStyleElement dxfId="4" type="headerRow"/>
      <tableStyleElement dxfId="2" type="firstRowStripe"/>
      <tableStyleElement dxfId="5" type="secondRowStripe"/>
    </tableStyle>
    <tableStyle count="3" pivot="0" name="Quarry-style 8">
      <tableStyleElement dxfId="4" type="headerRow"/>
      <tableStyleElement dxfId="2" type="firstRowStripe"/>
      <tableStyleElement dxfId="5" type="secondRowStripe"/>
    </tableStyle>
    <tableStyle count="3" pivot="0" name="Quarry-style 9">
      <tableStyleElement dxfId="4" type="headerRow"/>
      <tableStyleElement dxfId="2" type="firstRowStripe"/>
      <tableStyleElement dxfId="5" type="secondRowStripe"/>
    </tableStyle>
    <tableStyle count="3" pivot="0" name="Quarry-style 10">
      <tableStyleElement dxfId="4" type="headerRow"/>
      <tableStyleElement dxfId="2" type="firstRowStripe"/>
      <tableStyleElement dxfId="5" type="secondRowStripe"/>
    </tableStyle>
    <tableStyle count="3" pivot="0" name="Quarry-style 11">
      <tableStyleElement dxfId="4" type="headerRow"/>
      <tableStyleElement dxfId="2" type="firstRowStripe"/>
      <tableStyleElement dxfId="5" type="secondRowStripe"/>
    </tableStyle>
    <tableStyle count="3" pivot="0" name="Quantum Amp-style">
      <tableStyleElement dxfId="12" type="headerRow"/>
      <tableStyleElement dxfId="2" type="firstRowStripe"/>
      <tableStyleElement dxfId="13" type="secondRowStripe"/>
    </tableStyle>
    <tableStyle count="3" pivot="0" name="Quantum Amp-style 2">
      <tableStyleElement dxfId="12" type="headerRow"/>
      <tableStyleElement dxfId="2" type="firstRowStripe"/>
      <tableStyleElement dxfId="13" type="secondRowStripe"/>
    </tableStyle>
    <tableStyle count="3" pivot="0" name="Quantum Amp-style 3">
      <tableStyleElement dxfId="12" type="headerRow"/>
      <tableStyleElement dxfId="2" type="firstRowStripe"/>
      <tableStyleElement dxfId="13" type="secondRowStripe"/>
    </tableStyle>
    <tableStyle count="3" pivot="0" name="Quantum Amp-style 4">
      <tableStyleElement dxfId="12" type="headerRow"/>
      <tableStyleElement dxfId="2" type="firstRowStripe"/>
      <tableStyleElement dxfId="13" type="secondRowStripe"/>
    </tableStyle>
    <tableStyle count="3" pivot="0" name="Quantum Amp-style 5">
      <tableStyleElement dxfId="12" type="headerRow"/>
      <tableStyleElement dxfId="2" type="firstRowStripe"/>
      <tableStyleElement dxfId="13" type="secondRowStripe"/>
    </tableStyle>
    <tableStyle count="3" pivot="0" name="Quantum Amp-style 6">
      <tableStyleElement dxfId="12" type="headerRow"/>
      <tableStyleElement dxfId="2" type="firstRowStripe"/>
      <tableStyleElement dxfId="13" type="secondRowStripe"/>
    </tableStyle>
    <tableStyle count="3" pivot="0" name="Quantum Amp-style 7">
      <tableStyleElement dxfId="12" type="headerRow"/>
      <tableStyleElement dxfId="2" type="firstRowStripe"/>
      <tableStyleElement dxfId="13" type="secondRowStripe"/>
    </tableStyle>
    <tableStyle count="3" pivot="0" name="Compass-style">
      <tableStyleElement dxfId="22" type="headerRow"/>
      <tableStyleElement dxfId="2" type="firstRowStripe"/>
      <tableStyleElement dxfId="23" type="secondRowStripe"/>
    </tableStyle>
    <tableStyle count="3" pivot="0" name="Compass-style 2">
      <tableStyleElement dxfId="22" type="headerRow"/>
      <tableStyleElement dxfId="2" type="firstRowStripe"/>
      <tableStyleElement dxfId="23" type="secondRowStripe"/>
    </tableStyle>
    <tableStyle count="3" pivot="0" name="Compass-style 3">
      <tableStyleElement dxfId="20" type="headerRow"/>
      <tableStyleElement dxfId="2" type="firstRowStripe"/>
      <tableStyleElement dxfId="21" type="secondRowStripe"/>
    </tableStyle>
    <tableStyle count="3" pivot="0" name="Compass-style 4">
      <tableStyleElement dxfId="20" type="headerRow"/>
      <tableStyleElement dxfId="2" type="firstRowStripe"/>
      <tableStyleElement dxfId="21" type="secondRowStripe"/>
    </tableStyle>
    <tableStyle count="3" pivot="0" name="Compass-style 5">
      <tableStyleElement dxfId="1" type="headerRow"/>
      <tableStyleElement dxfId="2" type="firstRowStripe"/>
      <tableStyleElement dxfId="3" type="secondRowStripe"/>
    </tableStyle>
    <tableStyle count="3" pivot="0" name="Compass-style 6">
      <tableStyleElement dxfId="1" type="headerRow"/>
      <tableStyleElement dxfId="2" type="firstRowStripe"/>
      <tableStyleElement dxfId="3" type="secondRowStripe"/>
    </tableStyle>
    <tableStyle count="3" pivot="0" name="Compass-style 7">
      <tableStyleElement dxfId="10" type="headerRow"/>
      <tableStyleElement dxfId="2" type="firstRowStripe"/>
      <tableStyleElement dxfId="11" type="secondRowStripe"/>
    </tableStyle>
    <tableStyle count="3" pivot="0" name="Compass-style 8">
      <tableStyleElement dxfId="10" type="headerRow"/>
      <tableStyleElement dxfId="2" type="firstRowStripe"/>
      <tableStyleElement dxfId="11" type="secondRowStripe"/>
    </tableStyle>
    <tableStyle count="3" pivot="0" name="Compass-style 9">
      <tableStyleElement dxfId="6" type="headerRow"/>
      <tableStyleElement dxfId="2" type="firstRowStripe"/>
      <tableStyleElement dxfId="7" type="secondRowStripe"/>
    </tableStyle>
    <tableStyle count="3" pivot="0" name="Compass-style 10">
      <tableStyleElement dxfId="6" type="headerRow"/>
      <tableStyleElement dxfId="2" type="firstRowStripe"/>
      <tableStyleElement dxfId="7" type="secondRowStripe"/>
    </tableStyle>
    <tableStyle count="3" pivot="0" name="Compass-style 11">
      <tableStyleElement dxfId="4" type="headerRow"/>
      <tableStyleElement dxfId="2" type="firstRowStripe"/>
      <tableStyleElement dxfId="5" type="secondRowStripe"/>
    </tableStyle>
    <tableStyle count="3" pivot="0" name="Cost Reductions-style">
      <tableStyleElement dxfId="18" type="headerRow"/>
      <tableStyleElement dxfId="2" type="firstRowStripe"/>
      <tableStyleElement dxfId="19" type="secondRowStripe"/>
    </tableStyle>
    <tableStyle count="3" pivot="0" name="Cost Reductions-style 2">
      <tableStyleElement dxfId="6" type="headerRow"/>
      <tableStyleElement dxfId="2" type="firstRowStripe"/>
      <tableStyleElement dxfId="7" type="secondRowStripe"/>
    </tableStyle>
    <tableStyle count="3" pivot="0" name="Cost Reductions-style 3">
      <tableStyleElement dxfId="24" type="headerRow"/>
      <tableStyleElement dxfId="2" type="firstRowStripe"/>
      <tableStyleElement dxfId="25" type="secondRowStripe"/>
    </tableStyle>
    <tableStyle count="3" pivot="0" name="Cost Reductions-style 4">
      <tableStyleElement dxfId="22" type="headerRow"/>
      <tableStyleElement dxfId="2" type="firstRowStripe"/>
      <tableStyleElement dxfId="23" type="secondRowStripe"/>
    </tableStyle>
    <tableStyle count="3" pivot="0" name="Cost Reductions-style 5">
      <tableStyleElement dxfId="4" type="headerRow"/>
      <tableStyleElement dxfId="2" type="firstRowStripe"/>
      <tableStyleElement dxfId="5" type="secondRowStripe"/>
    </tableStyle>
    <tableStyle count="3" pivot="0" name="Cost Reductions-style 6">
      <tableStyleElement dxfId="12" type="headerRow"/>
      <tableStyleElement dxfId="2" type="firstRowStripe"/>
      <tableStyleElement dxfId="13" type="secondRowStripe"/>
    </tableStyle>
    <tableStyle count="3" pivot="0" name="Lottery-style">
      <tableStyleElement dxfId="1" type="headerRow"/>
      <tableStyleElement dxfId="2" type="firstRowStripe"/>
      <tableStyleElement dxfId="3" type="secondRowStripe"/>
    </tableStyle>
    <tableStyle count="3" pivot="0" name="Lottery-style 2">
      <tableStyleElement dxfId="1" type="headerRow"/>
      <tableStyleElement dxfId="2" type="firstRowStripe"/>
      <tableStyleElement dxfId="3" type="secondRowStripe"/>
    </tableStyle>
    <tableStyle count="3" pivot="0" name="Lottery-style 3">
      <tableStyleElement dxfId="1" type="headerRow"/>
      <tableStyleElement dxfId="2" type="firstRowStripe"/>
      <tableStyleElement dxfId="3" type="secondRowStripe"/>
    </tableStyle>
    <tableStyle count="3" pivot="0" name="Lottery-style 4">
      <tableStyleElement dxfId="1" type="headerRow"/>
      <tableStyleElement dxfId="2" type="firstRowStripe"/>
      <tableStyleElement dxfId="3" type="secondRowStripe"/>
    </tableStyle>
    <tableStyle count="3" pivot="0" name="Lottery-style 5">
      <tableStyleElement dxfId="1" type="headerRow"/>
      <tableStyleElement dxfId="2" type="firstRowStripe"/>
      <tableStyleElement dxfId="3" type="secondRowStripe"/>
    </tableStyle>
    <tableStyle count="3" pivot="0" name="Lottery-style 6">
      <tableStyleElement dxfId="4" type="headerRow"/>
      <tableStyleElement dxfId="2" type="firstRowStripe"/>
      <tableStyleElement dxfId="5" type="secondRowStripe"/>
    </tableStyle>
    <tableStyle count="3" pivot="0" name="Minion Base Stats-style">
      <tableStyleElement dxfId="6" type="headerRow"/>
      <tableStyleElement dxfId="2" type="firstRowStripe"/>
      <tableStyleElement dxfId="7" type="secondRowStripe"/>
    </tableStyle>
    <tableStyle count="3" pivot="0" name="Minion Base Stats-style 2">
      <tableStyleElement dxfId="6" type="headerRow"/>
      <tableStyleElement dxfId="2" type="firstRowStripe"/>
      <tableStyleElement dxfId="7" type="secondRowStripe"/>
    </tableStyle>
    <tableStyle count="3" pivot="0" name="Minion Base Stats-style 3">
      <tableStyleElement dxfId="6" type="headerRow"/>
      <tableStyleElement dxfId="2" type="firstRowStripe"/>
      <tableStyleElement dxfId="7" type="secondRowStripe"/>
    </tableStyle>
    <tableStyle count="3" pivot="0" name="Minion Base Stats-style 4">
      <tableStyleElement dxfId="6" type="headerRow"/>
      <tableStyleElement dxfId="2" type="firstRowStripe"/>
      <tableStyleElement dxfId="7" type="secondRowStripe"/>
    </tableStyle>
    <tableStyle count="3" pivot="0" name="Minion Base Stats-style 5">
      <tableStyleElement dxfId="6" type="headerRow"/>
      <tableStyleElement dxfId="2" type="firstRowStripe"/>
      <tableStyleElement dxfId="7" type="secondRowStripe"/>
    </tableStyle>
    <tableStyle count="3" pivot="0" name="Minion Base Stats-style 6">
      <tableStyleElement dxfId="20" type="headerRow"/>
      <tableStyleElement dxfId="2" type="firstRowStripe"/>
      <tableStyleElement dxfId="21" type="secondRowStripe"/>
    </tableStyle>
    <tableStyle count="3" pivot="0" name="Minion Base Stats-style 7">
      <tableStyleElement dxfId="20" type="headerRow"/>
      <tableStyleElement dxfId="2" type="firstRowStripe"/>
      <tableStyleElement dxfId="21" type="secondRowStripe"/>
    </tableStyle>
    <tableStyle count="3" pivot="0" name="Minion Base Stats-style 8">
      <tableStyleElement dxfId="20" type="headerRow"/>
      <tableStyleElement dxfId="2" type="firstRowStripe"/>
      <tableStyleElement dxfId="21" type="secondRowStripe"/>
    </tableStyle>
    <tableStyle count="3" pivot="0" name="Minion Base Stats-style 9">
      <tableStyleElement dxfId="20" type="headerRow"/>
      <tableStyleElement dxfId="2" type="firstRowStripe"/>
      <tableStyleElement dxfId="21" type="secondRowStripe"/>
    </tableStyle>
    <tableStyle count="3" pivot="0" name="Minion Base Stats-style 10">
      <tableStyleElement dxfId="20" type="headerRow"/>
      <tableStyleElement dxfId="2" type="firstRowStripe"/>
      <tableStyleElement dxfId="21" type="secondRowStripe"/>
    </tableStyle>
    <tableStyle count="3" pivot="0" name="Minion Base Stats-style 11">
      <tableStyleElement dxfId="10" type="headerRow"/>
      <tableStyleElement dxfId="2" type="firstRowStripe"/>
      <tableStyleElement dxfId="11" type="secondRowStripe"/>
    </tableStyle>
    <tableStyle count="3" pivot="0" name="Minion Base Stats-style 12">
      <tableStyleElement dxfId="10" type="headerRow"/>
      <tableStyleElement dxfId="2" type="firstRowStripe"/>
      <tableStyleElement dxfId="11" type="secondRowStripe"/>
    </tableStyle>
    <tableStyle count="3" pivot="0" name="Minion Base Stats-style 13">
      <tableStyleElement dxfId="10" type="headerRow"/>
      <tableStyleElement dxfId="2" type="firstRowStripe"/>
      <tableStyleElement dxfId="11" type="secondRowStripe"/>
    </tableStyle>
    <tableStyle count="3" pivot="0" name="Minion Base Stats-style 14">
      <tableStyleElement dxfId="10" type="headerRow"/>
      <tableStyleElement dxfId="2" type="firstRowStripe"/>
      <tableStyleElement dxfId="11" type="secondRowStripe"/>
    </tableStyle>
    <tableStyle count="3" pivot="0" name="Minion Base Stats-style 15">
      <tableStyleElement dxfId="10" type="headerRow"/>
      <tableStyleElement dxfId="2" type="firstRowStripe"/>
      <tableStyleElement dxfId="11" type="secondRowStripe"/>
    </tableStyle>
    <tableStyle count="3" pivot="0" name="Minion Base Stats-style 16">
      <tableStyleElement dxfId="12" type="headerRow"/>
      <tableStyleElement dxfId="2" type="firstRowStripe"/>
      <tableStyleElement dxfId="13" type="secondRowStripe"/>
    </tableStyle>
    <tableStyle count="3" pivot="0" name="Minion Base Stats-style 17">
      <tableStyleElement dxfId="12" type="headerRow"/>
      <tableStyleElement dxfId="2" type="firstRowStripe"/>
      <tableStyleElement dxfId="13" type="secondRowStripe"/>
    </tableStyle>
    <tableStyle count="3" pivot="0" name="Minion Base Stats-style 18">
      <tableStyleElement dxfId="12" type="headerRow"/>
      <tableStyleElement dxfId="2" type="firstRowStripe"/>
      <tableStyleElement dxfId="13" type="secondRowStripe"/>
    </tableStyle>
    <tableStyle count="3" pivot="0" name="Minion Base Stats-style 19">
      <tableStyleElement dxfId="12" type="headerRow"/>
      <tableStyleElement dxfId="2" type="firstRowStripe"/>
      <tableStyleElement dxfId="13" type="secondRowStripe"/>
    </tableStyle>
    <tableStyle count="3" pivot="0" name="Minion Base Stats-style 20">
      <tableStyleElement dxfId="12" type="headerRow"/>
      <tableStyleElement dxfId="2" type="firstRowStripe"/>
      <tableStyleElement dxfId="13" type="secondRowStripe"/>
    </tableStyle>
    <tableStyle count="3" pivot="0" name="Minion Base Stats-style 21">
      <tableStyleElement dxfId="14" type="headerRow"/>
      <tableStyleElement dxfId="2" type="firstRowStripe"/>
      <tableStyleElement dxfId="15" type="secondRowStripe"/>
    </tableStyle>
    <tableStyle count="3" pivot="0" name="Minion Base Stats-style 22">
      <tableStyleElement dxfId="14" type="headerRow"/>
      <tableStyleElement dxfId="2" type="firstRowStripe"/>
      <tableStyleElement dxfId="15" type="secondRowStripe"/>
    </tableStyle>
    <tableStyle count="3" pivot="0" name="Minion Base Stats-style 23">
      <tableStyleElement dxfId="14" type="headerRow"/>
      <tableStyleElement dxfId="2" type="firstRowStripe"/>
      <tableStyleElement dxfId="15" type="secondRowStripe"/>
    </tableStyle>
    <tableStyle count="3" pivot="0" name="Minion Base Stats-style 24">
      <tableStyleElement dxfId="14" type="headerRow"/>
      <tableStyleElement dxfId="2" type="firstRowStripe"/>
      <tableStyleElement dxfId="15" type="secondRowStripe"/>
    </tableStyle>
    <tableStyle count="3" pivot="0" name="Minion Base Stats-style 25">
      <tableStyleElement dxfId="14" type="headerRow"/>
      <tableStyleElement dxfId="2" type="firstRowStripe"/>
      <tableStyleElement dxfId="15" type="secondRowStripe"/>
    </tableStyle>
    <tableStyle count="3" pivot="0" name="Minion Base Stats-style 26">
      <tableStyleElement dxfId="16" type="headerRow"/>
      <tableStyleElement dxfId="2" type="firstRowStripe"/>
      <tableStyleElement dxfId="17" type="secondRowStripe"/>
    </tableStyle>
    <tableStyle count="3" pivot="0" name="Minion Base Stats-style 27">
      <tableStyleElement dxfId="16" type="headerRow"/>
      <tableStyleElement dxfId="2" type="firstRowStripe"/>
      <tableStyleElement dxfId="17" type="secondRowStripe"/>
    </tableStyle>
    <tableStyle count="3" pivot="0" name="Minion Base Stats-style 28">
      <tableStyleElement dxfId="16" type="headerRow"/>
      <tableStyleElement dxfId="2" type="firstRowStripe"/>
      <tableStyleElement dxfId="17" type="secondRowStripe"/>
    </tableStyle>
    <tableStyle count="3" pivot="0" name="Minion Base Stats-style 29">
      <tableStyleElement dxfId="16" type="headerRow"/>
      <tableStyleElement dxfId="2" type="firstRowStripe"/>
      <tableStyleElement dxfId="17" type="secondRowStripe"/>
    </tableStyle>
    <tableStyle count="3" pivot="0" name="Minion Base Stats-style 30">
      <tableStyleElement dxfId="16" type="headerRow"/>
      <tableStyleElement dxfId="2" type="firstRowStripe"/>
      <tableStyleElement dxfId="17" type="secondRowStripe"/>
    </tableStyle>
    <tableStyle count="3" pivot="0" name="Partner Research Costs-style">
      <tableStyleElement dxfId="4" type="headerRow"/>
      <tableStyleElement dxfId="2" type="firstRowStripe"/>
      <tableStyleElement dxfId="5" type="secondRowStripe"/>
    </tableStyle>
    <tableStyle count="3" pivot="0" name="Partner Research Costs-style 2">
      <tableStyleElement dxfId="4" type="headerRow"/>
      <tableStyleElement dxfId="2" type="firstRowStripe"/>
      <tableStyleElement dxfId="5" type="secondRowStripe"/>
    </tableStyle>
    <tableStyle count="3" pivot="0" name="DNA Costs-style">
      <tableStyleElement dxfId="1" type="headerRow"/>
      <tableStyleElement dxfId="2" type="firstRowStripe"/>
      <tableStyleElement dxfId="3" type="secondRowStripe"/>
    </tableStyle>
    <tableStyle count="3" pivot="0" name="DNA Costs-style 2">
      <tableStyleElement dxfId="1" type="headerRow"/>
      <tableStyleElement dxfId="2" type="firstRowStripe"/>
      <tableStyleElement dxfId="3" type="secondRowStripe"/>
    </tableStyle>
    <tableStyle count="3" pivot="0" name="DNA Costs-style 3">
      <tableStyleElement dxfId="1" type="headerRow"/>
      <tableStyleElement dxfId="2" type="firstRowStripe"/>
      <tableStyleElement dxfId="3" type="secondRowStripe"/>
    </tableStyle>
    <tableStyle count="3" pivot="0" name="DNA Costs-style 4">
      <tableStyleElement dxfId="1" type="headerRow"/>
      <tableStyleElement dxfId="2" type="firstRowStripe"/>
      <tableStyleElement dxfId="3" type="secondRowStripe"/>
    </tableStyle>
    <tableStyle count="3" pivot="0" name="DNA Costs-style 5">
      <tableStyleElement dxfId="1" type="headerRow"/>
      <tableStyleElement dxfId="2" type="firstRowStripe"/>
      <tableStyleElement dxfId="3" type="secondRowStripe"/>
    </tableStyle>
    <tableStyle count="3" pivot="0" name="DNA Costs-style 6">
      <tableStyleElement dxfId="1" type="headerRow"/>
      <tableStyleElement dxfId="2" type="firstRowStripe"/>
      <tableStyleElement dxfId="3" type="secondRowStripe"/>
    </tableStyle>
    <tableStyle count="3" pivot="0" name="DNA Costs-style 7">
      <tableStyleElement dxfId="1" type="headerRow"/>
      <tableStyleElement dxfId="2" type="firstRowStripe"/>
      <tableStyleElement dxfId="3" type="secondRowStripe"/>
    </tableStyle>
    <tableStyle count="3" pivot="0" name="DNA Costs-style 8">
      <tableStyleElement dxfId="1" type="headerRow"/>
      <tableStyleElement dxfId="2" type="firstRowStripe"/>
      <tableStyleElement dxfId="3" type="secondRowStripe"/>
    </tableStyle>
    <tableStyle count="3" pivot="0" name="DNA Costs-style 9">
      <tableStyleElement dxfId="1" type="headerRow"/>
      <tableStyleElement dxfId="2" type="firstRowStripe"/>
      <tableStyleElement dxfId="3" type="secondRowStripe"/>
    </tableStyle>
    <tableStyle count="3" pivot="0" name="DNA Costs-style 10">
      <tableStyleElement dxfId="1" type="headerRow"/>
      <tableStyleElement dxfId="2" type="firstRowStripe"/>
      <tableStyleElement dxfId="3" type="secondRowStripe"/>
    </tableStyle>
    <tableStyle count="3" pivot="0" name="DNA Costs-style 11">
      <tableStyleElement dxfId="1" type="headerRow"/>
      <tableStyleElement dxfId="2" type="firstRowStripe"/>
      <tableStyleElement dxfId="3" type="secondRowStripe"/>
    </tableStyle>
    <tableStyle count="3" pivot="0" name="DNA Costs-style 12">
      <tableStyleElement dxfId="1" type="headerRow"/>
      <tableStyleElement dxfId="2" type="firstRowStripe"/>
      <tableStyleElement dxfId="3" type="secondRowStripe"/>
    </tableStyle>
    <tableStyle count="3" pivot="0" name="DNA Costs-style 13">
      <tableStyleElement dxfId="1" type="headerRow"/>
      <tableStyleElement dxfId="2" type="firstRowStripe"/>
      <tableStyleElement dxfId="3" type="secondRowStripe"/>
    </tableStyle>
    <tableStyle count="3" pivot="0" name="DNA Costs-style 14">
      <tableStyleElement dxfId="1" type="headerRow"/>
      <tableStyleElement dxfId="2" type="firstRowStripe"/>
      <tableStyleElement dxfId="3" type="secondRowStripe"/>
    </tableStyle>
    <tableStyle count="3" pivot="0" name="DNA Costs-style 15">
      <tableStyleElement dxfId="1" type="headerRow"/>
      <tableStyleElement dxfId="2" type="firstRowStripe"/>
      <tableStyleElement dxfId="3" type="secondRowStripe"/>
    </tableStyle>
    <tableStyle count="3" pivot="0" name="DNA Costs-style 16">
      <tableStyleElement dxfId="1" type="headerRow"/>
      <tableStyleElement dxfId="2" type="firstRowStripe"/>
      <tableStyleElement dxfId="3" type="secondRowStripe"/>
    </tableStyle>
    <tableStyle count="3" pivot="0" name="DNA Costs-style 17">
      <tableStyleElement dxfId="1" type="headerRow"/>
      <tableStyleElement dxfId="2" type="firstRowStripe"/>
      <tableStyleElement dxfId="3" type="secondRowStripe"/>
    </tableStyle>
    <tableStyle count="3" pivot="0" name="DNA Costs-style 18">
      <tableStyleElement dxfId="1" type="headerRow"/>
      <tableStyleElement dxfId="2" type="firstRowStripe"/>
      <tableStyleElement dxfId="3" type="secondRowStripe"/>
    </tableStyle>
    <tableStyle count="3" pivot="0" name="DNA Costs-style 19">
      <tableStyleElement dxfId="1" type="headerRow"/>
      <tableStyleElement dxfId="2" type="firstRowStripe"/>
      <tableStyleElement dxfId="3" type="secondRowStripe"/>
    </tableStyle>
    <tableStyle count="3" pivot="0" name="DNA Costs-style 20">
      <tableStyleElement dxfId="1" type="headerRow"/>
      <tableStyleElement dxfId="2" type="firstRowStripe"/>
      <tableStyleElement dxfId="3" type="secondRowStripe"/>
    </tableStyle>
    <tableStyle count="3" pivot="0" name="DNA Costs-style 21">
      <tableStyleElement dxfId="1" type="headerRow"/>
      <tableStyleElement dxfId="2" type="firstRowStripe"/>
      <tableStyleElement dxfId="3" type="secondRowStripe"/>
    </tableStyle>
    <tableStyle count="3" pivot="0" name="DNA Costs-style 22">
      <tableStyleElement dxfId="1" type="headerRow"/>
      <tableStyleElement dxfId="2" type="firstRowStripe"/>
      <tableStyleElement dxfId="3" type="secondRowStripe"/>
    </tableStyle>
    <tableStyle count="3" pivot="0" name="DNA Costs-style 23">
      <tableStyleElement dxfId="1" type="headerRow"/>
      <tableStyleElement dxfId="2" type="firstRowStripe"/>
      <tableStyleElement dxfId="3" type="secondRowStripe"/>
    </tableStyle>
    <tableStyle count="3" pivot="0" name="DNA Costs-style 24">
      <tableStyleElement dxfId="1" type="headerRow"/>
      <tableStyleElement dxfId="2" type="firstRowStripe"/>
      <tableStyleElement dxfId="3" type="secondRowStripe"/>
    </tableStyle>
    <tableStyle count="3" pivot="0" name="Dragon DNA Costs-style">
      <tableStyleElement dxfId="24" type="headerRow"/>
      <tableStyleElement dxfId="2" type="firstRowStripe"/>
      <tableStyleElement dxfId="25" type="secondRowStripe"/>
    </tableStyle>
    <tableStyle count="3" pivot="0" name="Dragon DNA Costs-style 2">
      <tableStyleElement dxfId="24" type="headerRow"/>
      <tableStyleElement dxfId="2" type="firstRowStripe"/>
      <tableStyleElement dxfId="25" type="secondRowStripe"/>
    </tableStyle>
    <tableStyle count="3" pivot="0" name="Dragon DNA Costs-style 3">
      <tableStyleElement dxfId="24" type="headerRow"/>
      <tableStyleElement dxfId="2" type="firstRowStripe"/>
      <tableStyleElement dxfId="25" type="secondRowStripe"/>
    </tableStyle>
    <tableStyle count="3" pivot="0" name="Dragon DNA Costs-style 4">
      <tableStyleElement dxfId="24" type="headerRow"/>
      <tableStyleElement dxfId="2" type="firstRowStripe"/>
      <tableStyleElement dxfId="25" type="secondRowStripe"/>
    </tableStyle>
    <tableStyle count="3" pivot="0" name="Dragon DNA Costs-style 5">
      <tableStyleElement dxfId="24" type="headerRow"/>
      <tableStyleElement dxfId="2" type="firstRowStripe"/>
      <tableStyleElement dxfId="25" type="secondRowStripe"/>
    </tableStyle>
    <tableStyle count="3" pivot="0" name="Dragon DNA Costs-style 6">
      <tableStyleElement dxfId="24" type="headerRow"/>
      <tableStyleElement dxfId="2" type="firstRowStripe"/>
      <tableStyleElement dxfId="25" type="secondRowStripe"/>
    </tableStyle>
    <tableStyle count="3" pivot="0" name="Dragon DNA Costs-style 7">
      <tableStyleElement dxfId="24" type="headerRow"/>
      <tableStyleElement dxfId="2" type="firstRowStripe"/>
      <tableStyleElement dxfId="25" type="secondRowStripe"/>
    </tableStyle>
    <tableStyle count="3" pivot="0" name="Dragon DNA Costs-style 8">
      <tableStyleElement dxfId="24" type="headerRow"/>
      <tableStyleElement dxfId="2" type="firstRowStripe"/>
      <tableStyleElement dxfId="25" type="secondRowStripe"/>
    </tableStyle>
    <tableStyle count="3" pivot="0" name="Dragon DNA Costs-style 9">
      <tableStyleElement dxfId="24" type="headerRow"/>
      <tableStyleElement dxfId="2" type="firstRowStripe"/>
      <tableStyleElement dxfId="25" type="secondRowStripe"/>
    </tableStyle>
    <tableStyle count="3" pivot="0" name="Dragon DNA Costs-style 10">
      <tableStyleElement dxfId="24" type="headerRow"/>
      <tableStyleElement dxfId="2" type="firstRowStripe"/>
      <tableStyleElement dxfId="25" type="secondRowStripe"/>
    </tableStyle>
    <tableStyle count="3" pivot="0" name="Dragon DNA Costs-style 11">
      <tableStyleElement dxfId="24" type="headerRow"/>
      <tableStyleElement dxfId="2" type="firstRowStripe"/>
      <tableStyleElement dxfId="25" type="secondRowStripe"/>
    </tableStyle>
    <tableStyle count="3" pivot="0" name="Dragon DNA Costs-style 12">
      <tableStyleElement dxfId="24" type="headerRow"/>
      <tableStyleElement dxfId="2" type="firstRowStripe"/>
      <tableStyleElement dxfId="25" type="secondRowStripe"/>
    </tableStyle>
    <tableStyle count="3" pivot="0" name="Dragon DNA Costs-style 13">
      <tableStyleElement dxfId="24" type="headerRow"/>
      <tableStyleElement dxfId="2" type="firstRowStripe"/>
      <tableStyleElement dxfId="25" type="secondRowStripe"/>
    </tableStyle>
    <tableStyle count="3" pivot="0" name="Dragon DNA Costs-style 14">
      <tableStyleElement dxfId="24" type="headerRow"/>
      <tableStyleElement dxfId="2" type="firstRowStripe"/>
      <tableStyleElement dxfId="25" type="secondRowStripe"/>
    </tableStyle>
    <tableStyle count="3" pivot="0" name="Dragon DNA Costs-style 15">
      <tableStyleElement dxfId="24" type="headerRow"/>
      <tableStyleElement dxfId="2" type="firstRowStripe"/>
      <tableStyleElement dxfId="25" type="secondRowStripe"/>
    </tableStyle>
    <tableStyle count="3" pivot="0" name="Dragon DNA Costs-style 16">
      <tableStyleElement dxfId="24" type="headerRow"/>
      <tableStyleElement dxfId="2" type="firstRowStripe"/>
      <tableStyleElement dxfId="25" type="secondRowStripe"/>
    </tableStyle>
    <tableStyle count="3" pivot="0" name="Dragon DNA Costs-style 17">
      <tableStyleElement dxfId="24" type="headerRow"/>
      <tableStyleElement dxfId="2" type="firstRowStripe"/>
      <tableStyleElement dxfId="25" type="secondRowStripe"/>
    </tableStyle>
    <tableStyle count="3" pivot="0" name="Dragon DNA Costs-style 18">
      <tableStyleElement dxfId="24" type="headerRow"/>
      <tableStyleElement dxfId="2" type="firstRowStripe"/>
      <tableStyleElement dxfId="25" type="secondRowStripe"/>
    </tableStyle>
    <tableStyle count="3" pivot="0" name="Dragon DNA Costs-style 19">
      <tableStyleElement dxfId="24" type="headerRow"/>
      <tableStyleElement dxfId="2" type="firstRowStripe"/>
      <tableStyleElement dxfId="25" type="secondRowStripe"/>
    </tableStyle>
    <tableStyle count="3" pivot="0" name="Dragon DNA Costs-style 20">
      <tableStyleElement dxfId="24" type="headerRow"/>
      <tableStyleElement dxfId="2" type="firstRowStripe"/>
      <tableStyleElement dxfId="25" type="secondRowStripe"/>
    </tableStyle>
    <tableStyle count="3" pivot="0" name="Dragon DNA Costs-style 21">
      <tableStyleElement dxfId="24" type="headerRow"/>
      <tableStyleElement dxfId="2" type="firstRowStripe"/>
      <tableStyleElement dxfId="25" type="secondRowStripe"/>
    </tableStyle>
    <tableStyle count="3" pivot="0" name="Dragon DNA Costs-style 22">
      <tableStyleElement dxfId="24" type="headerRow"/>
      <tableStyleElement dxfId="2" type="firstRowStripe"/>
      <tableStyleElement dxfId="25" type="secondRowStripe"/>
    </tableStyle>
    <tableStyle count="3" pivot="0" name="Dragon DNA Costs-style 23">
      <tableStyleElement dxfId="24" type="headerRow"/>
      <tableStyleElement dxfId="2" type="firstRowStripe"/>
      <tableStyleElement dxfId="25" type="secondRowStripe"/>
    </tableStyle>
    <tableStyle count="3" pivot="0" name="Dragon DNA Costs-style 24">
      <tableStyleElement dxfId="24" type="headerRow"/>
      <tableStyleElement dxfId="2" type="firstRowStripe"/>
      <tableStyleElement dxfId="25" type="secondRowStripe"/>
    </tableStyle>
    <tableStyle count="3" pivot="0" name="Relic Albums-style">
      <tableStyleElement dxfId="22" type="headerRow"/>
      <tableStyleElement dxfId="2" type="firstRowStripe"/>
      <tableStyleElement dxfId="23" type="secondRowStripe"/>
    </tableStyle>
    <tableStyle count="3" pivot="0" name="Relic Albums-style 2">
      <tableStyleElement dxfId="4" type="headerRow"/>
      <tableStyleElement dxfId="2" type="firstRowStripe"/>
      <tableStyleElement dxfId="5" type="secondRowStripe"/>
    </tableStyle>
    <tableStyle count="3" pivot="0" name="Relic Albums-style 3">
      <tableStyleElement dxfId="10" type="headerRow"/>
      <tableStyleElement dxfId="2" type="firstRowStripe"/>
      <tableStyleElement dxfId="11" type="secondRowStripe"/>
    </tableStyle>
    <tableStyle count="3" pivot="0" name="Relic Albums-style 4">
      <tableStyleElement dxfId="1" type="headerRow"/>
      <tableStyleElement dxfId="2" type="firstRowStripe"/>
      <tableStyleElement dxfId="3" type="secondRowStripe"/>
    </tableStyle>
    <tableStyle count="3" pivot="0" name="Relic Albums-style 5">
      <tableStyleElement dxfId="20" type="headerRow"/>
      <tableStyleElement dxfId="2" type="firstRowStripe"/>
      <tableStyleElement dxfId="21" type="secondRowStripe"/>
    </tableStyle>
    <tableStyle count="3" pivot="0" name="Relic Albums-style 6">
      <tableStyleElement dxfId="24" type="headerRow"/>
      <tableStyleElement dxfId="2" type="firstRowStripe"/>
      <tableStyleElement dxfId="25" type="secondRowStripe"/>
    </tableStyle>
    <tableStyle count="3" pivot="0" name="Relic Albums-style 7">
      <tableStyleElement dxfId="12" type="headerRow"/>
      <tableStyleElement dxfId="2" type="firstRowStripe"/>
      <tableStyleElement dxfId="13" type="secondRowStripe"/>
    </tableStyle>
    <tableStyle count="3" pivot="0" name="Lotto2 Expanded Stock-style">
      <tableStyleElement dxfId="4" type="headerRow"/>
      <tableStyleElement dxfId="2" type="firstRowStripe"/>
      <tableStyleElement dxfId="5" type="secondRowStripe"/>
    </tableStyle>
    <tableStyle count="3" pivot="0" name="Lotto2 Expanded Stock-style 2">
      <tableStyleElement dxfId="4" type="headerRow"/>
      <tableStyleElement dxfId="2" type="firstRowStripe"/>
      <tableStyleElement dxfId="5" type="secondRowStripe"/>
    </tableStyle>
    <tableStyle count="2" pivot="0" name="Lotto3 Expanded Stock-style">
      <tableStyleElement dxfId="2" type="firstRowStripe"/>
      <tableStyleElement dxfId="5" type="secondRowStripe"/>
    </tableStyle>
    <tableStyle count="3" pivot="0" name="Useful Awakenings-style">
      <tableStyleElement dxfId="1" type="headerRow"/>
      <tableStyleElement dxfId="2" type="firstRowStripe"/>
      <tableStyleElement dxfId="3" type="secondRowStripe"/>
    </tableStyle>
    <tableStyle count="3" pivot="0" name="Rift Anecdotes-style">
      <tableStyleElement dxfId="4" type="headerRow"/>
      <tableStyleElement dxfId="2" type="firstRowStripe"/>
      <tableStyleElement dxfId="5" type="secondRowStripe"/>
    </tableStyle>
    <tableStyle count="3" pivot="0" name="Rift Anecdotes-style 2">
      <tableStyleElement dxfId="4" type="headerRow"/>
      <tableStyleElement dxfId="2" type="firstRowStripe"/>
      <tableStyleElement dxfId="5" type="secondRowStripe"/>
    </tableStyle>
    <tableStyle count="3" pivot="0" name="Rift Anecdotes-style 3">
      <tableStyleElement dxfId="4" type="headerRow"/>
      <tableStyleElement dxfId="2" type="firstRowStripe"/>
      <tableStyleElement dxfId="5" type="secondRowStripe"/>
    </tableStyle>
    <tableStyle count="3" pivot="0" name="Rift Anecdotes-style 4">
      <tableStyleElement dxfId="4" type="headerRow"/>
      <tableStyleElement dxfId="2" type="firstRowStripe"/>
      <tableStyleElement dxfId="5" type="secondRowStripe"/>
    </tableStyle>
    <tableStyle count="3" pivot="0" name="Rift Anecdotes-style 5">
      <tableStyleElement dxfId="4" type="headerRow"/>
      <tableStyleElement dxfId="2" type="firstRowStripe"/>
      <tableStyleElement dxfId="5" type="secondRowStripe"/>
    </tableStyle>
    <tableStyle count="3" pivot="0" name="Rift Anecdotes-style 6">
      <tableStyleElement dxfId="4" type="headerRow"/>
      <tableStyleElement dxfId="2" type="firstRowStripe"/>
      <tableStyleElement dxfId="5" type="secondRowStripe"/>
    </tableStyle>
    <tableStyle count="3" pivot="0" name="Rift Anecdotes-style 7">
      <tableStyleElement dxfId="4" type="headerRow"/>
      <tableStyleElement dxfId="2" type="firstRowStripe"/>
      <tableStyleElement dxfId="5" type="secondRowStripe"/>
    </tableStyle>
    <tableStyle count="3" pivot="0" name="Rift Anecdotes-style 8">
      <tableStyleElement dxfId="24" type="headerRow"/>
      <tableStyleElement dxfId="2" type="firstRowStripe"/>
      <tableStyleElement dxfId="25" type="secondRowStripe"/>
    </tableStyle>
    <tableStyle count="3" pivot="0" name="Rift Anecdotes-style 9">
      <tableStyleElement dxfId="24" type="headerRow"/>
      <tableStyleElement dxfId="2" type="firstRowStripe"/>
      <tableStyleElement dxfId="25" type="secondRowStripe"/>
    </tableStyle>
    <tableStyle count="3" pivot="0" name="Rift Anecdotes-style 10">
      <tableStyleElement dxfId="18" type="headerRow"/>
      <tableStyleElement dxfId="2" type="firstRowStripe"/>
      <tableStyleElement dxfId="19" type="secondRowStripe"/>
    </tableStyle>
    <tableStyle count="3" pivot="0" name="Rift Anecdotes-style 11">
      <tableStyleElement dxfId="18" type="headerRow"/>
      <tableStyleElement dxfId="2" type="firstRowStripe"/>
      <tableStyleElement dxfId="19" type="secondRowStripe"/>
    </tableStyle>
    <tableStyle count="3" pivot="0" name="Rift Anecdotes-style 12">
      <tableStyleElement dxfId="20" type="headerRow"/>
      <tableStyleElement dxfId="2" type="firstRowStripe"/>
      <tableStyleElement dxfId="21" type="secondRowStripe"/>
    </tableStyle>
    <tableStyle count="3" pivot="0" name="Rift Anecdotes-style 13">
      <tableStyleElement dxfId="20" type="headerRow"/>
      <tableStyleElement dxfId="2" type="firstRowStripe"/>
      <tableStyleElement dxfId="21" type="secondRowStripe"/>
    </tableStyle>
    <tableStyle count="3" pivot="0" name="Rift Anecdotes-style 14">
      <tableStyleElement dxfId="10" type="headerRow"/>
      <tableStyleElement dxfId="2" type="firstRowStripe"/>
      <tableStyleElement dxfId="11" type="secondRowStripe"/>
    </tableStyle>
    <tableStyle count="3" pivot="0" name="Rift Anecdotes-style 15">
      <tableStyleElement dxfId="10" type="headerRow"/>
      <tableStyleElement dxfId="2" type="firstRowStripe"/>
      <tableStyleElement dxfId="11" type="secondRowStripe"/>
    </tableStyle>
    <tableStyle count="3" pivot="0" name="Rift Anecdotes-style 16">
      <tableStyleElement dxfId="12" type="headerRow"/>
      <tableStyleElement dxfId="2" type="firstRowStripe"/>
      <tableStyleElement dxfId="13" type="secondRowStripe"/>
    </tableStyle>
    <tableStyle count="3" pivot="0" name="Rift Anecdotes-style 17">
      <tableStyleElement dxfId="12" type="headerRow"/>
      <tableStyleElement dxfId="2" type="firstRowStripe"/>
      <tableStyleElement dxfId="13" type="secondRowStripe"/>
    </tableStyle>
    <tableStyle count="3" pivot="0" name="Rift Anecdotes-style 18">
      <tableStyleElement dxfId="6" type="headerRow"/>
      <tableStyleElement dxfId="2" type="firstRowStripe"/>
      <tableStyleElement dxfId="7" type="secondRowStripe"/>
    </tableStyle>
    <tableStyle count="3" pivot="0" name="Rift Anecdotes-style 19">
      <tableStyleElement dxfId="6" type="headerRow"/>
      <tableStyleElement dxfId="2" type="firstRowStripe"/>
      <tableStyleElement dxfId="7" type="secondRowStripe"/>
    </tableStyle>
    <tableStyle count="3" pivot="0" name="Rift Anecdotes-style 20">
      <tableStyleElement dxfId="22" type="headerRow"/>
      <tableStyleElement dxfId="2" type="firstRowStripe"/>
      <tableStyleElement dxfId="23" type="secondRowStripe"/>
    </tableStyle>
    <tableStyle count="3" pivot="0" name="Rift Anecdotes-style 21">
      <tableStyleElement dxfId="22" type="headerRow"/>
      <tableStyleElement dxfId="2" type="firstRowStripe"/>
      <tableStyleElement dxfId="23" type="secondRowStripe"/>
    </tableStyle>
    <tableStyle count="3" pivot="0" name="Protomon-style">
      <tableStyleElement dxfId="4" type="headerRow"/>
      <tableStyleElement dxfId="2" type="firstRowStripe"/>
      <tableStyleElement dxfId="5" type="secondRowStripe"/>
    </tableStyle>
    <tableStyle count="3" pivot="0" name="Protomon-style 2">
      <tableStyleElement dxfId="4" type="headerRow"/>
      <tableStyleElement dxfId="2" type="firstRowStripe"/>
      <tableStyleElement dxfId="5" type="secondRowStripe"/>
    </tableStyle>
    <tableStyle count="3" pivot="0" name="Protomon-style 3">
      <tableStyleElement dxfId="4" type="headerRow"/>
      <tableStyleElement dxfId="2" type="firstRowStripe"/>
      <tableStyleElement dxfId="5" type="secondRowStripe"/>
    </tableStyle>
    <tableStyle count="3" pivot="0" name="Protomon-style 4">
      <tableStyleElement dxfId="4" type="headerRow"/>
      <tableStyleElement dxfId="2" type="firstRowStripe"/>
      <tableStyleElement dxfId="5" type="secondRowStripe"/>
    </tableStyle>
    <tableStyle count="3" pivot="0" name="Protomon-style 5">
      <tableStyleElement dxfId="4" type="headerRow"/>
      <tableStyleElement dxfId="2" type="firstRowStripe"/>
      <tableStyleElement dxfId="5" type="secondRowStripe"/>
    </tableStyle>
    <tableStyle count="3" pivot="0" name="Protomon-style 6">
      <tableStyleElement dxfId="4" type="headerRow"/>
      <tableStyleElement dxfId="2" type="firstRowStripe"/>
      <tableStyleElement dxfId="5" type="secondRowStripe"/>
    </tableStyle>
    <tableStyle count="3" pivot="0" name="Hitmen-style">
      <tableStyleElement dxfId="4" type="headerRow"/>
      <tableStyleElement dxfId="2" type="firstRowStripe"/>
      <tableStyleElement dxfId="5" type="secondRowStripe"/>
    </tableStyle>
    <tableStyle count="3" pivot="0" name="Hitmen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able_1" name="Table_1" id="1">
  <tableColumns count="6">
    <tableColumn name="Name" id="1"/>
    <tableColumn name="Rarity" id="2"/>
    <tableColumn name="Type" id="3"/>
    <tableColumn name="Base Soul Speed" id="4"/>
    <tableColumn name="Awakened Bonus" id="5"/>
    <tableColumn name="Source" id="6"/>
  </tableColumns>
  <tableStyleInfo name="Offering Speed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F13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ffering Spee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F16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ffering Speed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7:F19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ffering Speed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0:F21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ffering Speed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3:F37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ffering Speed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0:B40" displayName="Table_7" name="Table_7" id="7">
  <tableColumns count="2">
    <tableColumn name="Column1" id="1"/>
    <tableColumn name="Column2" id="2"/>
  </tableColumns>
  <tableStyleInfo name="Offering Speed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42:C49" displayName="Table_8" name="Table_8" id="8">
  <tableColumns count="3">
    <tableColumn name="Column1" id="1"/>
    <tableColumn name="Column2" id="2"/>
    <tableColumn name="Column3" id="3"/>
  </tableColumns>
  <tableStyleInfo name="Offering Speed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G10" displayName="Table_9" name="Table_9" id="9">
  <tableColumns count="7">
    <tableColumn name="Name" id="1"/>
    <tableColumn name="Rarity" id="2"/>
    <tableColumn name="Type" id="3"/>
    <tableColumn name="Base Travel Speed" id="4"/>
    <tableColumn name="Awakened Bonus" id="5"/>
    <tableColumn name="Stamp Bonus" id="6"/>
    <tableColumn name="Source" id="7"/>
  </tableColumns>
  <tableStyleInfo name="Travel Speed-style" showColumnStripes="0" showFirstColumn="1" showLastColumn="1" showRowStripes="1"/>
</table>
</file>

<file path=xl/tables/table10.xml><?xml version="1.0" encoding="utf-8"?>
<table xmlns="http://schemas.openxmlformats.org/spreadsheetml/2006/main" headerRowCount="0" ref="A12:G14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5:G17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9:G21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2:G25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26:G28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29:G31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32:G34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35:G37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40:G61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64:B66" displayName="Table_19" name="Table_19" id="19">
  <tableColumns count="2">
    <tableColumn name="Column1" id="1"/>
    <tableColumn name="Column2" id="2"/>
  </tableColumns>
  <tableStyleInfo name="Travel Speed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69:G73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75:G79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81:G86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88:G93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95:G100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102:G107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ravel Speed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ref="A1:L6" displayName="Table_26" name="Table_26" id="26">
  <tableColumns count="12">
    <tableColumn name="Name" id="1"/>
    <tableColumn name="Rarity" id="2"/>
    <tableColumn name="Type" id="3"/>
    <tableColumn name="Research Speed" id="4"/>
    <tableColumn name="Awakening Research Speed" id="5"/>
    <tableColumn name="Cells Cost" id="6"/>
    <tableColumn name="Awakening Cells Cost" id="7"/>
    <tableColumn name="Btad Cost" id="8"/>
    <tableColumn name="Awakening Btad Cost" id="9"/>
    <tableColumn name="Free Speedup (min)" id="10"/>
    <tableColumn name="Awakening Free Speedup" id="11"/>
    <tableColumn name="Source" id="12"/>
  </tableColumns>
  <tableStyleInfo name="Gene Research-style" showColumnStripes="0" showFirstColumn="1" showLastColumn="1" showRowStripes="1"/>
</table>
</file>

<file path=xl/tables/table27.xml><?xml version="1.0" encoding="utf-8"?>
<table xmlns="http://schemas.openxmlformats.org/spreadsheetml/2006/main" headerRowCount="0" ref="A8:L10" displayName="Table_27" name="Table_27" id="2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11:L15" displayName="Table_28" name="Table_28" id="2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16:L20" displayName="Table_29" name="Table_29" id="2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21:L27" displayName="Table_30" name="Table_30" id="3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28:L30" displayName="Table_31" name="Table_31" id="3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31:L33" displayName="Table_32" name="Table_32" id="3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34:L35" displayName="Table_33" name="Table_33" id="3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37:L54" displayName="Table_34" name="Table_34" id="3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56:B59" displayName="Table_35" name="Table_35" id="35">
  <tableColumns count="2">
    <tableColumn name="Column1" id="1"/>
    <tableColumn name="Column2" id="2"/>
  </tableColumns>
  <tableStyleInfo name="Gene Research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64:L73" displayName="Table_36" name="Table_36" id="3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75:L77" displayName="Table_37" name="Table_37" id="3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78:L102" displayName="Table_38" name="Table_38" id="3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105:L113" displayName="Table_39" name="Table_39" id="3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115:L138" displayName="Table_40" name="Table_40" id="4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141:L150" displayName="Table_41" name="Table_41" id="4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152:L154" displayName="Table_42" name="Table_42" id="4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155:L178" displayName="Table_43" name="Table_43" id="4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181:L190" displayName="Table_44" name="Table_44" id="4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192:L194" displayName="Table_45" name="Table_45" id="4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195:L217" displayName="Table_46" name="Table_46" id="4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220:L228" displayName="Table_47" name="Table_47" id="4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230:L232" displayName="Table_48" name="Table_48" id="4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233:L255" displayName="Table_49" name="Table_49" id="4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258:L264" displayName="Table_50" name="Table_50" id="5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266:L285" displayName="Table_51" name="Table_51" id="5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Gene Research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290:G294" displayName="Table_52" name="Table_52" id="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e Research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ref="A1:N14" displayName="Table_53" name="Table_53" id="53">
  <tableColumns count="14">
    <tableColumn name="Name" id="1"/>
    <tableColumn name="Rarity" id="2"/>
    <tableColumn name="Type" id="3"/>
    <tableColumn name="Zombie Cells" id="4"/>
    <tableColumn name="Zombie Cells (Awakened)" id="5"/>
    <tableColumn name="Demon Cells" id="6"/>
    <tableColumn name="Demon Cells (Awakened)" id="7"/>
    <tableColumn name="Angel Cells" id="8"/>
    <tableColumn name="Angel Cells (Awakened)" id="9"/>
    <tableColumn name="Mutant Cells" id="10"/>
    <tableColumn name="Mutant Cells (Awakened)" id="11"/>
    <tableColumn name="Mecha Cells" id="12"/>
    <tableColumn name="Mecha Cells (Awakened)" id="13"/>
    <tableColumn name="Source" id="14"/>
  </tableColumns>
  <tableStyleInfo name="Cells Gained-style" showColumnStripes="0" showFirstColumn="1" showLastColumn="1" showRowStripes="1"/>
</table>
</file>

<file path=xl/tables/table54.xml><?xml version="1.0" encoding="utf-8"?>
<table xmlns="http://schemas.openxmlformats.org/spreadsheetml/2006/main" headerRowCount="0" ref="A16:N22" displayName="Table_54" name="Table_54" id="5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24:N31" displayName="Table_55" name="Table_55" id="5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33:N54" displayName="Table_56" name="Table_56" id="5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A56:F57" displayName="Table_57" name="Table_57" id="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ells Gained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A61:N64" displayName="Table_58" name="Table_58" id="5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66:N67" displayName="Table_59" name="Table_59" id="5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A70:N73" displayName="Table_60" name="Table_60" id="6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75:N76" displayName="Table_61" name="Table_61" id="6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A79:N82" displayName="Table_62" name="Table_62" id="6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84:N85" displayName="Table_63" name="Table_63" id="6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88:N91" displayName="Table_64" name="Table_64" id="6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A93:N94" displayName="Table_65" name="Table_65" id="6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A97:N100" displayName="Table_66" name="Table_66" id="6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A102:N103" displayName="Table_67" name="Table_67" id="6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A106:N108" displayName="Table_68" name="Table_68" id="6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ells Gained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headerRowCount="0" ref="A111:F117" displayName="Table_69" name="Table_69" id="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ells Gained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0.xml><?xml version="1.0" encoding="utf-8"?>
<table xmlns="http://schemas.openxmlformats.org/spreadsheetml/2006/main" headerRowCount="0" ref="A1:L28" displayName="Table_70" name="Table_70" id="7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headerRowCount="0" ref="A31:H48" displayName="Table_71" name="Table_71" id="7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A62:L99" displayName="Table_72" name="Table_72" id="7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A102:H119" displayName="Table_73" name="Table_73" id="7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A129:L165" displayName="Table_74" name="Table_74" id="7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A171:H188" displayName="Table_75" name="Table_75" id="7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headerRowCount="0" ref="A192:L240" displayName="Table_76" name="Table_76" id="7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A244:H261" displayName="Table_77" name="Table_77" id="7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headerRowCount="0" ref="A265:L309" displayName="Table_78" name="Table_78" id="7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A312:H329" displayName="Table_79" name="Table_79" id="7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A334:L367" displayName="Table_80" name="Table_80" id="8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A370:H387" displayName="Table_81" name="Table_81" id="8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headerRowCount="0" ref="A392:L425" displayName="Table_82" name="Table_82" id="8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headerRowCount="0" ref="A430:H447" displayName="Table_83" name="Table_83" id="8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A451:L483" displayName="Table_84" name="Table_84" id="8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useum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A488:H505" displayName="Table_85" name="Table_85" id="8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useum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A1:F1" displayName="Table_86" name="Table_86" id="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headerRowCount="0" ref="A4:F13" displayName="Table_87" name="Table_87" id="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headerRowCount="0" ref="A16:F23" displayName="Table_88" name="Table_88" id="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headerRowCount="0" ref="A26:F33" displayName="Table_89" name="Table_89" id="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A36:F39" displayName="Table_90" name="Table_90" id="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A42:F45" displayName="Table_91" name="Table_91" id="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headerRowCount="0" ref="A48:F56" displayName="Table_92" name="Table_92" id="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headerRowCount="0" ref="A59:F67" displayName="Table_93" name="Table_93" id="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headerRowCount="0" ref="A70:F73" displayName="Table_94" name="Table_94" id="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headerRowCount="0" ref="A76:F79" displayName="Table_95" name="Table_95" id="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headerRowCount="0" ref="A82:B90" displayName="Table_96" name="Table_96" id="96">
  <tableColumns count="2">
    <tableColumn name="Column1" id="1"/>
    <tableColumn name="Column2" id="2"/>
  </tableColumns>
  <tableStyleInfo name="Rocket Cabin Effect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headerRowCount="0" ref="A96:F104" displayName="Table_97" name="Table_97" id="9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headerRowCount="0" ref="A107:F114" displayName="Table_98" name="Table_98" id="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headerRowCount="0" ref="A117:F124" displayName="Table_99" name="Table_99" id="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0.xml><?xml version="1.0" encoding="utf-8"?>
<table xmlns="http://schemas.openxmlformats.org/spreadsheetml/2006/main" headerRowCount="0" ref="A127:F130" displayName="Table_100" name="Table_100" id="1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headerRowCount="0" ref="A133:F136" displayName="Table_101" name="Table_101" id="1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2.xml><?xml version="1.0" encoding="utf-8"?>
<table xmlns="http://schemas.openxmlformats.org/spreadsheetml/2006/main" headerRowCount="0" ref="A139:F147" displayName="Table_102" name="Table_102" id="1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headerRowCount="0" ref="A150:F158" displayName="Table_103" name="Table_103" id="10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A161:F164" displayName="Table_104" name="Table_104" id="1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A167:F170" displayName="Table_105" name="Table_105" id="1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A173:B181" displayName="Table_106" name="Table_106" id="106">
  <tableColumns count="2">
    <tableColumn name="Column1" id="1"/>
    <tableColumn name="Column2" id="2"/>
  </tableColumns>
  <tableStyleInfo name="Rocket Cabin Effects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headerRowCount="0" ref="A187:F196" displayName="Table_107" name="Table_107" id="10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headerRowCount="0" ref="A199:F202" displayName="Table_108" name="Table_108" id="1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headerRowCount="0" ref="A205:F212" displayName="Table_109" name="Table_109" id="10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0.xml><?xml version="1.0" encoding="utf-8"?>
<table xmlns="http://schemas.openxmlformats.org/spreadsheetml/2006/main" headerRowCount="0" ref="A215:F222" displayName="Table_110" name="Table_110" id="1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1.xml><?xml version="1.0" encoding="utf-8"?>
<table xmlns="http://schemas.openxmlformats.org/spreadsheetml/2006/main" headerRowCount="0" ref="A225:F228" displayName="Table_111" name="Table_111" id="1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headerRowCount="0" ref="A231:F239" displayName="Table_112" name="Table_112" id="1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3.xml><?xml version="1.0" encoding="utf-8"?>
<table xmlns="http://schemas.openxmlformats.org/spreadsheetml/2006/main" headerRowCount="0" ref="A242:F250" displayName="Table_113" name="Table_113" id="1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headerRowCount="0" ref="A253:F256" displayName="Table_114" name="Table_114" id="1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5.xml><?xml version="1.0" encoding="utf-8"?>
<table xmlns="http://schemas.openxmlformats.org/spreadsheetml/2006/main" headerRowCount="0" ref="A259:F262" displayName="Table_115" name="Table_115" id="1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cket Cabin Effects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headerRowCount="0" ref="A265:B273" displayName="Table_116" name="Table_116" id="116">
  <tableColumns count="2">
    <tableColumn name="Column1" id="1"/>
    <tableColumn name="Column2" id="2"/>
  </tableColumns>
  <tableStyleInfo name="Rocket Cabin Effects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ref="A2:J37" displayName="Table_117" name="Table_117" id="117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" showColumnStripes="0" showFirstColumn="1" showLastColumn="1" showRowStripes="1"/>
</table>
</file>

<file path=xl/tables/table118.xml><?xml version="1.0" encoding="utf-8"?>
<table xmlns="http://schemas.openxmlformats.org/spreadsheetml/2006/main" headerRowCount="0" ref="N2:X10" displayName="Table_118" name="Table_118" id="1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nion Boos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ref="A40:J91" displayName="Table_119" name="Table_119" id="119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" showColumnStripes="0" showFirstColumn="1" showLastColumn="1" showRowStripes="1"/>
</table>
</file>

<file path=xl/tables/table120.xml><?xml version="1.0" encoding="utf-8"?>
<table xmlns="http://schemas.openxmlformats.org/spreadsheetml/2006/main" ref="A94:J131" displayName="Table_120" name="Table_120" id="120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4" showColumnStripes="0" showFirstColumn="1" showLastColumn="1" showRowStripes="1"/>
</table>
</file>

<file path=xl/tables/table121.xml><?xml version="1.0" encoding="utf-8"?>
<table xmlns="http://schemas.openxmlformats.org/spreadsheetml/2006/main" ref="A134:J167" displayName="Table_121" name="Table_121" id="121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5" showColumnStripes="0" showFirstColumn="1" showLastColumn="1" showRowStripes="1"/>
</table>
</file>

<file path=xl/tables/table122.xml><?xml version="1.0" encoding="utf-8"?>
<table xmlns="http://schemas.openxmlformats.org/spreadsheetml/2006/main" ref="A170:J201" displayName="Table_122" name="Table_122" id="122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6" showColumnStripes="0" showFirstColumn="1" showLastColumn="1" showRowStripes="1"/>
</table>
</file>

<file path=xl/tables/table123.xml><?xml version="1.0" encoding="utf-8"?>
<table xmlns="http://schemas.openxmlformats.org/spreadsheetml/2006/main" ref="A207:J227" displayName="Table_123" name="Table_123" id="123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7" showColumnStripes="0" showFirstColumn="1" showLastColumn="1" showRowStripes="1"/>
</table>
</file>

<file path=xl/tables/table124.xml><?xml version="1.0" encoding="utf-8"?>
<table xmlns="http://schemas.openxmlformats.org/spreadsheetml/2006/main" ref="A230:J254" displayName="Table_124" name="Table_124" id="124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8" showColumnStripes="0" showFirstColumn="1" showLastColumn="1" showRowStripes="1"/>
</table>
</file>

<file path=xl/tables/table125.xml><?xml version="1.0" encoding="utf-8"?>
<table xmlns="http://schemas.openxmlformats.org/spreadsheetml/2006/main" ref="A257:J275" displayName="Table_125" name="Table_125" id="125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9" showColumnStripes="0" showFirstColumn="1" showLastColumn="1" showRowStripes="1"/>
</table>
</file>

<file path=xl/tables/table126.xml><?xml version="1.0" encoding="utf-8"?>
<table xmlns="http://schemas.openxmlformats.org/spreadsheetml/2006/main" ref="A278:J294" displayName="Table_126" name="Table_126" id="126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0" showColumnStripes="0" showFirstColumn="1" showLastColumn="1" showRowStripes="1"/>
</table>
</file>

<file path=xl/tables/table127.xml><?xml version="1.0" encoding="utf-8"?>
<table xmlns="http://schemas.openxmlformats.org/spreadsheetml/2006/main" ref="A297:J308" displayName="Table_127" name="Table_127" id="127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1" showColumnStripes="0" showFirstColumn="1" showLastColumn="1" showRowStripes="1"/>
</table>
</file>

<file path=xl/tables/table128.xml><?xml version="1.0" encoding="utf-8"?>
<table xmlns="http://schemas.openxmlformats.org/spreadsheetml/2006/main" ref="A314:J332" displayName="Table_128" name="Table_128" id="128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2" showColumnStripes="0" showFirstColumn="1" showLastColumn="1" showRowStripes="1"/>
</table>
</file>

<file path=xl/tables/table129.xml><?xml version="1.0" encoding="utf-8"?>
<table xmlns="http://schemas.openxmlformats.org/spreadsheetml/2006/main" ref="A335:J358" displayName="Table_129" name="Table_129" id="129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3" showColumnStripes="0" showFirstColumn="1" showLastColumn="1" showRowStripes="1"/>
</table>
</file>

<file path=xl/tables/table130.xml><?xml version="1.0" encoding="utf-8"?>
<table xmlns="http://schemas.openxmlformats.org/spreadsheetml/2006/main" ref="A361:J380" displayName="Table_130" name="Table_130" id="130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4" showColumnStripes="0" showFirstColumn="1" showLastColumn="1" showRowStripes="1"/>
</table>
</file>

<file path=xl/tables/table131.xml><?xml version="1.0" encoding="utf-8"?>
<table xmlns="http://schemas.openxmlformats.org/spreadsheetml/2006/main" ref="A383:J399" displayName="Table_131" name="Table_131" id="131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5" showColumnStripes="0" showFirstColumn="1" showLastColumn="1" showRowStripes="1"/>
</table>
</file>

<file path=xl/tables/table132.xml><?xml version="1.0" encoding="utf-8"?>
<table xmlns="http://schemas.openxmlformats.org/spreadsheetml/2006/main" ref="A402:J414" displayName="Table_132" name="Table_132" id="132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6" showColumnStripes="0" showFirstColumn="1" showLastColumn="1" showRowStripes="1"/>
</table>
</file>

<file path=xl/tables/table133.xml><?xml version="1.0" encoding="utf-8"?>
<table xmlns="http://schemas.openxmlformats.org/spreadsheetml/2006/main" ref="A420:J439" displayName="Table_133" name="Table_133" id="133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7" showColumnStripes="0" showFirstColumn="1" showLastColumn="1" showRowStripes="1"/>
</table>
</file>

<file path=xl/tables/table134.xml><?xml version="1.0" encoding="utf-8"?>
<table xmlns="http://schemas.openxmlformats.org/spreadsheetml/2006/main" ref="A442:J467" displayName="Table_134" name="Table_134" id="134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8" showColumnStripes="0" showFirstColumn="1" showLastColumn="1" showRowStripes="1"/>
</table>
</file>

<file path=xl/tables/table135.xml><?xml version="1.0" encoding="utf-8"?>
<table xmlns="http://schemas.openxmlformats.org/spreadsheetml/2006/main" ref="A470:J487" displayName="Table_135" name="Table_135" id="135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19" showColumnStripes="0" showFirstColumn="1" showLastColumn="1" showRowStripes="1"/>
</table>
</file>

<file path=xl/tables/table136.xml><?xml version="1.0" encoding="utf-8"?>
<table xmlns="http://schemas.openxmlformats.org/spreadsheetml/2006/main" ref="A490:J507" displayName="Table_136" name="Table_136" id="136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0" showColumnStripes="0" showFirstColumn="1" showLastColumn="1" showRowStripes="1"/>
</table>
</file>

<file path=xl/tables/table137.xml><?xml version="1.0" encoding="utf-8"?>
<table xmlns="http://schemas.openxmlformats.org/spreadsheetml/2006/main" ref="A510:J522" displayName="Table_137" name="Table_137" id="137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1" showColumnStripes="0" showFirstColumn="1" showLastColumn="1" showRowStripes="1"/>
</table>
</file>

<file path=xl/tables/table138.xml><?xml version="1.0" encoding="utf-8"?>
<table xmlns="http://schemas.openxmlformats.org/spreadsheetml/2006/main" ref="A528:J546" displayName="Table_138" name="Table_138" id="138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2" showColumnStripes="0" showFirstColumn="1" showLastColumn="1" showRowStripes="1"/>
</table>
</file>

<file path=xl/tables/table139.xml><?xml version="1.0" encoding="utf-8"?>
<table xmlns="http://schemas.openxmlformats.org/spreadsheetml/2006/main" ref="A549:J572" displayName="Table_139" name="Table_139" id="139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3" showColumnStripes="0" showFirstColumn="1" showLastColumn="1" showRowStripes="1"/>
</table>
</file>

<file path=xl/tables/table140.xml><?xml version="1.0" encoding="utf-8"?>
<table xmlns="http://schemas.openxmlformats.org/spreadsheetml/2006/main" ref="A575:J590" displayName="Table_140" name="Table_140" id="140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4" showColumnStripes="0" showFirstColumn="1" showLastColumn="1" showRowStripes="1"/>
</table>
</file>

<file path=xl/tables/table141.xml><?xml version="1.0" encoding="utf-8"?>
<table xmlns="http://schemas.openxmlformats.org/spreadsheetml/2006/main" ref="A593:J610" displayName="Table_141" name="Table_141" id="141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5" showColumnStripes="0" showFirstColumn="1" showLastColumn="1" showRowStripes="1"/>
</table>
</file>

<file path=xl/tables/table142.xml><?xml version="1.0" encoding="utf-8"?>
<table xmlns="http://schemas.openxmlformats.org/spreadsheetml/2006/main" ref="A613:J624" displayName="Table_142" name="Table_142" id="142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6" showColumnStripes="0" showFirstColumn="1" showLastColumn="1" showRowStripes="1"/>
</table>
</file>

<file path=xl/tables/table143.xml><?xml version="1.0" encoding="utf-8"?>
<table xmlns="http://schemas.openxmlformats.org/spreadsheetml/2006/main" ref="A630:J649" displayName="Table_143" name="Table_143" id="143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7" showColumnStripes="0" showFirstColumn="1" showLastColumn="1" showRowStripes="1"/>
</table>
</file>

<file path=xl/tables/table144.xml><?xml version="1.0" encoding="utf-8"?>
<table xmlns="http://schemas.openxmlformats.org/spreadsheetml/2006/main" ref="A652:J675" displayName="Table_144" name="Table_144" id="144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8" showColumnStripes="0" showFirstColumn="1" showLastColumn="1" showRowStripes="1"/>
</table>
</file>

<file path=xl/tables/table145.xml><?xml version="1.0" encoding="utf-8"?>
<table xmlns="http://schemas.openxmlformats.org/spreadsheetml/2006/main" ref="A678:J697" displayName="Table_145" name="Table_145" id="145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29" showColumnStripes="0" showFirstColumn="1" showLastColumn="1" showRowStripes="1"/>
</table>
</file>

<file path=xl/tables/table146.xml><?xml version="1.0" encoding="utf-8"?>
<table xmlns="http://schemas.openxmlformats.org/spreadsheetml/2006/main" ref="A700:J715" displayName="Table_146" name="Table_146" id="146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0" showColumnStripes="0" showFirstColumn="1" showLastColumn="1" showRowStripes="1"/>
</table>
</file>

<file path=xl/tables/table147.xml><?xml version="1.0" encoding="utf-8"?>
<table xmlns="http://schemas.openxmlformats.org/spreadsheetml/2006/main" ref="A718:J733" displayName="Table_147" name="Table_147" id="147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1" showColumnStripes="0" showFirstColumn="1" showLastColumn="1" showRowStripes="1"/>
</table>
</file>

<file path=xl/tables/table148.xml><?xml version="1.0" encoding="utf-8"?>
<table xmlns="http://schemas.openxmlformats.org/spreadsheetml/2006/main" ref="A739:J762" displayName="Table_148" name="Table_148" id="148">
  <tableColumns count="10">
    <tableColumn name="HP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2" showColumnStripes="0" showFirstColumn="1" showLastColumn="1" showRowStripes="1"/>
</table>
</file>

<file path=xl/tables/table149.xml><?xml version="1.0" encoding="utf-8"?>
<table xmlns="http://schemas.openxmlformats.org/spreadsheetml/2006/main" ref="A765:J792" displayName="Table_149" name="Table_149" id="149">
  <tableColumns count="10">
    <tableColumn name="ATK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3" showColumnStripes="0" showFirstColumn="1" showLastColumn="1" showRowStripes="1"/>
</table>
</file>

<file path=xl/tables/table150.xml><?xml version="1.0" encoding="utf-8"?>
<table xmlns="http://schemas.openxmlformats.org/spreadsheetml/2006/main" ref="A795:J819" displayName="Table_150" name="Table_150" id="150">
  <tableColumns count="10">
    <tableColumn name="RUSH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4" showColumnStripes="0" showFirstColumn="1" showLastColumn="1" showRowStripes="1"/>
</table>
</file>

<file path=xl/tables/table151.xml><?xml version="1.0" encoding="utf-8"?>
<table xmlns="http://schemas.openxmlformats.org/spreadsheetml/2006/main" ref="A822:J842" displayName="Table_151" name="Table_151" id="151">
  <tableColumns count="10">
    <tableColumn name="DEF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5" showColumnStripes="0" showFirstColumn="1" showLastColumn="1" showRowStripes="1"/>
</table>
</file>

<file path=xl/tables/table152.xml><?xml version="1.0" encoding="utf-8"?>
<table xmlns="http://schemas.openxmlformats.org/spreadsheetml/2006/main" ref="A845:J867" displayName="Table_152" name="Table_152" id="152">
  <tableColumns count="10">
    <tableColumn name="HARD" id="1"/>
    <tableColumn name="Rarity" id="2"/>
    <tableColumn name="Type" id="3"/>
    <tableColumn name="Base" id="4"/>
    <tableColumn name="Awakening Base" id="5"/>
    <tableColumn name="Percentage" id="6"/>
    <tableColumn name="Awakening Percentage" id="7"/>
    <tableColumn name="Per Minion" id="8"/>
    <tableColumn name="Per Minion Boost" id="9"/>
    <tableColumn name="Source" id="10"/>
  </tableColumns>
  <tableStyleInfo name="Minion Boosts-style 36" showColumnStripes="0" showFirstColumn="1" showLastColumn="1" showRowStripes="1"/>
</table>
</file>

<file path=xl/tables/table153.xml><?xml version="1.0" encoding="utf-8"?>
<table xmlns="http://schemas.openxmlformats.org/spreadsheetml/2006/main" headerRowCount="0" ref="A1:F3" displayName="Table_153" name="Table_153" id="1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4.xml><?xml version="1.0" encoding="utf-8"?>
<table xmlns="http://schemas.openxmlformats.org/spreadsheetml/2006/main" headerRowCount="0" ref="A6:F76" displayName="Table_154" name="Table_154" id="15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5.xml><?xml version="1.0" encoding="utf-8"?>
<table xmlns="http://schemas.openxmlformats.org/spreadsheetml/2006/main" headerRowCount="0" ref="A78:F79" displayName="Table_155" name="Table_155" id="1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6.xml><?xml version="1.0" encoding="utf-8"?>
<table xmlns="http://schemas.openxmlformats.org/spreadsheetml/2006/main" headerRowCount="0" ref="A81:F150" displayName="Table_156" name="Table_156" id="1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7.xml><?xml version="1.0" encoding="utf-8"?>
<table xmlns="http://schemas.openxmlformats.org/spreadsheetml/2006/main" headerRowCount="0" ref="A153:F172" displayName="Table_157" name="Table_157" id="1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8.xml><?xml version="1.0" encoding="utf-8"?>
<table xmlns="http://schemas.openxmlformats.org/spreadsheetml/2006/main" headerRowCount="0" ref="A175:G183" displayName="Table_158" name="Table_158" id="1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eadership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9.xml><?xml version="1.0" encoding="utf-8"?>
<table xmlns="http://schemas.openxmlformats.org/spreadsheetml/2006/main" headerRowCount="0" ref="A186:F205" displayName="Table_159" name="Table_159" id="1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0.xml><?xml version="1.0" encoding="utf-8"?>
<table xmlns="http://schemas.openxmlformats.org/spreadsheetml/2006/main" headerRowCount="0" ref="A208:F223" displayName="Table_160" name="Table_160" id="1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1.xml><?xml version="1.0" encoding="utf-8"?>
<table xmlns="http://schemas.openxmlformats.org/spreadsheetml/2006/main" headerRowCount="0" ref="A226:F229" displayName="Table_161" name="Table_161" id="1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2.xml><?xml version="1.0" encoding="utf-8"?>
<table xmlns="http://schemas.openxmlformats.org/spreadsheetml/2006/main" headerRowCount="0" ref="A232:F244" displayName="Table_162" name="Table_162" id="1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3.xml><?xml version="1.0" encoding="utf-8"?>
<table xmlns="http://schemas.openxmlformats.org/spreadsheetml/2006/main" headerRowCount="0" ref="A247:F253" displayName="Table_163" name="Table_163" id="1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4.xml><?xml version="1.0" encoding="utf-8"?>
<table xmlns="http://schemas.openxmlformats.org/spreadsheetml/2006/main" headerRowCount="0" ref="A256:F458" displayName="Table_164" name="Table_164" id="1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ership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5.xml><?xml version="1.0" encoding="utf-8"?>
<table xmlns="http://schemas.openxmlformats.org/spreadsheetml/2006/main" headerRowCount="0" ref="A461:B461" displayName="Table_165" name="Table_165" id="165">
  <tableColumns count="2">
    <tableColumn name="Column1" id="1"/>
    <tableColumn name="Column2" id="2"/>
  </tableColumns>
  <tableStyleInfo name="Leadership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6.xml><?xml version="1.0" encoding="utf-8"?>
<table xmlns="http://schemas.openxmlformats.org/spreadsheetml/2006/main" ref="A1:K16" displayName="Table_166" name="Table_166" id="166">
  <tableColumns count="11">
    <tableColumn name="Name" id="1"/>
    <tableColumn name="Rarity" id="2"/>
    <tableColumn name="Type" id="3"/>
    <tableColumn name="Base Output" id="4"/>
    <tableColumn name="Awakening Output" id="5"/>
    <tableColumn name="Base Cap" id="6"/>
    <tableColumn name="Awakening Cap" id="7"/>
    <tableColumn name="W-tad Generation" id="8"/>
    <tableColumn name="Awakening W-tad Gen" id="9"/>
    <tableColumn name="AFFECT Boost" id="10"/>
    <tableColumn name="Source" id="11"/>
  </tableColumns>
  <tableStyleInfo name="Tadpole Pond-style" showColumnStripes="0" showFirstColumn="1" showLastColumn="1" showRowStripes="1"/>
</table>
</file>

<file path=xl/tables/table167.xml><?xml version="1.0" encoding="utf-8"?>
<table xmlns="http://schemas.openxmlformats.org/spreadsheetml/2006/main" headerRowCount="0" ref="A18:K20" displayName="Table_167" name="Table_167" id="16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8.xml><?xml version="1.0" encoding="utf-8"?>
<table xmlns="http://schemas.openxmlformats.org/spreadsheetml/2006/main" headerRowCount="0" ref="A21:K25" displayName="Table_168" name="Table_168" id="16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9.xml><?xml version="1.0" encoding="utf-8"?>
<table xmlns="http://schemas.openxmlformats.org/spreadsheetml/2006/main" headerRowCount="0" ref="A26:K28" displayName="Table_169" name="Table_169" id="16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0.xml><?xml version="1.0" encoding="utf-8"?>
<table xmlns="http://schemas.openxmlformats.org/spreadsheetml/2006/main" headerRowCount="0" ref="A29:K31" displayName="Table_170" name="Table_170" id="17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headerRowCount="0" ref="A32:K34" displayName="Table_171" name="Table_171" id="17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A35:K37" displayName="Table_172" name="Table_172" id="17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A38:K39" displayName="Table_173" name="Table_173" id="17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4.xml><?xml version="1.0" encoding="utf-8"?>
<table xmlns="http://schemas.openxmlformats.org/spreadsheetml/2006/main" headerRowCount="0" ref="A41:K58" displayName="Table_174" name="Table_174" id="17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A60:K84" displayName="Table_175" name="Table_175" id="17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adpole Pond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A87:B89" displayName="Table_176" name="Table_176" id="176">
  <tableColumns count="2">
    <tableColumn name="Column1" id="1"/>
    <tableColumn name="Column2" id="2"/>
  </tableColumns>
  <tableStyleInfo name="Tadpole Pond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7.xml><?xml version="1.0" encoding="utf-8"?>
<table xmlns="http://schemas.openxmlformats.org/spreadsheetml/2006/main" ref="A1:K16" displayName="Table_177" name="Table_177" id="177">
  <tableColumns count="11">
    <tableColumn name="Name" id="1"/>
    <tableColumn name="Rarity" id="2"/>
    <tableColumn name="Type" id="3"/>
    <tableColumn name="Base Output" id="4"/>
    <tableColumn name="Awakening Output" id="5"/>
    <tableColumn name="Base Cap" id="6"/>
    <tableColumn name="Awakening Cap" id="7"/>
    <tableColumn name="Wonder Fungus" id="8"/>
    <tableColumn name="Awakening Wonder Fungus" id="9"/>
    <tableColumn name="AFFECT Boost" id="10"/>
    <tableColumn name="Source" id="11"/>
  </tableColumns>
  <tableStyleInfo name="Fungus Farm-style" showColumnStripes="0" showFirstColumn="1" showLastColumn="1" showRowStripes="1"/>
</table>
</file>

<file path=xl/tables/table178.xml><?xml version="1.0" encoding="utf-8"?>
<table xmlns="http://schemas.openxmlformats.org/spreadsheetml/2006/main" headerRowCount="0" ref="A18:K22" displayName="Table_178" name="Table_178" id="17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9.xml><?xml version="1.0" encoding="utf-8"?>
<table xmlns="http://schemas.openxmlformats.org/spreadsheetml/2006/main" headerRowCount="0" ref="A23:K25" displayName="Table_179" name="Table_179" id="17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0.xml><?xml version="1.0" encoding="utf-8"?>
<table xmlns="http://schemas.openxmlformats.org/spreadsheetml/2006/main" headerRowCount="0" ref="A26:K28" displayName="Table_180" name="Table_180" id="18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1.xml><?xml version="1.0" encoding="utf-8"?>
<table xmlns="http://schemas.openxmlformats.org/spreadsheetml/2006/main" headerRowCount="0" ref="A29:K31" displayName="Table_181" name="Table_181" id="18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2.xml><?xml version="1.0" encoding="utf-8"?>
<table xmlns="http://schemas.openxmlformats.org/spreadsheetml/2006/main" headerRowCount="0" ref="A32:K33" displayName="Table_182" name="Table_182" id="18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3.xml><?xml version="1.0" encoding="utf-8"?>
<table xmlns="http://schemas.openxmlformats.org/spreadsheetml/2006/main" headerRowCount="0" ref="A35:K52" displayName="Table_183" name="Table_183" id="18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4.xml><?xml version="1.0" encoding="utf-8"?>
<table xmlns="http://schemas.openxmlformats.org/spreadsheetml/2006/main" headerRowCount="0" ref="A54:K80" displayName="Table_184" name="Table_184" id="18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ungus Farm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5.xml><?xml version="1.0" encoding="utf-8"?>
<table xmlns="http://schemas.openxmlformats.org/spreadsheetml/2006/main" headerRowCount="0" ref="A83:B85" displayName="Table_185" name="Table_185" id="185">
  <tableColumns count="2">
    <tableColumn name="Column1" id="1"/>
    <tableColumn name="Column2" id="2"/>
  </tableColumns>
  <tableStyleInfo name="Fungus Farm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6.xml><?xml version="1.0" encoding="utf-8"?>
<table xmlns="http://schemas.openxmlformats.org/spreadsheetml/2006/main" ref="A1:K18" displayName="Table_186" name="Table_186" id="186">
  <tableColumns count="11">
    <tableColumn name="Name" id="1"/>
    <tableColumn name="Rarity" id="2"/>
    <tableColumn name="Type" id="3"/>
    <tableColumn name="Base Output" id="4"/>
    <tableColumn name="Awakening Output" id="5"/>
    <tableColumn name="Base Cap" id="6"/>
    <tableColumn name="Awakening Cap" id="7"/>
    <tableColumn name="Time Chest" id="8"/>
    <tableColumn name="Awakening Time Chest" id="9"/>
    <tableColumn name="AFFECT Boost" id="10"/>
    <tableColumn name="Source" id="11"/>
  </tableColumns>
  <tableStyleInfo name="Time Machine-style" showColumnStripes="0" showFirstColumn="1" showLastColumn="1" showRowStripes="1"/>
</table>
</file>

<file path=xl/tables/table187.xml><?xml version="1.0" encoding="utf-8"?>
<table xmlns="http://schemas.openxmlformats.org/spreadsheetml/2006/main" headerRowCount="0" ref="A20:K22" displayName="Table_187" name="Table_187" id="18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8.xml><?xml version="1.0" encoding="utf-8"?>
<table xmlns="http://schemas.openxmlformats.org/spreadsheetml/2006/main" headerRowCount="0" ref="A23:K25" displayName="Table_188" name="Table_188" id="18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9.xml><?xml version="1.0" encoding="utf-8"?>
<table xmlns="http://schemas.openxmlformats.org/spreadsheetml/2006/main" headerRowCount="0" ref="A26:K28" displayName="Table_189" name="Table_189" id="18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0.xml><?xml version="1.0" encoding="utf-8"?>
<table xmlns="http://schemas.openxmlformats.org/spreadsheetml/2006/main" headerRowCount="0" ref="A29:K31" displayName="Table_190" name="Table_190" id="19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1.xml><?xml version="1.0" encoding="utf-8"?>
<table xmlns="http://schemas.openxmlformats.org/spreadsheetml/2006/main" headerRowCount="0" ref="A32:K34" displayName="Table_191" name="Table_191" id="19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2.xml><?xml version="1.0" encoding="utf-8"?>
<table xmlns="http://schemas.openxmlformats.org/spreadsheetml/2006/main" headerRowCount="0" ref="A35:K40" displayName="Table_192" name="Table_192" id="19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3.xml><?xml version="1.0" encoding="utf-8"?>
<table xmlns="http://schemas.openxmlformats.org/spreadsheetml/2006/main" headerRowCount="0" ref="A41:K43" displayName="Table_193" name="Table_193" id="19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4.xml><?xml version="1.0" encoding="utf-8"?>
<table xmlns="http://schemas.openxmlformats.org/spreadsheetml/2006/main" headerRowCount="0" ref="A44:K45" displayName="Table_194" name="Table_194" id="19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5.xml><?xml version="1.0" encoding="utf-8"?>
<table xmlns="http://schemas.openxmlformats.org/spreadsheetml/2006/main" headerRowCount="0" ref="A47:K67" displayName="Table_195" name="Table_195" id="19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6.xml><?xml version="1.0" encoding="utf-8"?>
<table xmlns="http://schemas.openxmlformats.org/spreadsheetml/2006/main" headerRowCount="0" ref="A69:K99" displayName="Table_196" name="Table_196" id="19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ime Machine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7.xml><?xml version="1.0" encoding="utf-8"?>
<table xmlns="http://schemas.openxmlformats.org/spreadsheetml/2006/main" headerRowCount="0" ref="A102:B104" displayName="Table_197" name="Table_197" id="197">
  <tableColumns count="2">
    <tableColumn name="Column1" id="1"/>
    <tableColumn name="Column2" id="2"/>
  </tableColumns>
  <tableStyleInfo name="Time Machine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8.xml><?xml version="1.0" encoding="utf-8"?>
<table xmlns="http://schemas.openxmlformats.org/spreadsheetml/2006/main" ref="A1:K13" displayName="Table_198" name="Table_198" id="198">
  <tableColumns count="11">
    <tableColumn name="Name" id="1"/>
    <tableColumn name="Rarity" id="2"/>
    <tableColumn name="Type" id="3"/>
    <tableColumn name="Base Output" id="4"/>
    <tableColumn name="Awakening Output" id="5"/>
    <tableColumn name="Base Cap" id="6"/>
    <tableColumn name="Awakening Cap" id="7"/>
    <tableColumn name="Ancient Lumber" id="8"/>
    <tableColumn name="Awakening Ancient Lumber" id="9"/>
    <tableColumn name="AFFECT Boost" id="10"/>
    <tableColumn name="Source" id="11"/>
  </tableColumns>
  <tableStyleInfo name="Lumber Camp-style" showColumnStripes="0" showFirstColumn="1" showLastColumn="1" showRowStripes="1"/>
</table>
</file>

<file path=xl/tables/table199.xml><?xml version="1.0" encoding="utf-8"?>
<table xmlns="http://schemas.openxmlformats.org/spreadsheetml/2006/main" headerRowCount="0" ref="A15:K17" displayName="Table_199" name="Table_199" id="19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0.xml><?xml version="1.0" encoding="utf-8"?>
<table xmlns="http://schemas.openxmlformats.org/spreadsheetml/2006/main" headerRowCount="0" ref="A18:K20" displayName="Table_200" name="Table_200" id="20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1.xml><?xml version="1.0" encoding="utf-8"?>
<table xmlns="http://schemas.openxmlformats.org/spreadsheetml/2006/main" headerRowCount="0" ref="A21:K23" displayName="Table_201" name="Table_201" id="20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2.xml><?xml version="1.0" encoding="utf-8"?>
<table xmlns="http://schemas.openxmlformats.org/spreadsheetml/2006/main" headerRowCount="0" ref="A24:K28" displayName="Table_202" name="Table_202" id="20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3.xml><?xml version="1.0" encoding="utf-8"?>
<table xmlns="http://schemas.openxmlformats.org/spreadsheetml/2006/main" headerRowCount="0" ref="A29:K31" displayName="Table_203" name="Table_203" id="20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4.xml><?xml version="1.0" encoding="utf-8"?>
<table xmlns="http://schemas.openxmlformats.org/spreadsheetml/2006/main" headerRowCount="0" ref="A32:K34" displayName="Table_204" name="Table_204" id="20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5.xml><?xml version="1.0" encoding="utf-8"?>
<table xmlns="http://schemas.openxmlformats.org/spreadsheetml/2006/main" headerRowCount="0" ref="A35:K36" displayName="Table_205" name="Table_205" id="20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6.xml><?xml version="1.0" encoding="utf-8"?>
<table xmlns="http://schemas.openxmlformats.org/spreadsheetml/2006/main" headerRowCount="0" ref="A38:K55" displayName="Table_206" name="Table_206" id="20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7.xml><?xml version="1.0" encoding="utf-8"?>
<table xmlns="http://schemas.openxmlformats.org/spreadsheetml/2006/main" headerRowCount="0" ref="A57:K79" displayName="Table_207" name="Table_207" id="20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mber Camp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8.xml><?xml version="1.0" encoding="utf-8"?>
<table xmlns="http://schemas.openxmlformats.org/spreadsheetml/2006/main" headerRowCount="0" ref="A82:B84" displayName="Table_208" name="Table_208" id="208">
  <tableColumns count="2">
    <tableColumn name="Column1" id="1"/>
    <tableColumn name="Column2" id="2"/>
  </tableColumns>
  <tableStyleInfo name="Lumber Camp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9.xml><?xml version="1.0" encoding="utf-8"?>
<table xmlns="http://schemas.openxmlformats.org/spreadsheetml/2006/main" ref="A1:K14" displayName="Table_209" name="Table_209" id="209">
  <tableColumns count="11">
    <tableColumn name="Name" id="1"/>
    <tableColumn name="Rarity" id="2"/>
    <tableColumn name="Type" id="3"/>
    <tableColumn name="Base Output" id="4"/>
    <tableColumn name="Awakening Output" id="5"/>
    <tableColumn name="Base Cap" id="6"/>
    <tableColumn name="Awakening Cap" id="7"/>
    <tableColumn name="Ancient Fossil" id="8"/>
    <tableColumn name="Awakening Ancient Fossil" id="9"/>
    <tableColumn name="AFFECT Boost" id="10"/>
    <tableColumn name="Source" id="11"/>
  </tableColumns>
  <tableStyleInfo name="Quarry-style" showColumnStripes="0" showFirstColumn="1" showLastColumn="1" showRowStripes="1"/>
</table>
</file>

<file path=xl/tables/table210.xml><?xml version="1.0" encoding="utf-8"?>
<table xmlns="http://schemas.openxmlformats.org/spreadsheetml/2006/main" headerRowCount="0" ref="A16:K18" displayName="Table_210" name="Table_210" id="2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1.xml><?xml version="1.0" encoding="utf-8"?>
<table xmlns="http://schemas.openxmlformats.org/spreadsheetml/2006/main" headerRowCount="0" ref="A19:K21" displayName="Table_211" name="Table_211" id="2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2.xml><?xml version="1.0" encoding="utf-8"?>
<table xmlns="http://schemas.openxmlformats.org/spreadsheetml/2006/main" headerRowCount="0" ref="A22:K24" displayName="Table_212" name="Table_212" id="2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3.xml><?xml version="1.0" encoding="utf-8"?>
<table xmlns="http://schemas.openxmlformats.org/spreadsheetml/2006/main" headerRowCount="0" ref="A25:K29" displayName="Table_213" name="Table_213" id="2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4.xml><?xml version="1.0" encoding="utf-8"?>
<table xmlns="http://schemas.openxmlformats.org/spreadsheetml/2006/main" headerRowCount="0" ref="A30:K32" displayName="Table_214" name="Table_214" id="2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5.xml><?xml version="1.0" encoding="utf-8"?>
<table xmlns="http://schemas.openxmlformats.org/spreadsheetml/2006/main" headerRowCount="0" ref="A33:K35" displayName="Table_215" name="Table_215" id="2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headerRowCount="0" ref="A36:K37" displayName="Table_216" name="Table_216" id="2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7.xml><?xml version="1.0" encoding="utf-8"?>
<table xmlns="http://schemas.openxmlformats.org/spreadsheetml/2006/main" headerRowCount="0" ref="A39:K60" displayName="Table_217" name="Table_217" id="2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8.xml><?xml version="1.0" encoding="utf-8"?>
<table xmlns="http://schemas.openxmlformats.org/spreadsheetml/2006/main" headerRowCount="0" ref="A62:K87" displayName="Table_218" name="Table_218" id="2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rry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9.xml><?xml version="1.0" encoding="utf-8"?>
<table xmlns="http://schemas.openxmlformats.org/spreadsheetml/2006/main" headerRowCount="0" ref="A90:B92" displayName="Table_219" name="Table_219" id="219">
  <tableColumns count="2">
    <tableColumn name="Column1" id="1"/>
    <tableColumn name="Column2" id="2"/>
  </tableColumns>
  <tableStyleInfo name="Quarry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0.xml><?xml version="1.0" encoding="utf-8"?>
<table xmlns="http://schemas.openxmlformats.org/spreadsheetml/2006/main" ref="A1:K16" displayName="Table_220" name="Table_220" id="220">
  <tableColumns count="11">
    <tableColumn name="Name" id="1"/>
    <tableColumn name="Rarity" id="2"/>
    <tableColumn name="Type" id="3"/>
    <tableColumn name="Base Output" id="4"/>
    <tableColumn name="Awakening Output" id="5"/>
    <tableColumn name="Base Cap" id="6"/>
    <tableColumn name="Awakening Cap" id="7"/>
    <tableColumn name="Nebula Chest" id="8"/>
    <tableColumn name="Awakening Nebula Chest" id="9"/>
    <tableColumn name="AFFECT Boost" id="10"/>
    <tableColumn name="Source" id="11"/>
  </tableColumns>
  <tableStyleInfo name="Quantum Amp-style" showColumnStripes="0" showFirstColumn="1" showLastColumn="1" showRowStripes="1"/>
</table>
</file>

<file path=xl/tables/table221.xml><?xml version="1.0" encoding="utf-8"?>
<table xmlns="http://schemas.openxmlformats.org/spreadsheetml/2006/main" headerRowCount="0" ref="A18:K22" displayName="Table_221" name="Table_221" id="22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ntum Am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2.xml><?xml version="1.0" encoding="utf-8"?>
<table xmlns="http://schemas.openxmlformats.org/spreadsheetml/2006/main" headerRowCount="0" ref="A23:K25" displayName="Table_222" name="Table_222" id="22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ntum Am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3.xml><?xml version="1.0" encoding="utf-8"?>
<table xmlns="http://schemas.openxmlformats.org/spreadsheetml/2006/main" headerRowCount="0" ref="A26:K27" displayName="Table_223" name="Table_223" id="22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ntum Am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4.xml><?xml version="1.0" encoding="utf-8"?>
<table xmlns="http://schemas.openxmlformats.org/spreadsheetml/2006/main" headerRowCount="0" ref="A29:K40" displayName="Table_224" name="Table_224" id="22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ntum Amp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5.xml><?xml version="1.0" encoding="utf-8"?>
<table xmlns="http://schemas.openxmlformats.org/spreadsheetml/2006/main" headerRowCount="0" ref="A42:K54" displayName="Table_225" name="Table_225" id="22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uantum Amp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6.xml><?xml version="1.0" encoding="utf-8"?>
<table xmlns="http://schemas.openxmlformats.org/spreadsheetml/2006/main" headerRowCount="0" ref="A57:B59" displayName="Table_226" name="Table_226" id="226">
  <tableColumns count="2">
    <tableColumn name="Column1" id="1"/>
    <tableColumn name="Column2" id="2"/>
  </tableColumns>
  <tableStyleInfo name="Quantum Amp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7.xml><?xml version="1.0" encoding="utf-8"?>
<table xmlns="http://schemas.openxmlformats.org/spreadsheetml/2006/main" headerRowCount="0" ref="A1:S25" displayName="Table_227" name="Table_227" id="22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mpas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8.xml><?xml version="1.0" encoding="utf-8"?>
<table xmlns="http://schemas.openxmlformats.org/spreadsheetml/2006/main" headerRowCount="0" ref="U31:W37" displayName="Table_228" name="Table_228" id="228">
  <tableColumns count="3">
    <tableColumn name="Column1" id="1"/>
    <tableColumn name="Column2" id="2"/>
    <tableColumn name="Column3" id="3"/>
  </tableColumns>
  <tableStyleInfo name="Compas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9.xml><?xml version="1.0" encoding="utf-8"?>
<table xmlns="http://schemas.openxmlformats.org/spreadsheetml/2006/main" headerRowCount="0" ref="A41:S63" displayName="Table_229" name="Table_229" id="22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mpas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0.xml><?xml version="1.0" encoding="utf-8"?>
<table xmlns="http://schemas.openxmlformats.org/spreadsheetml/2006/main" headerRowCount="0" ref="U69:W75" displayName="Table_230" name="Table_230" id="230">
  <tableColumns count="3">
    <tableColumn name="Column1" id="1"/>
    <tableColumn name="Column2" id="2"/>
    <tableColumn name="Column3" id="3"/>
  </tableColumns>
  <tableStyleInfo name="Compas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1.xml><?xml version="1.0" encoding="utf-8"?>
<table xmlns="http://schemas.openxmlformats.org/spreadsheetml/2006/main" headerRowCount="0" ref="A79:S100" displayName="Table_231" name="Table_231" id="23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mpas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2.xml><?xml version="1.0" encoding="utf-8"?>
<table xmlns="http://schemas.openxmlformats.org/spreadsheetml/2006/main" headerRowCount="0" ref="U106:W112" displayName="Table_232" name="Table_232" id="232">
  <tableColumns count="3">
    <tableColumn name="Column1" id="1"/>
    <tableColumn name="Column2" id="2"/>
    <tableColumn name="Column3" id="3"/>
  </tableColumns>
  <tableStyleInfo name="Compas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3.xml><?xml version="1.0" encoding="utf-8"?>
<table xmlns="http://schemas.openxmlformats.org/spreadsheetml/2006/main" headerRowCount="0" ref="A119:S152" displayName="Table_233" name="Table_233" id="23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mpas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4.xml><?xml version="1.0" encoding="utf-8"?>
<table xmlns="http://schemas.openxmlformats.org/spreadsheetml/2006/main" headerRowCount="0" ref="U158:W164" displayName="Table_234" name="Table_234" id="234">
  <tableColumns count="3">
    <tableColumn name="Column1" id="1"/>
    <tableColumn name="Column2" id="2"/>
    <tableColumn name="Column3" id="3"/>
  </tableColumns>
  <tableStyleInfo name="Compas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5.xml><?xml version="1.0" encoding="utf-8"?>
<table xmlns="http://schemas.openxmlformats.org/spreadsheetml/2006/main" headerRowCount="0" ref="A169:S190" displayName="Table_235" name="Table_235" id="23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ompas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6.xml><?xml version="1.0" encoding="utf-8"?>
<table xmlns="http://schemas.openxmlformats.org/spreadsheetml/2006/main" headerRowCount="0" ref="U196:W202" displayName="Table_236" name="Table_236" id="236">
  <tableColumns count="3">
    <tableColumn name="Column1" id="1"/>
    <tableColumn name="Column2" id="2"/>
    <tableColumn name="Column3" id="3"/>
  </tableColumns>
  <tableStyleInfo name="Compas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7.xml><?xml version="1.0" encoding="utf-8"?>
<table xmlns="http://schemas.openxmlformats.org/spreadsheetml/2006/main" headerRowCount="0" ref="A207:T226" displayName="Table_237" name="Table_237" id="23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Compas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8.xml><?xml version="1.0" encoding="utf-8"?>
<table xmlns="http://schemas.openxmlformats.org/spreadsheetml/2006/main" ref="A1:J9" displayName="Table_238" name="Table_238" id="238">
  <tableColumns count="10">
    <tableColumn name="Name" id="1"/>
    <tableColumn name="Rarity" id="2"/>
    <tableColumn name="Type" id="3"/>
    <tableColumn name="Btad Cost" id="4"/>
    <tableColumn name="Awakening Btad Cost" id="5"/>
    <tableColumn name="Wood Cost" id="6"/>
    <tableColumn name="Awakening Wood Cost" id="7"/>
    <tableColumn name="Stone Cost" id="8"/>
    <tableColumn name="Awakening Stone Cost" id="9"/>
    <tableColumn name="Source" id="10"/>
  </tableColumns>
  <tableStyleInfo name="Cost Reductions-style" showColumnStripes="0" showFirstColumn="1" showLastColumn="1" showRowStripes="1"/>
</table>
</file>

<file path=xl/tables/table239.xml><?xml version="1.0" encoding="utf-8"?>
<table xmlns="http://schemas.openxmlformats.org/spreadsheetml/2006/main" ref="A11:J17" displayName="Table_239" name="Table_239" id="239">
  <tableColumns count="10">
    <tableColumn name="Name" id="1"/>
    <tableColumn name="Rarity" id="2"/>
    <tableColumn name="Type" id="3"/>
    <tableColumn name="Btad Cost" id="4"/>
    <tableColumn name="Awakening Btad Cost" id="5"/>
    <tableColumn name="Wood Cost" id="6"/>
    <tableColumn name="Awakening Wood Cost" id="7"/>
    <tableColumn name="Stone Cost" id="8"/>
    <tableColumn name="Awakening Stone Cost" id="9"/>
    <tableColumn name="Source" id="10"/>
  </tableColumns>
  <tableStyleInfo name="Cost Reductions-style 2" showColumnStripes="0" showFirstColumn="1" showLastColumn="1" showRowStripes="1"/>
</table>
</file>

<file path=xl/tables/table240.xml><?xml version="1.0" encoding="utf-8"?>
<table xmlns="http://schemas.openxmlformats.org/spreadsheetml/2006/main" ref="A20:J26" displayName="Table_240" name="Table_240" id="240">
  <tableColumns count="10">
    <tableColumn name="Name" id="1"/>
    <tableColumn name="Rarity" id="2"/>
    <tableColumn name="Type" id="3"/>
    <tableColumn name="Btad Cost" id="4"/>
    <tableColumn name="Awakening Btad Cost" id="5"/>
    <tableColumn name="Wood Cost" id="6"/>
    <tableColumn name="Awakening Wood Cost" id="7"/>
    <tableColumn name="Stone Cost" id="8"/>
    <tableColumn name="Awakening Stone Cost" id="9"/>
    <tableColumn name="Source" id="10"/>
  </tableColumns>
  <tableStyleInfo name="Cost Reductions-style 3" showColumnStripes="0" showFirstColumn="1" showLastColumn="1" showRowStripes="1"/>
</table>
</file>

<file path=xl/tables/table241.xml><?xml version="1.0" encoding="utf-8"?>
<table xmlns="http://schemas.openxmlformats.org/spreadsheetml/2006/main" ref="A29:J34" displayName="Table_241" name="Table_241" id="241">
  <tableColumns count="10">
    <tableColumn name="Name" id="1"/>
    <tableColumn name="Rarity" id="2"/>
    <tableColumn name="Type" id="3"/>
    <tableColumn name="Btad Cost" id="4"/>
    <tableColumn name="Awakening Btad Cost" id="5"/>
    <tableColumn name="Wood Cost" id="6"/>
    <tableColumn name="Awakening Wood Cost" id="7"/>
    <tableColumn name="Stone Cost" id="8"/>
    <tableColumn name="Awakening Stone Cost" id="9"/>
    <tableColumn name="Source" id="10"/>
  </tableColumns>
  <tableStyleInfo name="Cost Reductions-style 4" showColumnStripes="0" showFirstColumn="1" showLastColumn="1" showRowStripes="1"/>
</table>
</file>

<file path=xl/tables/table242.xml><?xml version="1.0" encoding="utf-8"?>
<table xmlns="http://schemas.openxmlformats.org/spreadsheetml/2006/main" ref="A37:J43" displayName="Table_242" name="Table_242" id="242">
  <tableColumns count="10">
    <tableColumn name="Name" id="1"/>
    <tableColumn name="Rarity" id="2"/>
    <tableColumn name="Type" id="3"/>
    <tableColumn name="Btad Cost" id="4"/>
    <tableColumn name="Awakening Btad Cost" id="5"/>
    <tableColumn name="Wood Cost" id="6"/>
    <tableColumn name="Awakening Wood Cost" id="7"/>
    <tableColumn name="Stone Cost" id="8"/>
    <tableColumn name="Awakening Stone Cost" id="9"/>
    <tableColumn name="Source" id="10"/>
  </tableColumns>
  <tableStyleInfo name="Cost Reductions-style 5" showColumnStripes="0" showFirstColumn="1" showLastColumn="1" showRowStripes="1"/>
</table>
</file>

<file path=xl/tables/table243.xml><?xml version="1.0" encoding="utf-8"?>
<table xmlns="http://schemas.openxmlformats.org/spreadsheetml/2006/main" ref="A46:J49" displayName="Table_243" name="Table_243" id="243">
  <tableColumns count="10">
    <tableColumn name="Name" id="1"/>
    <tableColumn name="Rarity" id="2"/>
    <tableColumn name="Type" id="3"/>
    <tableColumn name="Btad Cost" id="4"/>
    <tableColumn name="Awakening Btad Cost" id="5"/>
    <tableColumn name="Wood Cost" id="6"/>
    <tableColumn name="Awakening Wood Cost" id="7"/>
    <tableColumn name="Stone Cost" id="8"/>
    <tableColumn name="Awakening Stone Cost" id="9"/>
    <tableColumn name="Source" id="10"/>
  </tableColumns>
  <tableStyleInfo name="Cost Reductions-style 6" showColumnStripes="0" showFirstColumn="1" showLastColumn="1" showRowStripes="1"/>
</table>
</file>

<file path=xl/tables/table244.xml><?xml version="1.0" encoding="utf-8"?>
<table xmlns="http://schemas.openxmlformats.org/spreadsheetml/2006/main" ref="A1:H37" displayName="Table_244" name="Table_244" id="244">
  <tableColumns count="8">
    <tableColumn name="Name" id="1"/>
    <tableColumn name="Rarity" id="2"/>
    <tableColumn name="Type" id="3"/>
    <tableColumn name="White -&gt; Green" id="4"/>
    <tableColumn name="Green -&gt; Blue" id="5"/>
    <tableColumn name="Blue -&gt; Purple" id="6"/>
    <tableColumn name="Purple -&gt; Orange" id="7"/>
    <tableColumn name="Source" id="8"/>
  </tableColumns>
  <tableStyleInfo name="Lottery-style" showColumnStripes="0" showFirstColumn="1" showLastColumn="1" showRowStripes="1"/>
</table>
</file>

<file path=xl/tables/table245.xml><?xml version="1.0" encoding="utf-8"?>
<table xmlns="http://schemas.openxmlformats.org/spreadsheetml/2006/main" headerRowCount="0" ref="A40:H42" displayName="Table_245" name="Table_245" id="24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tte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6.xml><?xml version="1.0" encoding="utf-8"?>
<table xmlns="http://schemas.openxmlformats.org/spreadsheetml/2006/main" headerRowCount="0" ref="A43:H47" displayName="Table_246" name="Table_246" id="24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ttery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7.xml><?xml version="1.0" encoding="utf-8"?>
<table xmlns="http://schemas.openxmlformats.org/spreadsheetml/2006/main" headerRowCount="0" ref="A48:H50" displayName="Table_247" name="Table_247" id="24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ttery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8.xml><?xml version="1.0" encoding="utf-8"?>
<table xmlns="http://schemas.openxmlformats.org/spreadsheetml/2006/main" headerRowCount="0" ref="A51:H52" displayName="Table_248" name="Table_248" id="24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otter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9.xml><?xml version="1.0" encoding="utf-8"?>
<table xmlns="http://schemas.openxmlformats.org/spreadsheetml/2006/main" headerRowCount="0" ref="A57:B61" displayName="Table_249" name="Table_249" id="249">
  <tableColumns count="2">
    <tableColumn name="Column1" id="1"/>
    <tableColumn name="Column2" id="2"/>
  </tableColumns>
  <tableStyleInfo name="Lottery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0.xml><?xml version="1.0" encoding="utf-8"?>
<table xmlns="http://schemas.openxmlformats.org/spreadsheetml/2006/main" headerRowCount="0" ref="A3:E13" displayName="Table_250" name="Table_250" id="250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1.xml><?xml version="1.0" encoding="utf-8"?>
<table xmlns="http://schemas.openxmlformats.org/spreadsheetml/2006/main" headerRowCount="0" ref="A15:E25" displayName="Table_251" name="Table_251" id="251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2.xml><?xml version="1.0" encoding="utf-8"?>
<table xmlns="http://schemas.openxmlformats.org/spreadsheetml/2006/main" headerRowCount="0" ref="A27:E37" displayName="Table_252" name="Table_252" id="252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3.xml><?xml version="1.0" encoding="utf-8"?>
<table xmlns="http://schemas.openxmlformats.org/spreadsheetml/2006/main" headerRowCount="0" ref="A39:E49" displayName="Table_253" name="Table_253" id="253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4.xml><?xml version="1.0" encoding="utf-8"?>
<table xmlns="http://schemas.openxmlformats.org/spreadsheetml/2006/main" headerRowCount="0" ref="A51:E61" displayName="Table_254" name="Table_254" id="254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5.xml><?xml version="1.0" encoding="utf-8"?>
<table xmlns="http://schemas.openxmlformats.org/spreadsheetml/2006/main" headerRowCount="0" ref="A67:E77" displayName="Table_255" name="Table_255" id="255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6.xml><?xml version="1.0" encoding="utf-8"?>
<table xmlns="http://schemas.openxmlformats.org/spreadsheetml/2006/main" headerRowCount="0" ref="A79:E89" displayName="Table_256" name="Table_256" id="256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7.xml><?xml version="1.0" encoding="utf-8"?>
<table xmlns="http://schemas.openxmlformats.org/spreadsheetml/2006/main" headerRowCount="0" ref="A91:E101" displayName="Table_257" name="Table_257" id="257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8.xml><?xml version="1.0" encoding="utf-8"?>
<table xmlns="http://schemas.openxmlformats.org/spreadsheetml/2006/main" headerRowCount="0" ref="A103:E113" displayName="Table_258" name="Table_258" id="258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9.xml><?xml version="1.0" encoding="utf-8"?>
<table xmlns="http://schemas.openxmlformats.org/spreadsheetml/2006/main" headerRowCount="0" ref="A115:E125" displayName="Table_259" name="Table_259" id="259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0.xml><?xml version="1.0" encoding="utf-8"?>
<table xmlns="http://schemas.openxmlformats.org/spreadsheetml/2006/main" headerRowCount="0" ref="A131:E141" displayName="Table_260" name="Table_260" id="260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1.xml><?xml version="1.0" encoding="utf-8"?>
<table xmlns="http://schemas.openxmlformats.org/spreadsheetml/2006/main" headerRowCount="0" ref="A143:E153" displayName="Table_261" name="Table_261" id="261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2.xml><?xml version="1.0" encoding="utf-8"?>
<table xmlns="http://schemas.openxmlformats.org/spreadsheetml/2006/main" headerRowCount="0" ref="A155:E165" displayName="Table_262" name="Table_262" id="262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3.xml><?xml version="1.0" encoding="utf-8"?>
<table xmlns="http://schemas.openxmlformats.org/spreadsheetml/2006/main" headerRowCount="0" ref="A167:E177" displayName="Table_263" name="Table_263" id="263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4.xml><?xml version="1.0" encoding="utf-8"?>
<table xmlns="http://schemas.openxmlformats.org/spreadsheetml/2006/main" headerRowCount="0" ref="A179:E189" displayName="Table_264" name="Table_264" id="264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5.xml><?xml version="1.0" encoding="utf-8"?>
<table xmlns="http://schemas.openxmlformats.org/spreadsheetml/2006/main" headerRowCount="0" ref="A195:E205" displayName="Table_265" name="Table_265" id="265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6.xml><?xml version="1.0" encoding="utf-8"?>
<table xmlns="http://schemas.openxmlformats.org/spreadsheetml/2006/main" headerRowCount="0" ref="A207:E217" displayName="Table_266" name="Table_266" id="266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7.xml><?xml version="1.0" encoding="utf-8"?>
<table xmlns="http://schemas.openxmlformats.org/spreadsheetml/2006/main" headerRowCount="0" ref="A219:E229" displayName="Table_267" name="Table_267" id="267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8.xml><?xml version="1.0" encoding="utf-8"?>
<table xmlns="http://schemas.openxmlformats.org/spreadsheetml/2006/main" headerRowCount="0" ref="A231:E241" displayName="Table_268" name="Table_268" id="268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9.xml><?xml version="1.0" encoding="utf-8"?>
<table xmlns="http://schemas.openxmlformats.org/spreadsheetml/2006/main" headerRowCount="0" ref="A243:E253" displayName="Table_269" name="Table_269" id="269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0.xml><?xml version="1.0" encoding="utf-8"?>
<table xmlns="http://schemas.openxmlformats.org/spreadsheetml/2006/main" headerRowCount="0" ref="A259:E269" displayName="Table_270" name="Table_270" id="270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1.xml><?xml version="1.0" encoding="utf-8"?>
<table xmlns="http://schemas.openxmlformats.org/spreadsheetml/2006/main" headerRowCount="0" ref="A271:E281" displayName="Table_271" name="Table_271" id="271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2.xml><?xml version="1.0" encoding="utf-8"?>
<table xmlns="http://schemas.openxmlformats.org/spreadsheetml/2006/main" headerRowCount="0" ref="A283:E293" displayName="Table_272" name="Table_272" id="272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3.xml><?xml version="1.0" encoding="utf-8"?>
<table xmlns="http://schemas.openxmlformats.org/spreadsheetml/2006/main" headerRowCount="0" ref="A295:E305" displayName="Table_273" name="Table_273" id="273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4.xml><?xml version="1.0" encoding="utf-8"?>
<table xmlns="http://schemas.openxmlformats.org/spreadsheetml/2006/main" headerRowCount="0" ref="A307:E317" displayName="Table_274" name="Table_274" id="274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5.xml><?xml version="1.0" encoding="utf-8"?>
<table xmlns="http://schemas.openxmlformats.org/spreadsheetml/2006/main" headerRowCount="0" ref="A323:E333" displayName="Table_275" name="Table_275" id="275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6.xml><?xml version="1.0" encoding="utf-8"?>
<table xmlns="http://schemas.openxmlformats.org/spreadsheetml/2006/main" headerRowCount="0" ref="A335:E345" displayName="Table_276" name="Table_276" id="276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7.xml><?xml version="1.0" encoding="utf-8"?>
<table xmlns="http://schemas.openxmlformats.org/spreadsheetml/2006/main" headerRowCount="0" ref="A347:E357" displayName="Table_277" name="Table_277" id="277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8.xml><?xml version="1.0" encoding="utf-8"?>
<table xmlns="http://schemas.openxmlformats.org/spreadsheetml/2006/main" headerRowCount="0" ref="A359:E369" displayName="Table_278" name="Table_278" id="278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9.xml><?xml version="1.0" encoding="utf-8"?>
<table xmlns="http://schemas.openxmlformats.org/spreadsheetml/2006/main" headerRowCount="0" ref="A371:E381" displayName="Table_279" name="Table_279" id="279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ion Base Stats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0.xml><?xml version="1.0" encoding="utf-8"?>
<table xmlns="http://schemas.openxmlformats.org/spreadsheetml/2006/main" ref="A75:B175" displayName="Table_280" name="Table_280" id="280">
  <tableColumns count="2">
    <tableColumn name="Research Level" id="1"/>
    <tableColumn name="Manual Cost" id="2"/>
  </tableColumns>
  <tableStyleInfo name="Partner Research Costs-style" showColumnStripes="0" showFirstColumn="1" showLastColumn="1" showRowStripes="1"/>
</table>
</file>

<file path=xl/tables/table281.xml><?xml version="1.0" encoding="utf-8"?>
<table xmlns="http://schemas.openxmlformats.org/spreadsheetml/2006/main" ref="D75:E105" displayName="Table_281" name="Table_281" id="281">
  <tableColumns count="2">
    <tableColumn name="Total Research" id="1"/>
    <tableColumn name="Partner Level" id="2"/>
  </tableColumns>
  <tableStyleInfo name="Partner Research Costs-style 2" showColumnStripes="0" showFirstColumn="1" showLastColumn="1" showRowStripes="1"/>
</table>
</file>

<file path=xl/tables/table282.xml><?xml version="1.0" encoding="utf-8"?>
<table xmlns="http://schemas.openxmlformats.org/spreadsheetml/2006/main" headerRowCount="0" ref="A2:F13" displayName="Table_282" name="Table_282" id="2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3.xml><?xml version="1.0" encoding="utf-8"?>
<table xmlns="http://schemas.openxmlformats.org/spreadsheetml/2006/main" headerRowCount="0" ref="H2:M13" displayName="Table_283" name="Table_283" id="2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4.xml><?xml version="1.0" encoding="utf-8"?>
<table xmlns="http://schemas.openxmlformats.org/spreadsheetml/2006/main" headerRowCount="0" ref="O2:T13" displayName="Table_284" name="Table_284" id="2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5.xml><?xml version="1.0" encoding="utf-8"?>
<table xmlns="http://schemas.openxmlformats.org/spreadsheetml/2006/main" headerRowCount="0" ref="A16:F27" displayName="Table_285" name="Table_285" id="28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6.xml><?xml version="1.0" encoding="utf-8"?>
<table xmlns="http://schemas.openxmlformats.org/spreadsheetml/2006/main" headerRowCount="0" ref="H16:M27" displayName="Table_286" name="Table_286" id="2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7.xml><?xml version="1.0" encoding="utf-8"?>
<table xmlns="http://schemas.openxmlformats.org/spreadsheetml/2006/main" headerRowCount="0" ref="O16:T27" displayName="Table_287" name="Table_287" id="2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8.xml><?xml version="1.0" encoding="utf-8"?>
<table xmlns="http://schemas.openxmlformats.org/spreadsheetml/2006/main" headerRowCount="0" ref="A30:F41" displayName="Table_288" name="Table_288" id="2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9.xml><?xml version="1.0" encoding="utf-8"?>
<table xmlns="http://schemas.openxmlformats.org/spreadsheetml/2006/main" headerRowCount="0" ref="H30:M41" displayName="Table_289" name="Table_289" id="2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0.xml><?xml version="1.0" encoding="utf-8"?>
<table xmlns="http://schemas.openxmlformats.org/spreadsheetml/2006/main" headerRowCount="0" ref="O30:T41" displayName="Table_290" name="Table_290" id="2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1.xml><?xml version="1.0" encoding="utf-8"?>
<table xmlns="http://schemas.openxmlformats.org/spreadsheetml/2006/main" headerRowCount="0" ref="A44:F55" displayName="Table_291" name="Table_291" id="2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2.xml><?xml version="1.0" encoding="utf-8"?>
<table xmlns="http://schemas.openxmlformats.org/spreadsheetml/2006/main" headerRowCount="0" ref="H44:M55" displayName="Table_292" name="Table_292" id="2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3.xml><?xml version="1.0" encoding="utf-8"?>
<table xmlns="http://schemas.openxmlformats.org/spreadsheetml/2006/main" headerRowCount="0" ref="O44:T55" displayName="Table_293" name="Table_293" id="2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4.xml><?xml version="1.0" encoding="utf-8"?>
<table xmlns="http://schemas.openxmlformats.org/spreadsheetml/2006/main" headerRowCount="0" ref="A72:F83" displayName="Table_294" name="Table_294" id="2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5.xml><?xml version="1.0" encoding="utf-8"?>
<table xmlns="http://schemas.openxmlformats.org/spreadsheetml/2006/main" headerRowCount="0" ref="H72:M83" displayName="Table_295" name="Table_295" id="2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6.xml><?xml version="1.0" encoding="utf-8"?>
<table xmlns="http://schemas.openxmlformats.org/spreadsheetml/2006/main" headerRowCount="0" ref="O72:T83" displayName="Table_296" name="Table_296" id="2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7.xml><?xml version="1.0" encoding="utf-8"?>
<table xmlns="http://schemas.openxmlformats.org/spreadsheetml/2006/main" headerRowCount="0" ref="A86:F90" displayName="Table_297" name="Table_297" id="29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8.xml><?xml version="1.0" encoding="utf-8"?>
<table xmlns="http://schemas.openxmlformats.org/spreadsheetml/2006/main" headerRowCount="0" ref="H86:M88" displayName="Table_298" name="Table_298" id="2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9.xml><?xml version="1.0" encoding="utf-8"?>
<table xmlns="http://schemas.openxmlformats.org/spreadsheetml/2006/main" headerRowCount="0" ref="O86:T92" displayName="Table_299" name="Table_299" id="2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0.xml><?xml version="1.0" encoding="utf-8"?>
<table xmlns="http://schemas.openxmlformats.org/spreadsheetml/2006/main" headerRowCount="0" ref="A93:F94" displayName="Table_300" name="Table_300" id="3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1.xml><?xml version="1.0" encoding="utf-8"?>
<table xmlns="http://schemas.openxmlformats.org/spreadsheetml/2006/main" headerRowCount="0" ref="H93:M94" displayName="Table_301" name="Table_301" id="3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2.xml><?xml version="1.0" encoding="utf-8"?>
<table xmlns="http://schemas.openxmlformats.org/spreadsheetml/2006/main" headerRowCount="0" ref="O95:T96" displayName="Table_302" name="Table_302" id="3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NA Costs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3.xml><?xml version="1.0" encoding="utf-8"?>
<table xmlns="http://schemas.openxmlformats.org/spreadsheetml/2006/main" ref="A97:F100" displayName="Table_303" name="Table_303" id="303">
  <tableColumns count="6">
    <tableColumn name="T5-&gt;T6" id="1"/>
    <tableColumn name="Time (hr)" id="2"/>
    <tableColumn name="Time (days)" id="3"/>
    <tableColumn name="Cells" id="4"/>
    <tableColumn name="B-tads" id="5"/>
    <tableColumn name="DNA Points" id="6"/>
  </tableColumns>
  <tableStyleInfo name="DNA Costs-style 22" showColumnStripes="0" showFirstColumn="1" showLastColumn="1" showRowStripes="1"/>
</table>
</file>

<file path=xl/tables/table304.xml><?xml version="1.0" encoding="utf-8"?>
<table xmlns="http://schemas.openxmlformats.org/spreadsheetml/2006/main" ref="H97:M100" displayName="Table_304" name="Table_304" id="304">
  <tableColumns count="6">
    <tableColumn name="T6-&gt;T7" id="1"/>
    <tableColumn name="Time (hr)" id="2"/>
    <tableColumn name="Time (days)" id="3"/>
    <tableColumn name="Cells" id="4"/>
    <tableColumn name="B-tads" id="5"/>
    <tableColumn name="DNA Points" id="6"/>
  </tableColumns>
  <tableStyleInfo name="DNA Costs-style 23" showColumnStripes="0" showFirstColumn="1" showLastColumn="1" showRowStripes="1"/>
</table>
</file>

<file path=xl/tables/table305.xml><?xml version="1.0" encoding="utf-8"?>
<table xmlns="http://schemas.openxmlformats.org/spreadsheetml/2006/main" ref="O99:S102" displayName="Table_305" name="Table_305" id="305">
  <tableColumns count="5">
    <tableColumn name="T7-&gt;T8" id="1"/>
    <tableColumn name="Time (days)" id="2"/>
    <tableColumn name="Cells" id="3"/>
    <tableColumn name="B-tads" id="4"/>
    <tableColumn name="DNA Points" id="5"/>
  </tableColumns>
  <tableStyleInfo name="DNA Costs-style 24" showColumnStripes="0" showFirstColumn="1" showLastColumn="1" showRowStripes="1"/>
</table>
</file>

<file path=xl/tables/table306.xml><?xml version="1.0" encoding="utf-8"?>
<table xmlns="http://schemas.openxmlformats.org/spreadsheetml/2006/main" headerRowCount="0" ref="A2:G13" displayName="Table_306" name="Table_306" id="3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7.xml><?xml version="1.0" encoding="utf-8"?>
<table xmlns="http://schemas.openxmlformats.org/spreadsheetml/2006/main" headerRowCount="0" ref="I2:O13" displayName="Table_307" name="Table_307" id="30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8.xml><?xml version="1.0" encoding="utf-8"?>
<table xmlns="http://schemas.openxmlformats.org/spreadsheetml/2006/main" headerRowCount="0" ref="Q2:W13" displayName="Table_308" name="Table_308" id="3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9.xml><?xml version="1.0" encoding="utf-8"?>
<table xmlns="http://schemas.openxmlformats.org/spreadsheetml/2006/main" headerRowCount="0" ref="A16:G27" displayName="Table_309" name="Table_309" id="3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0.xml><?xml version="1.0" encoding="utf-8"?>
<table xmlns="http://schemas.openxmlformats.org/spreadsheetml/2006/main" headerRowCount="0" ref="I16:O27" displayName="Table_310" name="Table_310" id="3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1.xml><?xml version="1.0" encoding="utf-8"?>
<table xmlns="http://schemas.openxmlformats.org/spreadsheetml/2006/main" headerRowCount="0" ref="Q16:W27" displayName="Table_311" name="Table_311" id="3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2.xml><?xml version="1.0" encoding="utf-8"?>
<table xmlns="http://schemas.openxmlformats.org/spreadsheetml/2006/main" headerRowCount="0" ref="A30:G41" displayName="Table_312" name="Table_312" id="3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3.xml><?xml version="1.0" encoding="utf-8"?>
<table xmlns="http://schemas.openxmlformats.org/spreadsheetml/2006/main" headerRowCount="0" ref="I30:O41" displayName="Table_313" name="Table_313" id="3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4.xml><?xml version="1.0" encoding="utf-8"?>
<table xmlns="http://schemas.openxmlformats.org/spreadsheetml/2006/main" headerRowCount="0" ref="Q30:W41" displayName="Table_314" name="Table_314" id="3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5.xml><?xml version="1.0" encoding="utf-8"?>
<table xmlns="http://schemas.openxmlformats.org/spreadsheetml/2006/main" headerRowCount="0" ref="A44:G55" displayName="Table_315" name="Table_315" id="3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6.xml><?xml version="1.0" encoding="utf-8"?>
<table xmlns="http://schemas.openxmlformats.org/spreadsheetml/2006/main" headerRowCount="0" ref="I44:O55" displayName="Table_316" name="Table_316" id="3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7.xml><?xml version="1.0" encoding="utf-8"?>
<table xmlns="http://schemas.openxmlformats.org/spreadsheetml/2006/main" headerRowCount="0" ref="Q44:W55" displayName="Table_317" name="Table_317" id="3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8.xml><?xml version="1.0" encoding="utf-8"?>
<table xmlns="http://schemas.openxmlformats.org/spreadsheetml/2006/main" headerRowCount="0" ref="A72:G83" displayName="Table_318" name="Table_318" id="3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9.xml><?xml version="1.0" encoding="utf-8"?>
<table xmlns="http://schemas.openxmlformats.org/spreadsheetml/2006/main" headerRowCount="0" ref="I72:O83" displayName="Table_319" name="Table_319" id="3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0.xml><?xml version="1.0" encoding="utf-8"?>
<table xmlns="http://schemas.openxmlformats.org/spreadsheetml/2006/main" headerRowCount="0" ref="Q72:W83" displayName="Table_320" name="Table_320" id="3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1.xml><?xml version="1.0" encoding="utf-8"?>
<table xmlns="http://schemas.openxmlformats.org/spreadsheetml/2006/main" headerRowCount="0" ref="A86:G90" displayName="Table_321" name="Table_321" id="3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2.xml><?xml version="1.0" encoding="utf-8"?>
<table xmlns="http://schemas.openxmlformats.org/spreadsheetml/2006/main" headerRowCount="0" ref="I86:O88" displayName="Table_322" name="Table_322" id="3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3.xml><?xml version="1.0" encoding="utf-8"?>
<table xmlns="http://schemas.openxmlformats.org/spreadsheetml/2006/main" headerRowCount="0" ref="Q86:W92" displayName="Table_323" name="Table_323" id="3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4.xml><?xml version="1.0" encoding="utf-8"?>
<table xmlns="http://schemas.openxmlformats.org/spreadsheetml/2006/main" headerRowCount="0" ref="A93:G94" displayName="Table_324" name="Table_324" id="3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5.xml><?xml version="1.0" encoding="utf-8"?>
<table xmlns="http://schemas.openxmlformats.org/spreadsheetml/2006/main" headerRowCount="0" ref="I93:O94" displayName="Table_325" name="Table_325" id="3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6.xml><?xml version="1.0" encoding="utf-8"?>
<table xmlns="http://schemas.openxmlformats.org/spreadsheetml/2006/main" headerRowCount="0" ref="Q95:W96" displayName="Table_326" name="Table_326" id="3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ragon DNA Costs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7.xml><?xml version="1.0" encoding="utf-8"?>
<table xmlns="http://schemas.openxmlformats.org/spreadsheetml/2006/main" ref="A97:D106" displayName="Table_327" name="Table_327" id="327">
  <tableColumns count="4">
    <tableColumn name="T5-&gt;T6" id="1"/>
    <tableColumn name="Total" id="2"/>
    <tableColumn name="To Center" id="3"/>
    <tableColumn name="Remaining" id="4"/>
  </tableColumns>
  <tableStyleInfo name="Dragon DNA Costs-style 22" showColumnStripes="0" showFirstColumn="1" showLastColumn="1" showRowStripes="1"/>
</table>
</file>

<file path=xl/tables/table328.xml><?xml version="1.0" encoding="utf-8"?>
<table xmlns="http://schemas.openxmlformats.org/spreadsheetml/2006/main" ref="I97:L106" displayName="Table_328" name="Table_328" id="328">
  <tableColumns count="4">
    <tableColumn name="T6-&gt;T7" id="1"/>
    <tableColumn name="Total" id="2"/>
    <tableColumn name="To Center" id="3"/>
    <tableColumn name="Remaining" id="4"/>
  </tableColumns>
  <tableStyleInfo name="Dragon DNA Costs-style 23" showColumnStripes="0" showFirstColumn="1" showLastColumn="1" showRowStripes="1"/>
</table>
</file>

<file path=xl/tables/table329.xml><?xml version="1.0" encoding="utf-8"?>
<table xmlns="http://schemas.openxmlformats.org/spreadsheetml/2006/main" ref="Q99:T107" displayName="Table_329" name="Table_329" id="329">
  <tableColumns count="4">
    <tableColumn name="T7-&gt;T8" id="1"/>
    <tableColumn name="Total" id="2"/>
    <tableColumn name="To Center" id="3"/>
    <tableColumn name="Remaining" id="4"/>
  </tableColumns>
  <tableStyleInfo name="Dragon DNA Costs-style 24" showColumnStripes="0" showFirstColumn="1" showLastColumn="1" showRowStripes="1"/>
</table>
</file>

<file path=xl/tables/table330.xml><?xml version="1.0" encoding="utf-8"?>
<table xmlns="http://schemas.openxmlformats.org/spreadsheetml/2006/main" ref="A1:F71" displayName="Table_330" name="Table_330" id="330">
  <tableColumns count="6">
    <tableColumn name="Order" id="1"/>
    <tableColumn name="Daily Pack Relic" id="2"/>
    <tableColumn name="(Days)" id="3"/>
    <tableColumn name="Passive" id="4"/>
    <tableColumn name="Stamp Type" id="5"/>
    <tableColumn name="Notable Stamps" id="6"/>
  </tableColumns>
  <tableStyleInfo name="Relic Albums-style" showColumnStripes="0" showFirstColumn="1" showLastColumn="1" showRowStripes="1"/>
</table>
</file>

<file path=xl/tables/table331.xml><?xml version="1.0" encoding="utf-8"?>
<table xmlns="http://schemas.openxmlformats.org/spreadsheetml/2006/main" ref="A79:F93" displayName="Table_331" name="Table_331" id="331">
  <tableColumns count="6">
    <tableColumn name="Order" id="1"/>
    <tableColumn name="Silver Pack Relic" id="2"/>
    <tableColumn name="(Days)" id="3"/>
    <tableColumn name="Passive" id="4"/>
    <tableColumn name="Stamp Type" id="5"/>
    <tableColumn name="Notable Stamps" id="6"/>
  </tableColumns>
  <tableStyleInfo name="Relic Albums-style 2" showColumnStripes="0" showFirstColumn="1" showLastColumn="1" showRowStripes="1"/>
</table>
</file>

<file path=xl/tables/table332.xml><?xml version="1.0" encoding="utf-8"?>
<table xmlns="http://schemas.openxmlformats.org/spreadsheetml/2006/main" ref="A98:F106" displayName="Table_332" name="Table_332" id="332">
  <tableColumns count="6">
    <tableColumn name="Order" id="1"/>
    <tableColumn name="Gold Pack Relic" id="2"/>
    <tableColumn name="(Days)" id="3"/>
    <tableColumn name="Passive" id="4"/>
    <tableColumn name="Stamp Type" id="5"/>
    <tableColumn name="Notable Stamps" id="6"/>
  </tableColumns>
  <tableStyleInfo name="Relic Albums-style 3" showColumnStripes="0" showFirstColumn="1" showLastColumn="1" showRowStripes="1"/>
</table>
</file>

<file path=xl/tables/table333.xml><?xml version="1.0" encoding="utf-8"?>
<table xmlns="http://schemas.openxmlformats.org/spreadsheetml/2006/main" ref="A111:F125" displayName="Table_333" name="Table_333" id="333">
  <tableColumns count="6">
    <tableColumn name="Order" id="1"/>
    <tableColumn name="Travelers Relic" id="2"/>
    <tableColumn name="(Days)" id="3"/>
    <tableColumn name="Passive" id="4"/>
    <tableColumn name="Stamp Type" id="5"/>
    <tableColumn name="Notable Stamps" id="6"/>
  </tableColumns>
  <tableStyleInfo name="Relic Albums-style 4" showColumnStripes="0" showFirstColumn="1" showLastColumn="1" showRowStripes="1"/>
</table>
</file>

<file path=xl/tables/table334.xml><?xml version="1.0" encoding="utf-8"?>
<table xmlns="http://schemas.openxmlformats.org/spreadsheetml/2006/main" ref="A129:F145" displayName="Table_334" name="Table_334" id="334">
  <tableColumns count="6">
    <tableColumn name="Order" id="1"/>
    <tableColumn name="Wish Box" id="2"/>
    <tableColumn name="(Days)" id="3"/>
    <tableColumn name="Passive" id="4"/>
    <tableColumn name="Stamp Type" id="5"/>
    <tableColumn name="Notable Stamps" id="6"/>
  </tableColumns>
  <tableStyleInfo name="Relic Albums-style 5" showColumnStripes="0" showFirstColumn="1" showLastColumn="1" showRowStripes="1"/>
</table>
</file>

<file path=xl/tables/table335.xml><?xml version="1.0" encoding="utf-8"?>
<table xmlns="http://schemas.openxmlformats.org/spreadsheetml/2006/main" ref="A150:F162" displayName="Table_335" name="Table_335" id="335">
  <tableColumns count="6">
    <tableColumn name="Order" id="1"/>
    <tableColumn name="Weekly Special" id="2"/>
    <tableColumn name="(Days)" id="3"/>
    <tableColumn name="Passive" id="4"/>
    <tableColumn name="Stamp Type" id="5"/>
    <tableColumn name="Notable Stamps" id="6"/>
  </tableColumns>
  <tableStyleInfo name="Relic Albums-style 6" showColumnStripes="0" showFirstColumn="1" showLastColumn="1" showRowStripes="1"/>
</table>
</file>

<file path=xl/tables/table336.xml><?xml version="1.0" encoding="utf-8"?>
<table xmlns="http://schemas.openxmlformats.org/spreadsheetml/2006/main" ref="A167:F195" displayName="Table_336" name="Table_336" id="336">
  <tableColumns count="6">
    <tableColumn name="Order" id="1"/>
    <tableColumn name="Lottery Box (AAA)" id="2"/>
    <tableColumn name="(Rounds)" id="3"/>
    <tableColumn name="Passive" id="4"/>
    <tableColumn name="Stamp Type" id="5"/>
    <tableColumn name="Notable Stamps" id="6"/>
  </tableColumns>
  <tableStyleInfo name="Relic Albums-style 7" showColumnStripes="0" showFirstColumn="1" showLastColumn="1" showRowStripes="1"/>
</table>
</file>

<file path=xl/tables/table337.xml><?xml version="1.0" encoding="utf-8"?>
<table xmlns="http://schemas.openxmlformats.org/spreadsheetml/2006/main" headerRowCount="0" ref="A2:C32" displayName="Table_337" name="Table_337" id="337">
  <tableColumns count="3">
    <tableColumn name="Column1" id="1"/>
    <tableColumn name="Column2" id="2"/>
    <tableColumn name="Column3" id="3"/>
  </tableColumns>
  <tableStyleInfo name="Lotto2 Expanded Sto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8.xml><?xml version="1.0" encoding="utf-8"?>
<table xmlns="http://schemas.openxmlformats.org/spreadsheetml/2006/main" headerRowCount="0" ref="E2:G12" displayName="Table_338" name="Table_338" id="338">
  <tableColumns count="3">
    <tableColumn name="Column1" id="1"/>
    <tableColumn name="Column2" id="2"/>
    <tableColumn name="Column3" id="3"/>
  </tableColumns>
  <tableStyleInfo name="Lotto2 Expanded Stock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9.xml><?xml version="1.0" encoding="utf-8"?>
<table xmlns="http://schemas.openxmlformats.org/spreadsheetml/2006/main" headerRowCount="0" ref="A43:C61" displayName="Table_339" name="Table_339" id="339">
  <tableColumns count="3">
    <tableColumn name="Column1" id="1"/>
    <tableColumn name="Column2" id="2"/>
    <tableColumn name="Column3" id="3"/>
  </tableColumns>
  <tableStyleInfo name="Lotto3 Expanded Stock-style" showColumnStripes="0" showFirstColumn="1" showLastColumn="1" showRowStripes="1"/>
</table>
</file>

<file path=xl/tables/table340.xml><?xml version="1.0" encoding="utf-8"?>
<table xmlns="http://schemas.openxmlformats.org/spreadsheetml/2006/main" ref="A1:F55" displayName="Table_340" name="Table_340" id="340">
  <tableColumns count="6">
    <tableColumn name="Name" id="1"/>
    <tableColumn name="Rarity" id="2"/>
    <tableColumn name="Type" id="3"/>
    <tableColumn name="Awakening Stat" id="4"/>
    <tableColumn name="Value" id="5"/>
    <tableColumn name="Source" id="6"/>
  </tableColumns>
  <tableStyleInfo name="Useful Awakenings-style" showColumnStripes="0" showFirstColumn="1" showLastColumn="1" showRowStripes="1"/>
</table>
</file>

<file path=xl/tables/table341.xml><?xml version="1.0" encoding="utf-8"?>
<table xmlns="http://schemas.openxmlformats.org/spreadsheetml/2006/main" headerRowCount="0" ref="A4:L4" displayName="Table_341" name="Table_341" id="34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ift Anecdo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2.xml><?xml version="1.0" encoding="utf-8"?>
<table xmlns="http://schemas.openxmlformats.org/spreadsheetml/2006/main" ref="A5:C27" displayName="Table_342" name="Table_342" id="342">
  <tableColumns count="3">
    <tableColumn name="No." id="1"/>
    <tableColumn name="Name" id="2"/>
    <tableColumn name="Setting" id="3"/>
  </tableColumns>
  <tableStyleInfo name="Rift Anecdotes-style 2" showColumnStripes="0" showFirstColumn="1" showLastColumn="1" showRowStripes="1"/>
</table>
</file>

<file path=xl/tables/table343.xml><?xml version="1.0" encoding="utf-8"?>
<table xmlns="http://schemas.openxmlformats.org/spreadsheetml/2006/main" headerRowCount="0" ref="D5:H5" displayName="Table_343" name="Table_343" id="343">
  <tableColumns count="5">
    <tableColumn name="Column1" id="1"/>
    <tableColumn name="Column2" id="2"/>
    <tableColumn name="Column3" id="3"/>
    <tableColumn name="Column4" id="4"/>
    <tableColumn name="Column5" id="5"/>
  </tableColumns>
  <tableStyleInfo name="Rift Anecdo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4.xml><?xml version="1.0" encoding="utf-8"?>
<table xmlns="http://schemas.openxmlformats.org/spreadsheetml/2006/main" ref="I5:M27" displayName="Table_344" name="Table_344" id="344">
  <tableColumns count="5">
    <tableColumn name="Athena" id="1"/>
    <tableColumn name="Idol" id="2"/>
    <tableColumn name="Idol Level" id="3"/>
    <tableColumn name="Excalibra Level" id="4"/>
    <tableColumn name="Amakusa Level" id="5"/>
  </tableColumns>
  <tableStyleInfo name="Rift Anecdotes-style 4" showColumnStripes="0" showFirstColumn="1" showLastColumn="1" showRowStripes="1"/>
</table>
</file>

<file path=xl/tables/table345.xml><?xml version="1.0" encoding="utf-8"?>
<table xmlns="http://schemas.openxmlformats.org/spreadsheetml/2006/main" ref="N5:N27" displayName="Table_345" name="Table_345" id="345">
  <tableColumns count="1">
    <tableColumn name="Commissioner" id="1"/>
  </tableColumns>
  <tableStyleInfo name="Rift Anecdotes-style 5" showColumnStripes="0" showFirstColumn="1" showLastColumn="1" showRowStripes="1"/>
</table>
</file>

<file path=xl/tables/table346.xml><?xml version="1.0" encoding="utf-8"?>
<table xmlns="http://schemas.openxmlformats.org/spreadsheetml/2006/main" ref="X5:X27" displayName="Table_346" name="Table_346" id="346">
  <tableColumns count="1">
    <tableColumn name="Name" id="1"/>
  </tableColumns>
  <tableStyleInfo name="Rift Anecdotes-style 6" showColumnStripes="0" showFirstColumn="1" showLastColumn="1" showRowStripes="1"/>
</table>
</file>

<file path=xl/tables/table347.xml><?xml version="1.0" encoding="utf-8"?>
<table xmlns="http://schemas.openxmlformats.org/spreadsheetml/2006/main" headerRowCount="0" ref="Y5:AC5" displayName="Table_347" name="Table_347" id="347">
  <tableColumns count="5">
    <tableColumn name="Column1" id="1"/>
    <tableColumn name="Column2" id="2"/>
    <tableColumn name="Column3" id="3"/>
    <tableColumn name="Column4" id="4"/>
    <tableColumn name="Column5" id="5"/>
  </tableColumns>
  <tableStyleInfo name="Rift Anecdot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8.xml><?xml version="1.0" encoding="utf-8"?>
<table xmlns="http://schemas.openxmlformats.org/spreadsheetml/2006/main" headerRowCount="0" ref="A33:J33" displayName="Table_348" name="Table_348" id="34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ift Anecdote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9.xml><?xml version="1.0" encoding="utf-8"?>
<table xmlns="http://schemas.openxmlformats.org/spreadsheetml/2006/main" ref="A34:J56" displayName="Table_349" name="Table_349" id="349">
  <tableColumns count="10">
    <tableColumn name="No." id="1"/>
    <tableColumn name="Name" id="2"/>
    <tableColumn name="Setting" id="3"/>
    <tableColumn name="Rec. Riding" id="4"/>
    <tableColumn name="Clear Riding" id="5"/>
    <tableColumn name="Venue" id="6"/>
    <tableColumn name="Guan Yu" id="7"/>
    <tableColumn name="Tridentman" id="8"/>
    <tableColumn name="Kitty" id="9"/>
    <tableColumn name="Commisioner" id="10"/>
  </tableColumns>
  <tableStyleInfo name="Rift Anecdotes-style 9" showColumnStripes="0" showFirstColumn="1" showLastColumn="1" showRowStripes="1"/>
</table>
</file>

<file path=xl/tables/table350.xml><?xml version="1.0" encoding="utf-8"?>
<table xmlns="http://schemas.openxmlformats.org/spreadsheetml/2006/main" headerRowCount="0" ref="A61:L61" displayName="Table_350" name="Table_350" id="35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ift Anecdote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1.xml><?xml version="1.0" encoding="utf-8"?>
<table xmlns="http://schemas.openxmlformats.org/spreadsheetml/2006/main" ref="A62:L85" displayName="Table_351" name="Table_351" id="351">
  <tableColumns count="12">
    <tableColumn name="No." id="1"/>
    <tableColumn name="Name" id="2"/>
    <tableColumn name="Setting" id="3"/>
    <tableColumn name="Rec. Sailing" id="4"/>
    <tableColumn name="Clear Sailing" id="5"/>
    <tableColumn name="Boss" id="6"/>
    <tableColumn name="Boss Firepower" id="7"/>
    <tableColumn name="Trident Man" id="8"/>
    <tableColumn name="St. Trinidad" id="9"/>
    <tableColumn name="Soleil Royal" id="10"/>
    <tableColumn name="Dragon Horse" id="11"/>
    <tableColumn name="Peacekeeper" id="12"/>
  </tableColumns>
  <tableStyleInfo name="Rift Anecdotes-style 11" showColumnStripes="0" showFirstColumn="1" showLastColumn="1" showRowStripes="1"/>
</table>
</file>

<file path=xl/tables/table352.xml><?xml version="1.0" encoding="utf-8"?>
<table xmlns="http://schemas.openxmlformats.org/spreadsheetml/2006/main" headerRowCount="0" ref="A89:L89" displayName="Table_352" name="Table_352" id="35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ift Anecdotes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3.xml><?xml version="1.0" encoding="utf-8"?>
<table xmlns="http://schemas.openxmlformats.org/spreadsheetml/2006/main" ref="A90:L113" displayName="Table_353" name="Table_353" id="353">
  <tableColumns count="12">
    <tableColumn name="No." id="1"/>
    <tableColumn name="Name" id="2"/>
    <tableColumn name="Setting" id="3"/>
    <tableColumn name="Rec. Nin." id="4"/>
    <tableColumn name="Clear Nin." id="5"/>
    <tableColumn name="Weakness" id="6"/>
    <tableColumn name="HP" id="7"/>
    <tableColumn name="Momochi" id="8"/>
    <tableColumn name="Hitman" id="9"/>
    <tableColumn name="Poisoner" id="10"/>
    <tableColumn name="Amakusa" id="11"/>
    <tableColumn name="Kitty" id="12"/>
  </tableColumns>
  <tableStyleInfo name="Rift Anecdotes-style 13" showColumnStripes="0" showFirstColumn="1" showLastColumn="1" showRowStripes="1"/>
</table>
</file>

<file path=xl/tables/table354.xml><?xml version="1.0" encoding="utf-8"?>
<table xmlns="http://schemas.openxmlformats.org/spreadsheetml/2006/main" headerRowCount="0" ref="A117:I117" displayName="Table_354" name="Table_354" id="35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ift Anecdotes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5.xml><?xml version="1.0" encoding="utf-8"?>
<table xmlns="http://schemas.openxmlformats.org/spreadsheetml/2006/main" ref="A118:I140" displayName="Table_355" name="Table_355" id="355">
  <tableColumns count="9">
    <tableColumn name="No." id="1"/>
    <tableColumn name="Name" id="2"/>
    <tableColumn name="Setting" id="3"/>
    <tableColumn name="Rec. Def." id="4"/>
    <tableColumn name="Clear Def." id="5"/>
    <tableColumn name="Momochi" id="6"/>
    <tableColumn name="Past Pyr." id="7"/>
    <tableColumn name="Huang" id="8"/>
    <tableColumn name="Future Pyr." id="9"/>
  </tableColumns>
  <tableStyleInfo name="Rift Anecdotes-style 15" showColumnStripes="0" showFirstColumn="1" showLastColumn="1" showRowStripes="1"/>
</table>
</file>

<file path=xl/tables/table356.xml><?xml version="1.0" encoding="utf-8"?>
<table xmlns="http://schemas.openxmlformats.org/spreadsheetml/2006/main" headerRowCount="0" ref="A144:K144" displayName="Table_356" name="Table_356" id="35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ift Anecdotes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7.xml><?xml version="1.0" encoding="utf-8"?>
<table xmlns="http://schemas.openxmlformats.org/spreadsheetml/2006/main" ref="A145:K168" displayName="Table_357" name="Table_357" id="357">
  <tableColumns count="11">
    <tableColumn name="No." id="1"/>
    <tableColumn name="Name" id="2"/>
    <tableColumn name="Setting" id="3"/>
    <tableColumn name="Rec. Dhar." id="4"/>
    <tableColumn name="Clear Dhar." id="5"/>
    <tableColumn name="Enemies" id="6"/>
    <tableColumn name="Hitman" id="7"/>
    <tableColumn name="Sanzang" id="8"/>
    <tableColumn name="Dragon Horse" id="9"/>
    <tableColumn name="Poisoner" id="10"/>
    <tableColumn name="Mad Abe" id="11"/>
  </tableColumns>
  <tableStyleInfo name="Rift Anecdotes-style 17" showColumnStripes="0" showFirstColumn="1" showLastColumn="1" showRowStripes="1"/>
</table>
</file>

<file path=xl/tables/table358.xml><?xml version="1.0" encoding="utf-8"?>
<table xmlns="http://schemas.openxmlformats.org/spreadsheetml/2006/main" headerRowCount="0" ref="A172:L172" displayName="Table_358" name="Table_358" id="35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ift Anecdote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9.xml><?xml version="1.0" encoding="utf-8"?>
<table xmlns="http://schemas.openxmlformats.org/spreadsheetml/2006/main" ref="A173:L195" displayName="Table_359" name="Table_359" id="359">
  <tableColumns count="12">
    <tableColumn name="No." id="1"/>
    <tableColumn name="Name" id="2"/>
    <tableColumn name="Setting" id="3"/>
    <tableColumn name="Rec. Band" id="4"/>
    <tableColumn name="Clear Band" id="5"/>
    <tableColumn name="Style" id="6"/>
    <tableColumn name="Score" id="7"/>
    <tableColumn name="Athena" id="8"/>
    <tableColumn name="Idol Boy" id="9"/>
    <tableColumn name="Commissioner" id="10"/>
    <tableColumn name="Dracula" id="11"/>
    <tableColumn name="Huang" id="12"/>
  </tableColumns>
  <tableStyleInfo name="Rift Anecdotes-style 19" showColumnStripes="0" showFirstColumn="1" showLastColumn="1" showRowStripes="1"/>
</table>
</file>

<file path=xl/tables/table360.xml><?xml version="1.0" encoding="utf-8"?>
<table xmlns="http://schemas.openxmlformats.org/spreadsheetml/2006/main" headerRowCount="0" ref="A199:I199" displayName="Table_360" name="Table_360" id="36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ift Anecdotes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1.xml><?xml version="1.0" encoding="utf-8"?>
<table xmlns="http://schemas.openxmlformats.org/spreadsheetml/2006/main" ref="A200:I223" displayName="Table_361" name="Table_361" id="361">
  <tableColumns count="9">
    <tableColumn name="No." id="1"/>
    <tableColumn name="Name" id="2"/>
    <tableColumn name="Setting" id="3"/>
    <tableColumn name="Rec. Siege" id="4"/>
    <tableColumn name="Clear Siege" id="5"/>
    <tableColumn name="Formation" id="6"/>
    <tableColumn name="Mad Abe" id="7"/>
    <tableColumn name="Future Pyr." id="8"/>
    <tableColumn name="Others S+" id="9"/>
  </tableColumns>
  <tableStyleInfo name="Rift Anecdotes-style 21" showColumnStripes="0" showFirstColumn="1" showLastColumn="1" showRowStripes="1"/>
</table>
</file>

<file path=xl/tables/table362.xml><?xml version="1.0" encoding="utf-8"?>
<table xmlns="http://schemas.openxmlformats.org/spreadsheetml/2006/main" ref="B44:F176" displayName="Table_362" name="Table_362" id="362">
  <tableColumns count="5">
    <tableColumn name="Name" id="1"/>
    <tableColumn name="Biome" id="2"/>
    <tableColumn name="Rarity" id="3"/>
    <tableColumn name="Type" id="4"/>
    <tableColumn name="Adaptability" id="5"/>
  </tableColumns>
  <tableStyleInfo name="Protomon-style" showColumnStripes="0" showFirstColumn="1" showLastColumn="1" showRowStripes="1"/>
</table>
</file>

<file path=xl/tables/table363.xml><?xml version="1.0" encoding="utf-8"?>
<table xmlns="http://schemas.openxmlformats.org/spreadsheetml/2006/main" ref="I45:Q49" displayName="Table_363" name="Table_363" id="363">
  <tableColumns count="9">
    <tableColumn name="Rarity" id="1"/>
    <tableColumn name="Level Gain" id="2"/>
    <tableColumn name="1* Base" id="3"/>
    <tableColumn name="2* Base" id="4"/>
    <tableColumn name="3* Base" id="5"/>
    <tableColumn name="4* Base" id="6"/>
    <tableColumn name="5* Base" id="7"/>
    <tableColumn name="6* Base" id="8"/>
    <tableColumn name="7* Base" id="9"/>
  </tableColumns>
  <tableStyleInfo name="Protomon-style 2" showColumnStripes="0" showFirstColumn="1" showLastColumn="1" showRowStripes="1"/>
</table>
</file>

<file path=xl/tables/table364.xml><?xml version="1.0" encoding="utf-8"?>
<table xmlns="http://schemas.openxmlformats.org/spreadsheetml/2006/main" ref="I52:Q57" displayName="Table_364" name="Table_364" id="364">
  <tableColumns count="9">
    <tableColumn name="Rarity" id="1"/>
    <tableColumn name="Level Gain" id="2"/>
    <tableColumn name="1* Base" id="3"/>
    <tableColumn name="2* Base" id="4"/>
    <tableColumn name="3* Base" id="5"/>
    <tableColumn name="4* Base" id="6"/>
    <tableColumn name="5* Base" id="7"/>
    <tableColumn name="6* Base" id="8"/>
    <tableColumn name="7* Base" id="9"/>
  </tableColumns>
  <tableStyleInfo name="Protomon-style 3" showColumnStripes="0" showFirstColumn="1" showLastColumn="1" showRowStripes="1"/>
</table>
</file>

<file path=xl/tables/table365.xml><?xml version="1.0" encoding="utf-8"?>
<table xmlns="http://schemas.openxmlformats.org/spreadsheetml/2006/main" ref="I60:J65" displayName="Table_365" name="Table_365" id="365">
  <tableColumns count="2">
    <tableColumn name="Adaptability" id="1"/>
    <tableColumn name="% Multiplier" id="2"/>
  </tableColumns>
  <tableStyleInfo name="Protomon-style 4" showColumnStripes="0" showFirstColumn="1" showLastColumn="1" showRowStripes="1"/>
</table>
</file>

<file path=xl/tables/table366.xml><?xml version="1.0" encoding="utf-8"?>
<table xmlns="http://schemas.openxmlformats.org/spreadsheetml/2006/main" ref="N60:P67" displayName="Table_366" name="Table_366" id="366">
  <tableColumns count="3">
    <tableColumn name="Star" id="1"/>
    <tableColumn name="Max Priest" id="2"/>
    <tableColumn name="Max Devotee" id="3"/>
  </tableColumns>
  <tableStyleInfo name="Protomon-style 5" showColumnStripes="0" showFirstColumn="1" showLastColumn="1" showRowStripes="1"/>
</table>
</file>

<file path=xl/tables/table367.xml><?xml version="1.0" encoding="utf-8"?>
<table xmlns="http://schemas.openxmlformats.org/spreadsheetml/2006/main" ref="I70:L310" displayName="Table_367" name="Table_367" id="367">
  <tableColumns count="4">
    <tableColumn name="Level" id="1"/>
    <tableColumn name="Protolith" id="2"/>
    <tableColumn name="Cumulative" id="3"/>
    <tableColumn name="Level 2" id="4"/>
  </tableColumns>
  <tableStyleInfo name="Protomon-style 6" showColumnStripes="0" showFirstColumn="1" showLastColumn="1" showRowStripes="1"/>
</table>
</file>

<file path=xl/tables/table368.xml><?xml version="1.0" encoding="utf-8"?>
<table xmlns="http://schemas.openxmlformats.org/spreadsheetml/2006/main" ref="A2:K100" displayName="Table_368" name="Table_368" id="368">
  <tableColumns count="11">
    <tableColumn name="Hitman No." id="1"/>
    <tableColumn name="ATK" id="2"/>
    <tableColumn name="DEF" id="3"/>
    <tableColumn name="HP" id="4"/>
    <tableColumn name="Weakness" id="5"/>
    <tableColumn name="Reward" id="6"/>
    <tableColumn name="ATK 2" id="7"/>
    <tableColumn name="DEF 2" id="8"/>
    <tableColumn name="HP 2" id="9"/>
    <tableColumn name="Weakness 2" id="10"/>
    <tableColumn name="Reward 2" id="11"/>
  </tableColumns>
  <tableStyleInfo name="Hitmen-style" showColumnStripes="0" showFirstColumn="1" showLastColumn="1" showRowStripes="1"/>
</table>
</file>

<file path=xl/tables/table369.xml><?xml version="1.0" encoding="utf-8"?>
<table xmlns="http://schemas.openxmlformats.org/spreadsheetml/2006/main" ref="M3:N4" displayName="Table_369" name="Table_369" id="369">
  <tableColumns count="2">
    <tableColumn name="Current AFFCT" id="1"/>
    <tableColumn name="Hitman w/ RUSH" id="2"/>
  </tableColumns>
  <tableStyleInfo name="Hitme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31" Type="http://schemas.openxmlformats.org/officeDocument/2006/relationships/table" Target="../tables/table21.xml"/><Relationship Id="rId30" Type="http://schemas.openxmlformats.org/officeDocument/2006/relationships/table" Target="../tables/table20.xml"/><Relationship Id="rId22" Type="http://schemas.openxmlformats.org/officeDocument/2006/relationships/table" Target="../tables/table12.xml"/><Relationship Id="rId33" Type="http://schemas.openxmlformats.org/officeDocument/2006/relationships/table" Target="../tables/table23.xml"/><Relationship Id="rId21" Type="http://schemas.openxmlformats.org/officeDocument/2006/relationships/table" Target="../tables/table11.xml"/><Relationship Id="rId32" Type="http://schemas.openxmlformats.org/officeDocument/2006/relationships/table" Target="../tables/table22.xml"/><Relationship Id="rId24" Type="http://schemas.openxmlformats.org/officeDocument/2006/relationships/table" Target="../tables/table14.xml"/><Relationship Id="rId35" Type="http://schemas.openxmlformats.org/officeDocument/2006/relationships/table" Target="../tables/table25.xml"/><Relationship Id="rId23" Type="http://schemas.openxmlformats.org/officeDocument/2006/relationships/table" Target="../tables/table13.xml"/><Relationship Id="rId34" Type="http://schemas.openxmlformats.org/officeDocument/2006/relationships/table" Target="../tables/table24.xml"/><Relationship Id="rId1" Type="http://schemas.openxmlformats.org/officeDocument/2006/relationships/drawing" Target="../drawings/drawing2.xml"/><Relationship Id="rId26" Type="http://schemas.openxmlformats.org/officeDocument/2006/relationships/table" Target="../tables/table16.xml"/><Relationship Id="rId25" Type="http://schemas.openxmlformats.org/officeDocument/2006/relationships/table" Target="../tables/table15.xml"/><Relationship Id="rId28" Type="http://schemas.openxmlformats.org/officeDocument/2006/relationships/table" Target="../tables/table18.xml"/><Relationship Id="rId27" Type="http://schemas.openxmlformats.org/officeDocument/2006/relationships/table" Target="../tables/table17.xml"/><Relationship Id="rId19" Type="http://schemas.openxmlformats.org/officeDocument/2006/relationships/table" Target="../tables/table9.xml"/><Relationship Id="rId29" Type="http://schemas.openxmlformats.org/officeDocument/2006/relationships/table" Target="../tables/table19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7.xml"/><Relationship Id="rId42" Type="http://schemas.openxmlformats.org/officeDocument/2006/relationships/table" Target="../tables/table39.xml"/><Relationship Id="rId41" Type="http://schemas.openxmlformats.org/officeDocument/2006/relationships/table" Target="../tables/table38.xml"/><Relationship Id="rId44" Type="http://schemas.openxmlformats.org/officeDocument/2006/relationships/table" Target="../tables/table41.xml"/><Relationship Id="rId43" Type="http://schemas.openxmlformats.org/officeDocument/2006/relationships/table" Target="../tables/table40.xml"/><Relationship Id="rId46" Type="http://schemas.openxmlformats.org/officeDocument/2006/relationships/table" Target="../tables/table43.xml"/><Relationship Id="rId45" Type="http://schemas.openxmlformats.org/officeDocument/2006/relationships/table" Target="../tables/table42.xml"/><Relationship Id="rId1" Type="http://schemas.openxmlformats.org/officeDocument/2006/relationships/drawing" Target="../drawings/drawing3.xml"/><Relationship Id="rId48" Type="http://schemas.openxmlformats.org/officeDocument/2006/relationships/table" Target="../tables/table45.xml"/><Relationship Id="rId47" Type="http://schemas.openxmlformats.org/officeDocument/2006/relationships/table" Target="../tables/table44.xml"/><Relationship Id="rId49" Type="http://schemas.openxmlformats.org/officeDocument/2006/relationships/table" Target="../tables/table46.xml"/><Relationship Id="rId29" Type="http://schemas.openxmlformats.org/officeDocument/2006/relationships/table" Target="../tables/table26.xml"/><Relationship Id="rId51" Type="http://schemas.openxmlformats.org/officeDocument/2006/relationships/table" Target="../tables/table48.xml"/><Relationship Id="rId50" Type="http://schemas.openxmlformats.org/officeDocument/2006/relationships/table" Target="../tables/table47.xml"/><Relationship Id="rId31" Type="http://schemas.openxmlformats.org/officeDocument/2006/relationships/table" Target="../tables/table28.xml"/><Relationship Id="rId53" Type="http://schemas.openxmlformats.org/officeDocument/2006/relationships/table" Target="../tables/table50.xml"/><Relationship Id="rId30" Type="http://schemas.openxmlformats.org/officeDocument/2006/relationships/table" Target="../tables/table27.xml"/><Relationship Id="rId52" Type="http://schemas.openxmlformats.org/officeDocument/2006/relationships/table" Target="../tables/table49.xml"/><Relationship Id="rId33" Type="http://schemas.openxmlformats.org/officeDocument/2006/relationships/table" Target="../tables/table30.xml"/><Relationship Id="rId55" Type="http://schemas.openxmlformats.org/officeDocument/2006/relationships/table" Target="../tables/table52.xml"/><Relationship Id="rId32" Type="http://schemas.openxmlformats.org/officeDocument/2006/relationships/table" Target="../tables/table29.xml"/><Relationship Id="rId54" Type="http://schemas.openxmlformats.org/officeDocument/2006/relationships/table" Target="../tables/table51.xml"/><Relationship Id="rId35" Type="http://schemas.openxmlformats.org/officeDocument/2006/relationships/table" Target="../tables/table32.xml"/><Relationship Id="rId34" Type="http://schemas.openxmlformats.org/officeDocument/2006/relationships/table" Target="../tables/table31.xml"/><Relationship Id="rId37" Type="http://schemas.openxmlformats.org/officeDocument/2006/relationships/table" Target="../tables/table34.xml"/><Relationship Id="rId36" Type="http://schemas.openxmlformats.org/officeDocument/2006/relationships/table" Target="../tables/table33.xml"/><Relationship Id="rId39" Type="http://schemas.openxmlformats.org/officeDocument/2006/relationships/table" Target="../tables/table36.xml"/><Relationship Id="rId38" Type="http://schemas.openxmlformats.org/officeDocument/2006/relationships/table" Target="../tables/table35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4.xml"/><Relationship Id="rId22" Type="http://schemas.openxmlformats.org/officeDocument/2006/relationships/table" Target="../tables/table56.xml"/><Relationship Id="rId21" Type="http://schemas.openxmlformats.org/officeDocument/2006/relationships/table" Target="../tables/table55.xml"/><Relationship Id="rId24" Type="http://schemas.openxmlformats.org/officeDocument/2006/relationships/table" Target="../tables/table58.xml"/><Relationship Id="rId23" Type="http://schemas.openxmlformats.org/officeDocument/2006/relationships/table" Target="../tables/table57.xml"/><Relationship Id="rId1" Type="http://schemas.openxmlformats.org/officeDocument/2006/relationships/drawing" Target="../drawings/drawing4.xml"/><Relationship Id="rId26" Type="http://schemas.openxmlformats.org/officeDocument/2006/relationships/table" Target="../tables/table60.xml"/><Relationship Id="rId25" Type="http://schemas.openxmlformats.org/officeDocument/2006/relationships/table" Target="../tables/table59.xml"/><Relationship Id="rId28" Type="http://schemas.openxmlformats.org/officeDocument/2006/relationships/table" Target="../tables/table62.xml"/><Relationship Id="rId27" Type="http://schemas.openxmlformats.org/officeDocument/2006/relationships/table" Target="../tables/table61.xml"/><Relationship Id="rId29" Type="http://schemas.openxmlformats.org/officeDocument/2006/relationships/table" Target="../tables/table63.xml"/><Relationship Id="rId31" Type="http://schemas.openxmlformats.org/officeDocument/2006/relationships/table" Target="../tables/table65.xml"/><Relationship Id="rId30" Type="http://schemas.openxmlformats.org/officeDocument/2006/relationships/table" Target="../tables/table64.xml"/><Relationship Id="rId33" Type="http://schemas.openxmlformats.org/officeDocument/2006/relationships/table" Target="../tables/table67.xml"/><Relationship Id="rId32" Type="http://schemas.openxmlformats.org/officeDocument/2006/relationships/table" Target="../tables/table66.xml"/><Relationship Id="rId35" Type="http://schemas.openxmlformats.org/officeDocument/2006/relationships/table" Target="../tables/table69.xml"/><Relationship Id="rId34" Type="http://schemas.openxmlformats.org/officeDocument/2006/relationships/table" Target="../tables/table68.xml"/><Relationship Id="rId19" Type="http://schemas.openxmlformats.org/officeDocument/2006/relationships/table" Target="../tables/table53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2.xml"/><Relationship Id="rId22" Type="http://schemas.openxmlformats.org/officeDocument/2006/relationships/table" Target="../tables/table74.xml"/><Relationship Id="rId21" Type="http://schemas.openxmlformats.org/officeDocument/2006/relationships/table" Target="../tables/table73.xml"/><Relationship Id="rId24" Type="http://schemas.openxmlformats.org/officeDocument/2006/relationships/table" Target="../tables/table76.xml"/><Relationship Id="rId23" Type="http://schemas.openxmlformats.org/officeDocument/2006/relationships/table" Target="../tables/table75.xml"/><Relationship Id="rId1" Type="http://schemas.openxmlformats.org/officeDocument/2006/relationships/drawing" Target="../drawings/drawing5.xml"/><Relationship Id="rId26" Type="http://schemas.openxmlformats.org/officeDocument/2006/relationships/table" Target="../tables/table78.xml"/><Relationship Id="rId25" Type="http://schemas.openxmlformats.org/officeDocument/2006/relationships/table" Target="../tables/table77.xml"/><Relationship Id="rId28" Type="http://schemas.openxmlformats.org/officeDocument/2006/relationships/table" Target="../tables/table80.xml"/><Relationship Id="rId27" Type="http://schemas.openxmlformats.org/officeDocument/2006/relationships/table" Target="../tables/table79.xml"/><Relationship Id="rId29" Type="http://schemas.openxmlformats.org/officeDocument/2006/relationships/table" Target="../tables/table81.xml"/><Relationship Id="rId31" Type="http://schemas.openxmlformats.org/officeDocument/2006/relationships/table" Target="../tables/table83.xml"/><Relationship Id="rId30" Type="http://schemas.openxmlformats.org/officeDocument/2006/relationships/table" Target="../tables/table82.xml"/><Relationship Id="rId33" Type="http://schemas.openxmlformats.org/officeDocument/2006/relationships/table" Target="../tables/table85.xml"/><Relationship Id="rId32" Type="http://schemas.openxmlformats.org/officeDocument/2006/relationships/table" Target="../tables/table84.xml"/><Relationship Id="rId19" Type="http://schemas.openxmlformats.org/officeDocument/2006/relationships/table" Target="../tables/table71.xml"/><Relationship Id="rId18" Type="http://schemas.openxmlformats.org/officeDocument/2006/relationships/table" Target="../tables/table70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3.xml"/><Relationship Id="rId62" Type="http://schemas.openxmlformats.org/officeDocument/2006/relationships/table" Target="../tables/table115.xml"/><Relationship Id="rId61" Type="http://schemas.openxmlformats.org/officeDocument/2006/relationships/table" Target="../tables/table114.xml"/><Relationship Id="rId42" Type="http://schemas.openxmlformats.org/officeDocument/2006/relationships/table" Target="../tables/table95.xml"/><Relationship Id="rId41" Type="http://schemas.openxmlformats.org/officeDocument/2006/relationships/table" Target="../tables/table94.xml"/><Relationship Id="rId63" Type="http://schemas.openxmlformats.org/officeDocument/2006/relationships/table" Target="../tables/table116.xml"/><Relationship Id="rId44" Type="http://schemas.openxmlformats.org/officeDocument/2006/relationships/table" Target="../tables/table97.xml"/><Relationship Id="rId43" Type="http://schemas.openxmlformats.org/officeDocument/2006/relationships/table" Target="../tables/table96.xml"/><Relationship Id="rId46" Type="http://schemas.openxmlformats.org/officeDocument/2006/relationships/table" Target="../tables/table99.xml"/><Relationship Id="rId45" Type="http://schemas.openxmlformats.org/officeDocument/2006/relationships/table" Target="../tables/table98.xml"/><Relationship Id="rId60" Type="http://schemas.openxmlformats.org/officeDocument/2006/relationships/table" Target="../tables/table113.xml"/><Relationship Id="rId1" Type="http://schemas.openxmlformats.org/officeDocument/2006/relationships/drawing" Target="../drawings/drawing6.xml"/><Relationship Id="rId48" Type="http://schemas.openxmlformats.org/officeDocument/2006/relationships/table" Target="../tables/table101.xml"/><Relationship Id="rId47" Type="http://schemas.openxmlformats.org/officeDocument/2006/relationships/table" Target="../tables/table100.xml"/><Relationship Id="rId49" Type="http://schemas.openxmlformats.org/officeDocument/2006/relationships/table" Target="../tables/table102.xml"/><Relationship Id="rId51" Type="http://schemas.openxmlformats.org/officeDocument/2006/relationships/table" Target="../tables/table104.xml"/><Relationship Id="rId50" Type="http://schemas.openxmlformats.org/officeDocument/2006/relationships/table" Target="../tables/table103.xml"/><Relationship Id="rId53" Type="http://schemas.openxmlformats.org/officeDocument/2006/relationships/table" Target="../tables/table106.xml"/><Relationship Id="rId52" Type="http://schemas.openxmlformats.org/officeDocument/2006/relationships/table" Target="../tables/table105.xml"/><Relationship Id="rId33" Type="http://schemas.openxmlformats.org/officeDocument/2006/relationships/table" Target="../tables/table86.xml"/><Relationship Id="rId55" Type="http://schemas.openxmlformats.org/officeDocument/2006/relationships/table" Target="../tables/table108.xml"/><Relationship Id="rId54" Type="http://schemas.openxmlformats.org/officeDocument/2006/relationships/table" Target="../tables/table107.xml"/><Relationship Id="rId35" Type="http://schemas.openxmlformats.org/officeDocument/2006/relationships/table" Target="../tables/table88.xml"/><Relationship Id="rId57" Type="http://schemas.openxmlformats.org/officeDocument/2006/relationships/table" Target="../tables/table110.xml"/><Relationship Id="rId34" Type="http://schemas.openxmlformats.org/officeDocument/2006/relationships/table" Target="../tables/table87.xml"/><Relationship Id="rId56" Type="http://schemas.openxmlformats.org/officeDocument/2006/relationships/table" Target="../tables/table109.xml"/><Relationship Id="rId37" Type="http://schemas.openxmlformats.org/officeDocument/2006/relationships/table" Target="../tables/table90.xml"/><Relationship Id="rId59" Type="http://schemas.openxmlformats.org/officeDocument/2006/relationships/table" Target="../tables/table112.xml"/><Relationship Id="rId36" Type="http://schemas.openxmlformats.org/officeDocument/2006/relationships/table" Target="../tables/table89.xml"/><Relationship Id="rId58" Type="http://schemas.openxmlformats.org/officeDocument/2006/relationships/table" Target="../tables/table111.xml"/><Relationship Id="rId39" Type="http://schemas.openxmlformats.org/officeDocument/2006/relationships/table" Target="../tables/table92.xml"/><Relationship Id="rId38" Type="http://schemas.openxmlformats.org/officeDocument/2006/relationships/table" Target="../tables/table91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9.xml"/><Relationship Id="rId62" Type="http://schemas.openxmlformats.org/officeDocument/2006/relationships/table" Target="../tables/table141.xml"/><Relationship Id="rId61" Type="http://schemas.openxmlformats.org/officeDocument/2006/relationships/table" Target="../tables/table140.xml"/><Relationship Id="rId42" Type="http://schemas.openxmlformats.org/officeDocument/2006/relationships/table" Target="../tables/table121.xml"/><Relationship Id="rId64" Type="http://schemas.openxmlformats.org/officeDocument/2006/relationships/table" Target="../tables/table143.xml"/><Relationship Id="rId41" Type="http://schemas.openxmlformats.org/officeDocument/2006/relationships/table" Target="../tables/table120.xml"/><Relationship Id="rId63" Type="http://schemas.openxmlformats.org/officeDocument/2006/relationships/table" Target="../tables/table142.xml"/><Relationship Id="rId44" Type="http://schemas.openxmlformats.org/officeDocument/2006/relationships/table" Target="../tables/table123.xml"/><Relationship Id="rId66" Type="http://schemas.openxmlformats.org/officeDocument/2006/relationships/table" Target="../tables/table145.xml"/><Relationship Id="rId43" Type="http://schemas.openxmlformats.org/officeDocument/2006/relationships/table" Target="../tables/table122.xml"/><Relationship Id="rId65" Type="http://schemas.openxmlformats.org/officeDocument/2006/relationships/table" Target="../tables/table144.xml"/><Relationship Id="rId46" Type="http://schemas.openxmlformats.org/officeDocument/2006/relationships/table" Target="../tables/table125.xml"/><Relationship Id="rId68" Type="http://schemas.openxmlformats.org/officeDocument/2006/relationships/table" Target="../tables/table147.xml"/><Relationship Id="rId45" Type="http://schemas.openxmlformats.org/officeDocument/2006/relationships/table" Target="../tables/table124.xml"/><Relationship Id="rId67" Type="http://schemas.openxmlformats.org/officeDocument/2006/relationships/table" Target="../tables/table146.xml"/><Relationship Id="rId60" Type="http://schemas.openxmlformats.org/officeDocument/2006/relationships/table" Target="../tables/table139.xml"/><Relationship Id="rId1" Type="http://schemas.openxmlformats.org/officeDocument/2006/relationships/drawing" Target="../drawings/drawing7.xml"/><Relationship Id="rId48" Type="http://schemas.openxmlformats.org/officeDocument/2006/relationships/table" Target="../tables/table127.xml"/><Relationship Id="rId47" Type="http://schemas.openxmlformats.org/officeDocument/2006/relationships/table" Target="../tables/table126.xml"/><Relationship Id="rId69" Type="http://schemas.openxmlformats.org/officeDocument/2006/relationships/table" Target="../tables/table148.xml"/><Relationship Id="rId49" Type="http://schemas.openxmlformats.org/officeDocument/2006/relationships/table" Target="../tables/table128.xml"/><Relationship Id="rId51" Type="http://schemas.openxmlformats.org/officeDocument/2006/relationships/table" Target="../tables/table130.xml"/><Relationship Id="rId73" Type="http://schemas.openxmlformats.org/officeDocument/2006/relationships/table" Target="../tables/table152.xml"/><Relationship Id="rId50" Type="http://schemas.openxmlformats.org/officeDocument/2006/relationships/table" Target="../tables/table129.xml"/><Relationship Id="rId72" Type="http://schemas.openxmlformats.org/officeDocument/2006/relationships/table" Target="../tables/table151.xml"/><Relationship Id="rId53" Type="http://schemas.openxmlformats.org/officeDocument/2006/relationships/table" Target="../tables/table132.xml"/><Relationship Id="rId52" Type="http://schemas.openxmlformats.org/officeDocument/2006/relationships/table" Target="../tables/table131.xml"/><Relationship Id="rId55" Type="http://schemas.openxmlformats.org/officeDocument/2006/relationships/table" Target="../tables/table134.xml"/><Relationship Id="rId54" Type="http://schemas.openxmlformats.org/officeDocument/2006/relationships/table" Target="../tables/table133.xml"/><Relationship Id="rId57" Type="http://schemas.openxmlformats.org/officeDocument/2006/relationships/table" Target="../tables/table136.xml"/><Relationship Id="rId56" Type="http://schemas.openxmlformats.org/officeDocument/2006/relationships/table" Target="../tables/table135.xml"/><Relationship Id="rId71" Type="http://schemas.openxmlformats.org/officeDocument/2006/relationships/table" Target="../tables/table150.xml"/><Relationship Id="rId70" Type="http://schemas.openxmlformats.org/officeDocument/2006/relationships/table" Target="../tables/table149.xml"/><Relationship Id="rId59" Type="http://schemas.openxmlformats.org/officeDocument/2006/relationships/table" Target="../tables/table138.xml"/><Relationship Id="rId58" Type="http://schemas.openxmlformats.org/officeDocument/2006/relationships/table" Target="../tables/table137.xml"/><Relationship Id="rId39" Type="http://schemas.openxmlformats.org/officeDocument/2006/relationships/table" Target="../tables/table118.xml"/><Relationship Id="rId38" Type="http://schemas.openxmlformats.org/officeDocument/2006/relationships/table" Target="../tables/table11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8.xml"/><Relationship Id="rId22" Type="http://schemas.openxmlformats.org/officeDocument/2006/relationships/table" Target="../tables/table160.xml"/><Relationship Id="rId21" Type="http://schemas.openxmlformats.org/officeDocument/2006/relationships/table" Target="../tables/table159.xml"/><Relationship Id="rId24" Type="http://schemas.openxmlformats.org/officeDocument/2006/relationships/table" Target="../tables/table162.xml"/><Relationship Id="rId23" Type="http://schemas.openxmlformats.org/officeDocument/2006/relationships/table" Target="../tables/table161.xml"/><Relationship Id="rId1" Type="http://schemas.openxmlformats.org/officeDocument/2006/relationships/drawing" Target="../drawings/drawing8.xml"/><Relationship Id="rId26" Type="http://schemas.openxmlformats.org/officeDocument/2006/relationships/table" Target="../tables/table164.xml"/><Relationship Id="rId25" Type="http://schemas.openxmlformats.org/officeDocument/2006/relationships/table" Target="../tables/table163.xml"/><Relationship Id="rId27" Type="http://schemas.openxmlformats.org/officeDocument/2006/relationships/table" Target="../tables/table165.xml"/><Relationship Id="rId15" Type="http://schemas.openxmlformats.org/officeDocument/2006/relationships/table" Target="../tables/table153.xml"/><Relationship Id="rId17" Type="http://schemas.openxmlformats.org/officeDocument/2006/relationships/table" Target="../tables/table155.xml"/><Relationship Id="rId16" Type="http://schemas.openxmlformats.org/officeDocument/2006/relationships/table" Target="../tables/table154.xml"/><Relationship Id="rId19" Type="http://schemas.openxmlformats.org/officeDocument/2006/relationships/table" Target="../tables/table157.xml"/><Relationship Id="rId18" Type="http://schemas.openxmlformats.org/officeDocument/2006/relationships/table" Target="../tables/table156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3.xml"/><Relationship Id="rId22" Type="http://schemas.openxmlformats.org/officeDocument/2006/relationships/table" Target="../tables/table175.xml"/><Relationship Id="rId21" Type="http://schemas.openxmlformats.org/officeDocument/2006/relationships/table" Target="../tables/table174.xml"/><Relationship Id="rId23" Type="http://schemas.openxmlformats.org/officeDocument/2006/relationships/table" Target="../tables/table176.xml"/><Relationship Id="rId1" Type="http://schemas.openxmlformats.org/officeDocument/2006/relationships/drawing" Target="../drawings/drawing9.xml"/><Relationship Id="rId13" Type="http://schemas.openxmlformats.org/officeDocument/2006/relationships/table" Target="../tables/table166.xml"/><Relationship Id="rId15" Type="http://schemas.openxmlformats.org/officeDocument/2006/relationships/table" Target="../tables/table168.xml"/><Relationship Id="rId14" Type="http://schemas.openxmlformats.org/officeDocument/2006/relationships/table" Target="../tables/table167.xml"/><Relationship Id="rId17" Type="http://schemas.openxmlformats.org/officeDocument/2006/relationships/table" Target="../tables/table170.xml"/><Relationship Id="rId16" Type="http://schemas.openxmlformats.org/officeDocument/2006/relationships/table" Target="../tables/table169.xml"/><Relationship Id="rId19" Type="http://schemas.openxmlformats.org/officeDocument/2006/relationships/table" Target="../tables/table172.xml"/><Relationship Id="rId18" Type="http://schemas.openxmlformats.org/officeDocument/2006/relationships/table" Target="../tables/table17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177.xml"/><Relationship Id="rId13" Type="http://schemas.openxmlformats.org/officeDocument/2006/relationships/table" Target="../tables/table179.xml"/><Relationship Id="rId12" Type="http://schemas.openxmlformats.org/officeDocument/2006/relationships/table" Target="../tables/table178.xml"/><Relationship Id="rId15" Type="http://schemas.openxmlformats.org/officeDocument/2006/relationships/table" Target="../tables/table181.xml"/><Relationship Id="rId14" Type="http://schemas.openxmlformats.org/officeDocument/2006/relationships/table" Target="../tables/table180.xml"/><Relationship Id="rId17" Type="http://schemas.openxmlformats.org/officeDocument/2006/relationships/table" Target="../tables/table183.xml"/><Relationship Id="rId16" Type="http://schemas.openxmlformats.org/officeDocument/2006/relationships/table" Target="../tables/table182.xml"/><Relationship Id="rId19" Type="http://schemas.openxmlformats.org/officeDocument/2006/relationships/table" Target="../tables/table185.xml"/><Relationship Id="rId18" Type="http://schemas.openxmlformats.org/officeDocument/2006/relationships/table" Target="../tables/table184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2.xml"/><Relationship Id="rId22" Type="http://schemas.openxmlformats.org/officeDocument/2006/relationships/table" Target="../tables/table194.xml"/><Relationship Id="rId21" Type="http://schemas.openxmlformats.org/officeDocument/2006/relationships/table" Target="../tables/table193.xml"/><Relationship Id="rId24" Type="http://schemas.openxmlformats.org/officeDocument/2006/relationships/table" Target="../tables/table196.xml"/><Relationship Id="rId23" Type="http://schemas.openxmlformats.org/officeDocument/2006/relationships/table" Target="../tables/table195.xml"/><Relationship Id="rId1" Type="http://schemas.openxmlformats.org/officeDocument/2006/relationships/drawing" Target="../drawings/drawing11.xml"/><Relationship Id="rId25" Type="http://schemas.openxmlformats.org/officeDocument/2006/relationships/table" Target="../tables/table197.xml"/><Relationship Id="rId15" Type="http://schemas.openxmlformats.org/officeDocument/2006/relationships/table" Target="../tables/table187.xml"/><Relationship Id="rId14" Type="http://schemas.openxmlformats.org/officeDocument/2006/relationships/table" Target="../tables/table186.xml"/><Relationship Id="rId17" Type="http://schemas.openxmlformats.org/officeDocument/2006/relationships/table" Target="../tables/table189.xml"/><Relationship Id="rId16" Type="http://schemas.openxmlformats.org/officeDocument/2006/relationships/table" Target="../tables/table188.xml"/><Relationship Id="rId19" Type="http://schemas.openxmlformats.org/officeDocument/2006/relationships/table" Target="../tables/table191.xml"/><Relationship Id="rId18" Type="http://schemas.openxmlformats.org/officeDocument/2006/relationships/table" Target="../tables/table190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05.xml"/><Relationship Id="rId22" Type="http://schemas.openxmlformats.org/officeDocument/2006/relationships/table" Target="../tables/table207.xml"/><Relationship Id="rId21" Type="http://schemas.openxmlformats.org/officeDocument/2006/relationships/table" Target="../tables/table206.xml"/><Relationship Id="rId23" Type="http://schemas.openxmlformats.org/officeDocument/2006/relationships/table" Target="../tables/table208.xml"/><Relationship Id="rId1" Type="http://schemas.openxmlformats.org/officeDocument/2006/relationships/drawing" Target="../drawings/drawing12.xml"/><Relationship Id="rId13" Type="http://schemas.openxmlformats.org/officeDocument/2006/relationships/table" Target="../tables/table198.xml"/><Relationship Id="rId15" Type="http://schemas.openxmlformats.org/officeDocument/2006/relationships/table" Target="../tables/table200.xml"/><Relationship Id="rId14" Type="http://schemas.openxmlformats.org/officeDocument/2006/relationships/table" Target="../tables/table199.xml"/><Relationship Id="rId17" Type="http://schemas.openxmlformats.org/officeDocument/2006/relationships/table" Target="../tables/table202.xml"/><Relationship Id="rId16" Type="http://schemas.openxmlformats.org/officeDocument/2006/relationships/table" Target="../tables/table201.xml"/><Relationship Id="rId19" Type="http://schemas.openxmlformats.org/officeDocument/2006/relationships/table" Target="../tables/table204.xml"/><Relationship Id="rId18" Type="http://schemas.openxmlformats.org/officeDocument/2006/relationships/table" Target="../tables/table203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16.xml"/><Relationship Id="rId22" Type="http://schemas.openxmlformats.org/officeDocument/2006/relationships/table" Target="../tables/table218.xml"/><Relationship Id="rId21" Type="http://schemas.openxmlformats.org/officeDocument/2006/relationships/table" Target="../tables/table217.xml"/><Relationship Id="rId23" Type="http://schemas.openxmlformats.org/officeDocument/2006/relationships/table" Target="../tables/table219.xml"/><Relationship Id="rId1" Type="http://schemas.openxmlformats.org/officeDocument/2006/relationships/drawing" Target="../drawings/drawing13.xml"/><Relationship Id="rId13" Type="http://schemas.openxmlformats.org/officeDocument/2006/relationships/table" Target="../tables/table209.xml"/><Relationship Id="rId15" Type="http://schemas.openxmlformats.org/officeDocument/2006/relationships/table" Target="../tables/table211.xml"/><Relationship Id="rId14" Type="http://schemas.openxmlformats.org/officeDocument/2006/relationships/table" Target="../tables/table210.xml"/><Relationship Id="rId17" Type="http://schemas.openxmlformats.org/officeDocument/2006/relationships/table" Target="../tables/table213.xml"/><Relationship Id="rId16" Type="http://schemas.openxmlformats.org/officeDocument/2006/relationships/table" Target="../tables/table212.xml"/><Relationship Id="rId19" Type="http://schemas.openxmlformats.org/officeDocument/2006/relationships/table" Target="../tables/table215.xml"/><Relationship Id="rId18" Type="http://schemas.openxmlformats.org/officeDocument/2006/relationships/table" Target="../tables/table21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220.xml"/><Relationship Id="rId11" Type="http://schemas.openxmlformats.org/officeDocument/2006/relationships/table" Target="../tables/table222.xml"/><Relationship Id="rId10" Type="http://schemas.openxmlformats.org/officeDocument/2006/relationships/table" Target="../tables/table221.xml"/><Relationship Id="rId13" Type="http://schemas.openxmlformats.org/officeDocument/2006/relationships/table" Target="../tables/table224.xml"/><Relationship Id="rId12" Type="http://schemas.openxmlformats.org/officeDocument/2006/relationships/table" Target="../tables/table223.xml"/><Relationship Id="rId15" Type="http://schemas.openxmlformats.org/officeDocument/2006/relationships/table" Target="../tables/table226.xml"/><Relationship Id="rId14" Type="http://schemas.openxmlformats.org/officeDocument/2006/relationships/table" Target="../tables/table225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34.xml"/><Relationship Id="rId22" Type="http://schemas.openxmlformats.org/officeDocument/2006/relationships/table" Target="../tables/table236.xml"/><Relationship Id="rId21" Type="http://schemas.openxmlformats.org/officeDocument/2006/relationships/table" Target="../tables/table235.xml"/><Relationship Id="rId23" Type="http://schemas.openxmlformats.org/officeDocument/2006/relationships/table" Target="../tables/table237.xml"/><Relationship Id="rId1" Type="http://schemas.openxmlformats.org/officeDocument/2006/relationships/drawing" Target="../drawings/drawing15.xml"/><Relationship Id="rId13" Type="http://schemas.openxmlformats.org/officeDocument/2006/relationships/table" Target="../tables/table227.xml"/><Relationship Id="rId15" Type="http://schemas.openxmlformats.org/officeDocument/2006/relationships/table" Target="../tables/table229.xml"/><Relationship Id="rId14" Type="http://schemas.openxmlformats.org/officeDocument/2006/relationships/table" Target="../tables/table228.xml"/><Relationship Id="rId17" Type="http://schemas.openxmlformats.org/officeDocument/2006/relationships/table" Target="../tables/table231.xml"/><Relationship Id="rId16" Type="http://schemas.openxmlformats.org/officeDocument/2006/relationships/table" Target="../tables/table230.xml"/><Relationship Id="rId19" Type="http://schemas.openxmlformats.org/officeDocument/2006/relationships/table" Target="../tables/table233.xml"/><Relationship Id="rId18" Type="http://schemas.openxmlformats.org/officeDocument/2006/relationships/table" Target="../tables/table23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239.xml"/><Relationship Id="rId8" Type="http://schemas.openxmlformats.org/officeDocument/2006/relationships/table" Target="../tables/table238.xml"/><Relationship Id="rId11" Type="http://schemas.openxmlformats.org/officeDocument/2006/relationships/table" Target="../tables/table241.xml"/><Relationship Id="rId10" Type="http://schemas.openxmlformats.org/officeDocument/2006/relationships/table" Target="../tables/table240.xml"/><Relationship Id="rId13" Type="http://schemas.openxmlformats.org/officeDocument/2006/relationships/table" Target="../tables/table243.xml"/><Relationship Id="rId12" Type="http://schemas.openxmlformats.org/officeDocument/2006/relationships/table" Target="../tables/table24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245.xml"/><Relationship Id="rId8" Type="http://schemas.openxmlformats.org/officeDocument/2006/relationships/table" Target="../tables/table244.xml"/><Relationship Id="rId11" Type="http://schemas.openxmlformats.org/officeDocument/2006/relationships/table" Target="../tables/table247.xml"/><Relationship Id="rId10" Type="http://schemas.openxmlformats.org/officeDocument/2006/relationships/table" Target="../tables/table246.xml"/><Relationship Id="rId13" Type="http://schemas.openxmlformats.org/officeDocument/2006/relationships/table" Target="../tables/table249.xml"/><Relationship Id="rId12" Type="http://schemas.openxmlformats.org/officeDocument/2006/relationships/table" Target="../tables/table248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58.xml"/><Relationship Id="rId61" Type="http://schemas.openxmlformats.org/officeDocument/2006/relationships/table" Target="../tables/table279.xml"/><Relationship Id="rId42" Type="http://schemas.openxmlformats.org/officeDocument/2006/relationships/table" Target="../tables/table260.xml"/><Relationship Id="rId41" Type="http://schemas.openxmlformats.org/officeDocument/2006/relationships/table" Target="../tables/table259.xml"/><Relationship Id="rId44" Type="http://schemas.openxmlformats.org/officeDocument/2006/relationships/table" Target="../tables/table262.xml"/><Relationship Id="rId43" Type="http://schemas.openxmlformats.org/officeDocument/2006/relationships/table" Target="../tables/table261.xml"/><Relationship Id="rId46" Type="http://schemas.openxmlformats.org/officeDocument/2006/relationships/table" Target="../tables/table264.xml"/><Relationship Id="rId45" Type="http://schemas.openxmlformats.org/officeDocument/2006/relationships/table" Target="../tables/table263.xml"/><Relationship Id="rId60" Type="http://schemas.openxmlformats.org/officeDocument/2006/relationships/table" Target="../tables/table278.xml"/><Relationship Id="rId1" Type="http://schemas.openxmlformats.org/officeDocument/2006/relationships/drawing" Target="../drawings/drawing18.xml"/><Relationship Id="rId48" Type="http://schemas.openxmlformats.org/officeDocument/2006/relationships/table" Target="../tables/table266.xml"/><Relationship Id="rId47" Type="http://schemas.openxmlformats.org/officeDocument/2006/relationships/table" Target="../tables/table265.xml"/><Relationship Id="rId49" Type="http://schemas.openxmlformats.org/officeDocument/2006/relationships/table" Target="../tables/table267.xml"/><Relationship Id="rId51" Type="http://schemas.openxmlformats.org/officeDocument/2006/relationships/table" Target="../tables/table269.xml"/><Relationship Id="rId50" Type="http://schemas.openxmlformats.org/officeDocument/2006/relationships/table" Target="../tables/table268.xml"/><Relationship Id="rId53" Type="http://schemas.openxmlformats.org/officeDocument/2006/relationships/table" Target="../tables/table271.xml"/><Relationship Id="rId52" Type="http://schemas.openxmlformats.org/officeDocument/2006/relationships/table" Target="../tables/table270.xml"/><Relationship Id="rId33" Type="http://schemas.openxmlformats.org/officeDocument/2006/relationships/table" Target="../tables/table251.xml"/><Relationship Id="rId55" Type="http://schemas.openxmlformats.org/officeDocument/2006/relationships/table" Target="../tables/table273.xml"/><Relationship Id="rId32" Type="http://schemas.openxmlformats.org/officeDocument/2006/relationships/table" Target="../tables/table250.xml"/><Relationship Id="rId54" Type="http://schemas.openxmlformats.org/officeDocument/2006/relationships/table" Target="../tables/table272.xml"/><Relationship Id="rId35" Type="http://schemas.openxmlformats.org/officeDocument/2006/relationships/table" Target="../tables/table253.xml"/><Relationship Id="rId57" Type="http://schemas.openxmlformats.org/officeDocument/2006/relationships/table" Target="../tables/table275.xml"/><Relationship Id="rId34" Type="http://schemas.openxmlformats.org/officeDocument/2006/relationships/table" Target="../tables/table252.xml"/><Relationship Id="rId56" Type="http://schemas.openxmlformats.org/officeDocument/2006/relationships/table" Target="../tables/table274.xml"/><Relationship Id="rId37" Type="http://schemas.openxmlformats.org/officeDocument/2006/relationships/table" Target="../tables/table255.xml"/><Relationship Id="rId59" Type="http://schemas.openxmlformats.org/officeDocument/2006/relationships/table" Target="../tables/table277.xml"/><Relationship Id="rId36" Type="http://schemas.openxmlformats.org/officeDocument/2006/relationships/table" Target="../tables/table254.xml"/><Relationship Id="rId58" Type="http://schemas.openxmlformats.org/officeDocument/2006/relationships/table" Target="../tables/table276.xml"/><Relationship Id="rId39" Type="http://schemas.openxmlformats.org/officeDocument/2006/relationships/table" Target="../tables/table257.xml"/><Relationship Id="rId38" Type="http://schemas.openxmlformats.org/officeDocument/2006/relationships/table" Target="../tables/table25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280.xml"/><Relationship Id="rId5" Type="http://schemas.openxmlformats.org/officeDocument/2006/relationships/table" Target="../tables/table281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96.xml"/><Relationship Id="rId42" Type="http://schemas.openxmlformats.org/officeDocument/2006/relationships/table" Target="../tables/table298.xml"/><Relationship Id="rId41" Type="http://schemas.openxmlformats.org/officeDocument/2006/relationships/table" Target="../tables/table297.xml"/><Relationship Id="rId44" Type="http://schemas.openxmlformats.org/officeDocument/2006/relationships/table" Target="../tables/table300.xml"/><Relationship Id="rId43" Type="http://schemas.openxmlformats.org/officeDocument/2006/relationships/table" Target="../tables/table299.xml"/><Relationship Id="rId46" Type="http://schemas.openxmlformats.org/officeDocument/2006/relationships/table" Target="../tables/table302.xml"/><Relationship Id="rId45" Type="http://schemas.openxmlformats.org/officeDocument/2006/relationships/table" Target="../tables/table301.xml"/><Relationship Id="rId1" Type="http://schemas.openxmlformats.org/officeDocument/2006/relationships/drawing" Target="../drawings/drawing20.xml"/><Relationship Id="rId26" Type="http://schemas.openxmlformats.org/officeDocument/2006/relationships/table" Target="../tables/table282.xml"/><Relationship Id="rId48" Type="http://schemas.openxmlformats.org/officeDocument/2006/relationships/table" Target="../tables/table304.xml"/><Relationship Id="rId47" Type="http://schemas.openxmlformats.org/officeDocument/2006/relationships/table" Target="../tables/table303.xml"/><Relationship Id="rId28" Type="http://schemas.openxmlformats.org/officeDocument/2006/relationships/table" Target="../tables/table284.xml"/><Relationship Id="rId27" Type="http://schemas.openxmlformats.org/officeDocument/2006/relationships/table" Target="../tables/table283.xml"/><Relationship Id="rId49" Type="http://schemas.openxmlformats.org/officeDocument/2006/relationships/table" Target="../tables/table305.xml"/><Relationship Id="rId29" Type="http://schemas.openxmlformats.org/officeDocument/2006/relationships/table" Target="../tables/table285.xml"/><Relationship Id="rId31" Type="http://schemas.openxmlformats.org/officeDocument/2006/relationships/table" Target="../tables/table287.xml"/><Relationship Id="rId30" Type="http://schemas.openxmlformats.org/officeDocument/2006/relationships/table" Target="../tables/table286.xml"/><Relationship Id="rId33" Type="http://schemas.openxmlformats.org/officeDocument/2006/relationships/table" Target="../tables/table289.xml"/><Relationship Id="rId32" Type="http://schemas.openxmlformats.org/officeDocument/2006/relationships/table" Target="../tables/table288.xml"/><Relationship Id="rId35" Type="http://schemas.openxmlformats.org/officeDocument/2006/relationships/table" Target="../tables/table291.xml"/><Relationship Id="rId34" Type="http://schemas.openxmlformats.org/officeDocument/2006/relationships/table" Target="../tables/table290.xml"/><Relationship Id="rId37" Type="http://schemas.openxmlformats.org/officeDocument/2006/relationships/table" Target="../tables/table293.xml"/><Relationship Id="rId36" Type="http://schemas.openxmlformats.org/officeDocument/2006/relationships/table" Target="../tables/table292.xml"/><Relationship Id="rId39" Type="http://schemas.openxmlformats.org/officeDocument/2006/relationships/table" Target="../tables/table295.xml"/><Relationship Id="rId38" Type="http://schemas.openxmlformats.org/officeDocument/2006/relationships/table" Target="../tables/table294.xm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20.xml"/><Relationship Id="rId42" Type="http://schemas.openxmlformats.org/officeDocument/2006/relationships/table" Target="../tables/table322.xml"/><Relationship Id="rId41" Type="http://schemas.openxmlformats.org/officeDocument/2006/relationships/table" Target="../tables/table321.xml"/><Relationship Id="rId44" Type="http://schemas.openxmlformats.org/officeDocument/2006/relationships/table" Target="../tables/table324.xml"/><Relationship Id="rId43" Type="http://schemas.openxmlformats.org/officeDocument/2006/relationships/table" Target="../tables/table323.xml"/><Relationship Id="rId46" Type="http://schemas.openxmlformats.org/officeDocument/2006/relationships/table" Target="../tables/table326.xml"/><Relationship Id="rId45" Type="http://schemas.openxmlformats.org/officeDocument/2006/relationships/table" Target="../tables/table325.xml"/><Relationship Id="rId1" Type="http://schemas.openxmlformats.org/officeDocument/2006/relationships/drawing" Target="../drawings/drawing21.xml"/><Relationship Id="rId26" Type="http://schemas.openxmlformats.org/officeDocument/2006/relationships/table" Target="../tables/table306.xml"/><Relationship Id="rId48" Type="http://schemas.openxmlformats.org/officeDocument/2006/relationships/table" Target="../tables/table328.xml"/><Relationship Id="rId47" Type="http://schemas.openxmlformats.org/officeDocument/2006/relationships/table" Target="../tables/table327.xml"/><Relationship Id="rId28" Type="http://schemas.openxmlformats.org/officeDocument/2006/relationships/table" Target="../tables/table308.xml"/><Relationship Id="rId27" Type="http://schemas.openxmlformats.org/officeDocument/2006/relationships/table" Target="../tables/table307.xml"/><Relationship Id="rId49" Type="http://schemas.openxmlformats.org/officeDocument/2006/relationships/table" Target="../tables/table329.xml"/><Relationship Id="rId29" Type="http://schemas.openxmlformats.org/officeDocument/2006/relationships/table" Target="../tables/table309.xml"/><Relationship Id="rId31" Type="http://schemas.openxmlformats.org/officeDocument/2006/relationships/table" Target="../tables/table311.xml"/><Relationship Id="rId30" Type="http://schemas.openxmlformats.org/officeDocument/2006/relationships/table" Target="../tables/table310.xml"/><Relationship Id="rId33" Type="http://schemas.openxmlformats.org/officeDocument/2006/relationships/table" Target="../tables/table313.xml"/><Relationship Id="rId32" Type="http://schemas.openxmlformats.org/officeDocument/2006/relationships/table" Target="../tables/table312.xml"/><Relationship Id="rId35" Type="http://schemas.openxmlformats.org/officeDocument/2006/relationships/table" Target="../tables/table315.xml"/><Relationship Id="rId34" Type="http://schemas.openxmlformats.org/officeDocument/2006/relationships/table" Target="../tables/table314.xml"/><Relationship Id="rId37" Type="http://schemas.openxmlformats.org/officeDocument/2006/relationships/table" Target="../tables/table317.xml"/><Relationship Id="rId36" Type="http://schemas.openxmlformats.org/officeDocument/2006/relationships/table" Target="../tables/table316.xml"/><Relationship Id="rId39" Type="http://schemas.openxmlformats.org/officeDocument/2006/relationships/table" Target="../tables/table319.xml"/><Relationship Id="rId38" Type="http://schemas.openxmlformats.org/officeDocument/2006/relationships/table" Target="../tables/table318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330.xml"/><Relationship Id="rId11" Type="http://schemas.openxmlformats.org/officeDocument/2006/relationships/table" Target="../tables/table332.xml"/><Relationship Id="rId10" Type="http://schemas.openxmlformats.org/officeDocument/2006/relationships/table" Target="../tables/table331.xml"/><Relationship Id="rId13" Type="http://schemas.openxmlformats.org/officeDocument/2006/relationships/table" Target="../tables/table334.xml"/><Relationship Id="rId12" Type="http://schemas.openxmlformats.org/officeDocument/2006/relationships/table" Target="../tables/table333.xml"/><Relationship Id="rId15" Type="http://schemas.openxmlformats.org/officeDocument/2006/relationships/table" Target="../tables/table336.xml"/><Relationship Id="rId14" Type="http://schemas.openxmlformats.org/officeDocument/2006/relationships/table" Target="../tables/table33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4" Type="http://schemas.openxmlformats.org/officeDocument/2006/relationships/table" Target="../tables/table337.xml"/><Relationship Id="rId5" Type="http://schemas.openxmlformats.org/officeDocument/2006/relationships/table" Target="../tables/table338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339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340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58.xml"/><Relationship Id="rId42" Type="http://schemas.openxmlformats.org/officeDocument/2006/relationships/table" Target="../tables/table360.xml"/><Relationship Id="rId41" Type="http://schemas.openxmlformats.org/officeDocument/2006/relationships/table" Target="../tables/table359.xml"/><Relationship Id="rId43" Type="http://schemas.openxmlformats.org/officeDocument/2006/relationships/table" Target="../tables/table361.xml"/><Relationship Id="rId24" Type="http://schemas.openxmlformats.org/officeDocument/2006/relationships/table" Target="../tables/table342.xml"/><Relationship Id="rId23" Type="http://schemas.openxmlformats.org/officeDocument/2006/relationships/table" Target="../tables/table341.xml"/><Relationship Id="rId1" Type="http://schemas.openxmlformats.org/officeDocument/2006/relationships/drawing" Target="../drawings/drawing26.xml"/><Relationship Id="rId26" Type="http://schemas.openxmlformats.org/officeDocument/2006/relationships/table" Target="../tables/table344.xml"/><Relationship Id="rId25" Type="http://schemas.openxmlformats.org/officeDocument/2006/relationships/table" Target="../tables/table343.xml"/><Relationship Id="rId28" Type="http://schemas.openxmlformats.org/officeDocument/2006/relationships/table" Target="../tables/table346.xml"/><Relationship Id="rId27" Type="http://schemas.openxmlformats.org/officeDocument/2006/relationships/table" Target="../tables/table345.xml"/><Relationship Id="rId29" Type="http://schemas.openxmlformats.org/officeDocument/2006/relationships/table" Target="../tables/table347.xml"/><Relationship Id="rId31" Type="http://schemas.openxmlformats.org/officeDocument/2006/relationships/table" Target="../tables/table349.xml"/><Relationship Id="rId30" Type="http://schemas.openxmlformats.org/officeDocument/2006/relationships/table" Target="../tables/table348.xml"/><Relationship Id="rId33" Type="http://schemas.openxmlformats.org/officeDocument/2006/relationships/table" Target="../tables/table351.xml"/><Relationship Id="rId32" Type="http://schemas.openxmlformats.org/officeDocument/2006/relationships/table" Target="../tables/table350.xml"/><Relationship Id="rId35" Type="http://schemas.openxmlformats.org/officeDocument/2006/relationships/table" Target="../tables/table353.xml"/><Relationship Id="rId34" Type="http://schemas.openxmlformats.org/officeDocument/2006/relationships/table" Target="../tables/table352.xml"/><Relationship Id="rId37" Type="http://schemas.openxmlformats.org/officeDocument/2006/relationships/table" Target="../tables/table355.xml"/><Relationship Id="rId36" Type="http://schemas.openxmlformats.org/officeDocument/2006/relationships/table" Target="../tables/table354.xml"/><Relationship Id="rId39" Type="http://schemas.openxmlformats.org/officeDocument/2006/relationships/table" Target="../tables/table357.xml"/><Relationship Id="rId38" Type="http://schemas.openxmlformats.org/officeDocument/2006/relationships/table" Target="../tables/table35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9" Type="http://schemas.openxmlformats.org/officeDocument/2006/relationships/table" Target="../tables/table363.xml"/><Relationship Id="rId8" Type="http://schemas.openxmlformats.org/officeDocument/2006/relationships/table" Target="../tables/table362.xml"/><Relationship Id="rId11" Type="http://schemas.openxmlformats.org/officeDocument/2006/relationships/table" Target="../tables/table365.xml"/><Relationship Id="rId10" Type="http://schemas.openxmlformats.org/officeDocument/2006/relationships/table" Target="../tables/table364.xml"/><Relationship Id="rId13" Type="http://schemas.openxmlformats.org/officeDocument/2006/relationships/table" Target="../tables/table367.xml"/><Relationship Id="rId12" Type="http://schemas.openxmlformats.org/officeDocument/2006/relationships/table" Target="../tables/table366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368.xml"/><Relationship Id="rId5" Type="http://schemas.openxmlformats.org/officeDocument/2006/relationships/table" Target="../tables/table3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20.27"/>
    <col customWidth="1" min="2" max="3" width="8.45"/>
    <col customWidth="1" min="4" max="4" width="10.36"/>
    <col customWidth="1" min="5" max="5" width="10.91"/>
    <col customWidth="1" min="6" max="6" width="98.55"/>
    <col customWidth="1" min="7" max="7" width="10.36"/>
    <col customWidth="1" min="8" max="8" width="27.36"/>
    <col customWidth="1" min="9" max="9" width="25.73"/>
    <col customWidth="1" min="10" max="10" width="8.73"/>
    <col customWidth="1" min="11" max="26" width="8.6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75" customHeight="1">
      <c r="A2" s="4" t="s">
        <v>6</v>
      </c>
      <c r="B2" s="5"/>
      <c r="C2" s="5"/>
      <c r="D2" s="5"/>
      <c r="E2" s="5"/>
      <c r="F2" s="6"/>
    </row>
    <row r="3" ht="15.75" customHeight="1">
      <c r="A3" s="7" t="s">
        <v>7</v>
      </c>
      <c r="B3" s="8" t="s">
        <v>8</v>
      </c>
      <c r="C3" s="9" t="s">
        <v>9</v>
      </c>
      <c r="D3" s="5">
        <v>4.8</v>
      </c>
      <c r="E3" s="5">
        <v>4.0</v>
      </c>
      <c r="F3" s="10" t="s">
        <v>10</v>
      </c>
      <c r="G3" s="11"/>
      <c r="H3" s="11"/>
      <c r="J3" s="11"/>
    </row>
    <row r="4" ht="15.75" customHeight="1">
      <c r="A4" s="7" t="s">
        <v>11</v>
      </c>
      <c r="B4" s="8" t="s">
        <v>8</v>
      </c>
      <c r="C4" s="5" t="s">
        <v>12</v>
      </c>
      <c r="D4" s="5">
        <v>4.8</v>
      </c>
      <c r="E4" s="5">
        <v>4.0</v>
      </c>
      <c r="F4" s="10" t="s">
        <v>13</v>
      </c>
      <c r="G4" s="11"/>
      <c r="H4" s="11"/>
      <c r="J4" s="11"/>
    </row>
    <row r="5" ht="15.75" customHeight="1">
      <c r="A5" s="7" t="s">
        <v>14</v>
      </c>
      <c r="B5" s="8" t="s">
        <v>15</v>
      </c>
      <c r="C5" s="8" t="s">
        <v>16</v>
      </c>
      <c r="D5" s="9">
        <v>3.6</v>
      </c>
      <c r="E5" s="5">
        <v>2.8</v>
      </c>
      <c r="F5" s="10" t="s">
        <v>17</v>
      </c>
      <c r="G5" s="11"/>
      <c r="H5" s="11"/>
      <c r="I5" s="12"/>
      <c r="J5" s="11"/>
    </row>
    <row r="6" ht="15.75" customHeight="1">
      <c r="A6" s="7" t="s">
        <v>18</v>
      </c>
      <c r="B6" s="8" t="s">
        <v>19</v>
      </c>
      <c r="C6" s="8" t="s">
        <v>20</v>
      </c>
      <c r="D6" s="5">
        <v>2.0</v>
      </c>
      <c r="E6" s="5">
        <v>2.0</v>
      </c>
      <c r="F6" s="10" t="s">
        <v>21</v>
      </c>
      <c r="G6" s="11"/>
      <c r="H6" s="11"/>
      <c r="I6" s="12"/>
      <c r="J6" s="11"/>
    </row>
    <row r="7" ht="15.75" customHeight="1">
      <c r="A7" s="7" t="s">
        <v>22</v>
      </c>
      <c r="B7" s="8" t="s">
        <v>23</v>
      </c>
      <c r="C7" s="8" t="s">
        <v>20</v>
      </c>
      <c r="D7" s="5">
        <v>1.2</v>
      </c>
      <c r="E7" s="5"/>
      <c r="F7" s="13" t="s">
        <v>24</v>
      </c>
      <c r="G7" s="11"/>
      <c r="H7" s="11"/>
      <c r="I7" s="12"/>
      <c r="J7" s="11"/>
    </row>
    <row r="8" ht="15.75" customHeight="1">
      <c r="A8" s="7" t="s">
        <v>25</v>
      </c>
      <c r="B8" s="8" t="s">
        <v>23</v>
      </c>
      <c r="C8" s="5" t="s">
        <v>16</v>
      </c>
      <c r="D8" s="5">
        <v>1.2</v>
      </c>
      <c r="E8" s="5"/>
      <c r="F8" s="13" t="s">
        <v>26</v>
      </c>
      <c r="G8" s="11"/>
      <c r="H8" s="11"/>
      <c r="I8" s="12"/>
      <c r="J8" s="11"/>
    </row>
    <row r="9" ht="15.75" customHeight="1">
      <c r="A9" s="14" t="s">
        <v>27</v>
      </c>
      <c r="B9" s="15"/>
      <c r="C9" s="15"/>
      <c r="D9" s="15">
        <f>SUM(D2:E8)</f>
        <v>30.4</v>
      </c>
      <c r="E9" s="15"/>
      <c r="F9" s="16"/>
      <c r="G9" s="11"/>
      <c r="H9" s="11"/>
      <c r="I9" s="12"/>
      <c r="J9" s="11"/>
    </row>
    <row r="10" ht="15.75" customHeight="1">
      <c r="A10" s="17"/>
      <c r="B10" s="18"/>
      <c r="C10" s="18"/>
      <c r="D10" s="18"/>
      <c r="E10" s="18"/>
      <c r="F10" s="19"/>
      <c r="G10" s="11"/>
      <c r="H10" s="11"/>
      <c r="I10" s="12"/>
      <c r="J10" s="11"/>
    </row>
    <row r="11" ht="15.75" customHeight="1">
      <c r="A11" s="20" t="s">
        <v>28</v>
      </c>
      <c r="B11" s="2"/>
      <c r="C11" s="2"/>
      <c r="D11" s="2"/>
      <c r="E11" s="2"/>
      <c r="F11" s="21"/>
      <c r="G11" s="11"/>
      <c r="H11" s="11"/>
      <c r="I11" s="12"/>
      <c r="J11" s="11"/>
    </row>
    <row r="12" ht="15.75" customHeight="1">
      <c r="A12" s="22" t="s">
        <v>29</v>
      </c>
      <c r="B12" s="15"/>
      <c r="C12" s="15"/>
      <c r="D12" s="15">
        <v>18.0</v>
      </c>
      <c r="E12" s="15"/>
      <c r="F12" s="16" t="s">
        <v>30</v>
      </c>
      <c r="I12" s="12"/>
    </row>
    <row r="13" ht="15.75" customHeight="1">
      <c r="A13" s="23"/>
      <c r="B13" s="5"/>
      <c r="C13" s="5"/>
      <c r="D13" s="5"/>
      <c r="E13" s="5"/>
      <c r="F13" s="6"/>
    </row>
    <row r="14" ht="15.75" customHeight="1">
      <c r="A14" s="24" t="s">
        <v>31</v>
      </c>
      <c r="B14" s="2"/>
      <c r="C14" s="2"/>
      <c r="D14" s="2"/>
      <c r="E14" s="2"/>
      <c r="F14" s="3"/>
    </row>
    <row r="15" ht="15.75" customHeight="1">
      <c r="A15" s="22" t="s">
        <v>32</v>
      </c>
      <c r="B15" s="15"/>
      <c r="C15" s="15"/>
      <c r="D15" s="25">
        <v>5.0</v>
      </c>
      <c r="E15" s="15"/>
      <c r="F15" s="26"/>
    </row>
    <row r="16" ht="15.75" customHeight="1">
      <c r="A16" s="27"/>
      <c r="B16" s="5"/>
      <c r="C16" s="5"/>
      <c r="D16" s="5"/>
      <c r="E16" s="5"/>
      <c r="F16" s="6"/>
    </row>
    <row r="17" ht="15.75" customHeight="1">
      <c r="A17" s="24" t="s">
        <v>33</v>
      </c>
      <c r="B17" s="2"/>
      <c r="C17" s="2"/>
      <c r="D17" s="2"/>
      <c r="E17" s="2"/>
      <c r="F17" s="3"/>
    </row>
    <row r="18" ht="15.75" customHeight="1">
      <c r="A18" s="7" t="s">
        <v>34</v>
      </c>
      <c r="B18" s="5"/>
      <c r="C18" s="5"/>
      <c r="D18" s="9">
        <v>10.0</v>
      </c>
      <c r="E18" s="5"/>
      <c r="F18" s="6"/>
    </row>
    <row r="19" ht="15.75" customHeight="1">
      <c r="A19" s="28"/>
      <c r="B19" s="15"/>
      <c r="C19" s="15"/>
      <c r="D19" s="15"/>
      <c r="E19" s="15"/>
      <c r="F19" s="26"/>
    </row>
    <row r="20" ht="15.75" customHeight="1">
      <c r="A20" s="24" t="s">
        <v>35</v>
      </c>
      <c r="B20" s="2"/>
      <c r="C20" s="2"/>
      <c r="D20" s="2"/>
      <c r="E20" s="2"/>
      <c r="F20" s="3"/>
    </row>
    <row r="21" ht="15.75" customHeight="1">
      <c r="A21" s="22" t="s">
        <v>36</v>
      </c>
      <c r="B21" s="15"/>
      <c r="C21" s="15"/>
      <c r="D21" s="25">
        <v>5.0</v>
      </c>
      <c r="E21" s="15"/>
      <c r="F21" s="26"/>
    </row>
    <row r="22" ht="15.75" customHeight="1">
      <c r="A22" s="17"/>
      <c r="B22" s="18"/>
      <c r="C22" s="18"/>
      <c r="D22" s="18"/>
      <c r="E22" s="18"/>
      <c r="F22" s="29"/>
    </row>
    <row r="23" ht="15.75" customHeight="1">
      <c r="A23" s="20" t="s">
        <v>37</v>
      </c>
      <c r="B23" s="2"/>
      <c r="C23" s="2"/>
      <c r="D23" s="2"/>
      <c r="E23" s="2"/>
      <c r="F23" s="3"/>
    </row>
    <row r="24" ht="15.75" customHeight="1">
      <c r="A24" s="7" t="s">
        <v>38</v>
      </c>
      <c r="B24" s="5"/>
      <c r="C24" s="5"/>
      <c r="D24" s="5">
        <v>3.6</v>
      </c>
      <c r="E24" s="5"/>
      <c r="F24" s="6"/>
    </row>
    <row r="25" ht="15.75" customHeight="1">
      <c r="A25" s="7" t="s">
        <v>39</v>
      </c>
      <c r="B25" s="8" t="s">
        <v>19</v>
      </c>
      <c r="C25" s="5" t="s">
        <v>40</v>
      </c>
      <c r="D25" s="5"/>
      <c r="E25" s="5"/>
      <c r="F25" s="10" t="s">
        <v>41</v>
      </c>
    </row>
    <row r="26" ht="15.75" customHeight="1">
      <c r="A26" s="7" t="s">
        <v>42</v>
      </c>
      <c r="B26" s="8" t="s">
        <v>19</v>
      </c>
      <c r="C26" s="8" t="s">
        <v>16</v>
      </c>
      <c r="D26" s="5"/>
      <c r="E26" s="5"/>
      <c r="F26" s="10" t="s">
        <v>43</v>
      </c>
    </row>
    <row r="27" ht="15.75" customHeight="1">
      <c r="A27" s="7" t="s">
        <v>44</v>
      </c>
      <c r="B27" s="8" t="s">
        <v>19</v>
      </c>
      <c r="C27" s="8" t="s">
        <v>9</v>
      </c>
      <c r="D27" s="5"/>
      <c r="E27" s="5"/>
      <c r="F27" s="30" t="s">
        <v>45</v>
      </c>
    </row>
    <row r="28" ht="15.75" customHeight="1">
      <c r="A28" s="7" t="s">
        <v>46</v>
      </c>
      <c r="B28" s="8" t="s">
        <v>19</v>
      </c>
      <c r="C28" s="5" t="s">
        <v>12</v>
      </c>
      <c r="D28" s="5"/>
      <c r="E28" s="5"/>
      <c r="F28" s="30" t="s">
        <v>47</v>
      </c>
    </row>
    <row r="29" ht="15.75" customHeight="1">
      <c r="A29" s="7" t="s">
        <v>48</v>
      </c>
      <c r="B29" s="8" t="s">
        <v>19</v>
      </c>
      <c r="C29" s="8" t="s">
        <v>20</v>
      </c>
      <c r="D29" s="5"/>
      <c r="E29" s="5"/>
      <c r="F29" s="30" t="s">
        <v>49</v>
      </c>
    </row>
    <row r="30" ht="15.75" customHeight="1">
      <c r="A30" s="7" t="s">
        <v>50</v>
      </c>
      <c r="B30" s="8" t="s">
        <v>19</v>
      </c>
      <c r="C30" s="8" t="s">
        <v>20</v>
      </c>
      <c r="D30" s="5"/>
      <c r="E30" s="5"/>
      <c r="F30" s="30" t="s">
        <v>51</v>
      </c>
    </row>
    <row r="31" ht="15.75" customHeight="1">
      <c r="A31" s="7" t="s">
        <v>52</v>
      </c>
      <c r="B31" s="5"/>
      <c r="C31" s="5"/>
      <c r="D31" s="9">
        <v>4.0</v>
      </c>
      <c r="E31" s="5"/>
      <c r="F31" s="6"/>
    </row>
    <row r="32" ht="15.75" customHeight="1">
      <c r="A32" s="7" t="s">
        <v>53</v>
      </c>
      <c r="B32" s="8" t="s">
        <v>54</v>
      </c>
      <c r="C32" s="8" t="s">
        <v>9</v>
      </c>
      <c r="D32" s="5"/>
      <c r="E32" s="5"/>
      <c r="F32" s="30" t="s">
        <v>55</v>
      </c>
    </row>
    <row r="33" ht="15.75" customHeight="1">
      <c r="A33" s="7" t="s">
        <v>56</v>
      </c>
      <c r="B33" s="8" t="s">
        <v>8</v>
      </c>
      <c r="C33" s="8" t="s">
        <v>20</v>
      </c>
      <c r="D33" s="5"/>
      <c r="E33" s="5"/>
      <c r="F33" s="30" t="s">
        <v>57</v>
      </c>
    </row>
    <row r="34" ht="15.75" customHeight="1">
      <c r="A34" s="7" t="s">
        <v>58</v>
      </c>
      <c r="B34" s="8" t="s">
        <v>8</v>
      </c>
      <c r="C34" s="8" t="s">
        <v>9</v>
      </c>
      <c r="D34" s="5"/>
      <c r="E34" s="5"/>
      <c r="F34" s="30" t="s">
        <v>59</v>
      </c>
    </row>
    <row r="35" ht="15.75" customHeight="1">
      <c r="A35" s="7" t="s">
        <v>60</v>
      </c>
      <c r="B35" s="8" t="s">
        <v>8</v>
      </c>
      <c r="C35" s="8" t="s">
        <v>20</v>
      </c>
      <c r="D35" s="5"/>
      <c r="E35" s="5"/>
      <c r="F35" s="30" t="s">
        <v>61</v>
      </c>
    </row>
    <row r="36" ht="15.75" customHeight="1">
      <c r="A36" s="7" t="s">
        <v>62</v>
      </c>
      <c r="B36" s="8" t="s">
        <v>8</v>
      </c>
      <c r="C36" s="8" t="s">
        <v>20</v>
      </c>
      <c r="D36" s="5"/>
      <c r="E36" s="5"/>
      <c r="F36" s="30" t="s">
        <v>63</v>
      </c>
    </row>
    <row r="37" ht="15.75" customHeight="1">
      <c r="A37" s="14" t="s">
        <v>64</v>
      </c>
      <c r="B37" s="15"/>
      <c r="C37" s="15"/>
      <c r="D37" s="15">
        <f>SUM(D24:E36)</f>
        <v>7.6</v>
      </c>
      <c r="E37" s="15"/>
      <c r="F37" s="26"/>
    </row>
    <row r="38" ht="15.75" customHeight="1">
      <c r="A38" s="18"/>
      <c r="B38" s="18"/>
      <c r="C38" s="18"/>
      <c r="D38" s="18"/>
      <c r="E38" s="18"/>
      <c r="F38" s="18"/>
    </row>
    <row r="39" ht="15.75" customHeight="1">
      <c r="A39" s="18"/>
      <c r="B39" s="18"/>
      <c r="C39" s="18"/>
      <c r="D39" s="18"/>
      <c r="E39" s="18"/>
      <c r="F39" s="18"/>
    </row>
    <row r="40" ht="15.75" customHeight="1">
      <c r="A40" s="31" t="s">
        <v>65</v>
      </c>
      <c r="B40" s="31">
        <f>D9+D12+D37+D21+D15+D18</f>
        <v>76</v>
      </c>
      <c r="C40" s="32"/>
      <c r="D40" s="18"/>
      <c r="E40" s="18"/>
      <c r="F40" s="18"/>
    </row>
    <row r="41" ht="15.75" customHeight="1">
      <c r="A41" s="33"/>
      <c r="B41" s="18"/>
      <c r="C41" s="34"/>
      <c r="D41" s="18"/>
      <c r="E41" s="18"/>
      <c r="F41" s="18"/>
    </row>
    <row r="42" ht="15.75" customHeight="1">
      <c r="A42" s="31"/>
      <c r="B42" s="35" t="s">
        <v>66</v>
      </c>
      <c r="C42" s="36" t="s">
        <v>67</v>
      </c>
      <c r="D42" s="18"/>
      <c r="E42" s="18"/>
      <c r="F42" s="18"/>
    </row>
    <row r="43" ht="15.75" customHeight="1">
      <c r="A43" s="37" t="s">
        <v>68</v>
      </c>
      <c r="B43" s="31">
        <v>8.0</v>
      </c>
      <c r="C43" s="38">
        <f t="shared" ref="C43:C44" si="1">$B43/(1+$B$40/100)</f>
        <v>4.545454545</v>
      </c>
      <c r="D43" s="18"/>
      <c r="E43" s="18"/>
      <c r="F43" s="18"/>
    </row>
    <row r="44" ht="15.75" customHeight="1">
      <c r="A44" s="37" t="s">
        <v>69</v>
      </c>
      <c r="B44" s="31">
        <v>240.0</v>
      </c>
      <c r="C44" s="31">
        <f t="shared" si="1"/>
        <v>136.3636364</v>
      </c>
      <c r="D44" s="18"/>
      <c r="E44" s="18"/>
      <c r="F44" s="18"/>
    </row>
    <row r="45" ht="15.75" customHeight="1">
      <c r="A45" s="37"/>
      <c r="B45" s="31"/>
      <c r="C45" s="31"/>
      <c r="D45" s="18"/>
      <c r="E45" s="18"/>
      <c r="F45" s="18"/>
    </row>
    <row r="46" ht="15.75" customHeight="1">
      <c r="A46" s="35" t="s">
        <v>70</v>
      </c>
      <c r="B46" s="31">
        <v>1200.0</v>
      </c>
      <c r="C46" s="39">
        <f>$B46/(1+$B$40/100)</f>
        <v>681.8181818</v>
      </c>
      <c r="D46" s="18"/>
      <c r="E46" s="18"/>
      <c r="F46" s="18"/>
    </row>
    <row r="47" ht="15.75" customHeight="1">
      <c r="A47" s="35" t="s">
        <v>71</v>
      </c>
      <c r="B47" s="9">
        <f>48*4 + 8*4</f>
        <v>224</v>
      </c>
      <c r="C47" s="39"/>
      <c r="D47" s="18"/>
      <c r="E47" s="18"/>
      <c r="F47" s="18"/>
    </row>
    <row r="48" ht="15.75" customHeight="1">
      <c r="A48" s="35" t="s">
        <v>72</v>
      </c>
      <c r="B48" s="31">
        <f>B46-B47</f>
        <v>976</v>
      </c>
      <c r="C48" s="39">
        <f>$B48/(1+$B$40/100)</f>
        <v>554.5454545</v>
      </c>
      <c r="D48" s="18"/>
      <c r="E48" s="18"/>
      <c r="F48" s="18"/>
    </row>
    <row r="49" ht="15.75" customHeight="1">
      <c r="A49" s="37" t="s">
        <v>73</v>
      </c>
      <c r="B49" s="31">
        <f t="shared" ref="B49:C49" si="2">B48/24</f>
        <v>40.66666667</v>
      </c>
      <c r="C49" s="39">
        <f t="shared" si="2"/>
        <v>23.10606061</v>
      </c>
      <c r="D49" s="18"/>
      <c r="E49" s="18"/>
      <c r="F49" s="18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dataValidations>
    <dataValidation type="list" allowBlank="1" showErrorMessage="1" sqref="B3:B8 B25:B30 B32:B36">
      <formula1>"SSS,SS,S,AAA,AA,A,Blue,Green"</formula1>
    </dataValidation>
    <dataValidation type="list" allowBlank="1" showErrorMessage="1" sqref="C3:C8 C25:C30 C32:C36">
      <formula1>"FAME,ART,FTH,CIV,TECH"</formula1>
    </dataValidation>
  </dataValidations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8.18"/>
    <col customWidth="1" min="2" max="2" width="8.45"/>
    <col customWidth="1" min="3" max="3" width="7.82"/>
    <col customWidth="1" min="4" max="4" width="11.27"/>
    <col customWidth="1" min="5" max="5" width="10.91"/>
    <col customWidth="1" min="6" max="6" width="8.45"/>
    <col customWidth="1" min="7" max="7" width="134.55"/>
    <col customWidth="1" min="8" max="26" width="8.6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74</v>
      </c>
      <c r="E1" s="2" t="s">
        <v>4</v>
      </c>
      <c r="F1" s="2" t="s">
        <v>75</v>
      </c>
      <c r="G1" s="3" t="s">
        <v>5</v>
      </c>
      <c r="H1" s="11"/>
      <c r="I1" s="11"/>
      <c r="K1" s="11"/>
    </row>
    <row r="2" ht="15.75" customHeight="1">
      <c r="A2" s="4" t="s">
        <v>6</v>
      </c>
      <c r="B2" s="5"/>
      <c r="C2" s="5"/>
      <c r="D2" s="5"/>
      <c r="E2" s="5"/>
      <c r="F2" s="5"/>
      <c r="G2" s="6"/>
      <c r="H2" s="11"/>
      <c r="I2" s="11"/>
      <c r="K2" s="11"/>
    </row>
    <row r="3" ht="15.75" customHeight="1">
      <c r="A3" s="23" t="s">
        <v>76</v>
      </c>
      <c r="B3" s="8" t="s">
        <v>8</v>
      </c>
      <c r="C3" s="5" t="s">
        <v>40</v>
      </c>
      <c r="D3" s="5">
        <v>2.4</v>
      </c>
      <c r="E3" s="5"/>
      <c r="F3" s="5"/>
      <c r="G3" s="10" t="s">
        <v>77</v>
      </c>
      <c r="H3" s="11"/>
      <c r="I3" s="11"/>
      <c r="J3" s="12"/>
      <c r="K3" s="11"/>
    </row>
    <row r="4" ht="15.75" customHeight="1">
      <c r="A4" s="23" t="s">
        <v>78</v>
      </c>
      <c r="B4" s="8" t="s">
        <v>8</v>
      </c>
      <c r="C4" s="8" t="s">
        <v>9</v>
      </c>
      <c r="D4" s="5">
        <v>2.4</v>
      </c>
      <c r="E4" s="5"/>
      <c r="F4" s="5">
        <v>9.0</v>
      </c>
      <c r="G4" s="10" t="s">
        <v>10</v>
      </c>
      <c r="H4" s="11"/>
      <c r="I4" s="11"/>
      <c r="J4" s="12"/>
      <c r="K4" s="11"/>
    </row>
    <row r="5" ht="15.75" customHeight="1">
      <c r="A5" s="23" t="s">
        <v>79</v>
      </c>
      <c r="B5" s="8" t="s">
        <v>8</v>
      </c>
      <c r="C5" s="8" t="s">
        <v>20</v>
      </c>
      <c r="D5" s="5">
        <v>2.4</v>
      </c>
      <c r="E5" s="5"/>
      <c r="F5" s="5"/>
      <c r="G5" s="10" t="s">
        <v>80</v>
      </c>
      <c r="H5" s="11"/>
      <c r="I5" s="11"/>
      <c r="J5" s="12"/>
      <c r="K5" s="11"/>
    </row>
    <row r="6" ht="15.75" customHeight="1">
      <c r="A6" s="23" t="s">
        <v>81</v>
      </c>
      <c r="B6" s="8" t="s">
        <v>54</v>
      </c>
      <c r="C6" s="8" t="s">
        <v>9</v>
      </c>
      <c r="D6" s="5">
        <v>2.2</v>
      </c>
      <c r="E6" s="5"/>
      <c r="F6" s="5"/>
      <c r="G6" s="10" t="s">
        <v>82</v>
      </c>
      <c r="H6" s="11"/>
      <c r="I6" s="11"/>
      <c r="J6" s="12"/>
      <c r="K6" s="11"/>
    </row>
    <row r="7" ht="15.75" customHeight="1">
      <c r="A7" s="23" t="s">
        <v>83</v>
      </c>
      <c r="B7" s="8" t="s">
        <v>15</v>
      </c>
      <c r="C7" s="5" t="s">
        <v>40</v>
      </c>
      <c r="D7" s="5">
        <v>1.8</v>
      </c>
      <c r="E7" s="5">
        <v>1.4</v>
      </c>
      <c r="F7" s="5"/>
      <c r="G7" s="10" t="s">
        <v>84</v>
      </c>
      <c r="H7" s="11"/>
      <c r="I7" s="11"/>
      <c r="J7" s="12"/>
      <c r="K7" s="11"/>
    </row>
    <row r="8" ht="15.75" customHeight="1">
      <c r="A8" s="23" t="s">
        <v>85</v>
      </c>
      <c r="B8" s="8" t="s">
        <v>19</v>
      </c>
      <c r="C8" s="8" t="s">
        <v>9</v>
      </c>
      <c r="D8" s="5">
        <v>2.0</v>
      </c>
      <c r="E8" s="5"/>
      <c r="F8" s="5"/>
      <c r="G8" s="13" t="s">
        <v>86</v>
      </c>
      <c r="J8" s="12"/>
    </row>
    <row r="9" ht="15.75" customHeight="1">
      <c r="A9" s="23" t="s">
        <v>87</v>
      </c>
      <c r="B9" s="8" t="s">
        <v>23</v>
      </c>
      <c r="C9" s="8" t="s">
        <v>9</v>
      </c>
      <c r="D9" s="5">
        <v>0.6</v>
      </c>
      <c r="E9" s="5"/>
      <c r="F9" s="5"/>
      <c r="G9" s="13" t="s">
        <v>88</v>
      </c>
      <c r="J9" s="12"/>
    </row>
    <row r="10" ht="15.75" customHeight="1">
      <c r="A10" s="14" t="s">
        <v>27</v>
      </c>
      <c r="B10" s="15"/>
      <c r="C10" s="15"/>
      <c r="D10" s="15">
        <f>SUM(D3:F9)</f>
        <v>24.2</v>
      </c>
      <c r="E10" s="15"/>
      <c r="F10" s="15"/>
      <c r="G10" s="16"/>
      <c r="J10" s="12"/>
    </row>
    <row r="11" ht="15.75" customHeight="1">
      <c r="A11" s="17"/>
      <c r="B11" s="18"/>
      <c r="C11" s="18"/>
      <c r="D11" s="18"/>
      <c r="E11" s="18"/>
      <c r="F11" s="18"/>
      <c r="G11" s="19"/>
      <c r="J11" s="12"/>
    </row>
    <row r="12" ht="15.75" customHeight="1">
      <c r="A12" s="20" t="s">
        <v>89</v>
      </c>
      <c r="B12" s="2"/>
      <c r="C12" s="2"/>
      <c r="D12" s="2"/>
      <c r="E12" s="2"/>
      <c r="F12" s="2"/>
      <c r="G12" s="21"/>
      <c r="J12" s="12"/>
    </row>
    <row r="13" ht="15.75" customHeight="1">
      <c r="A13" s="22" t="s">
        <v>90</v>
      </c>
      <c r="B13" s="15"/>
      <c r="C13" s="15"/>
      <c r="D13" s="15">
        <v>9.6</v>
      </c>
      <c r="E13" s="15"/>
      <c r="F13" s="15"/>
      <c r="G13" s="40" t="s">
        <v>91</v>
      </c>
    </row>
    <row r="14" ht="15.75" customHeight="1">
      <c r="A14" s="23"/>
      <c r="B14" s="5"/>
      <c r="C14" s="5"/>
      <c r="D14" s="5"/>
      <c r="E14" s="5"/>
      <c r="F14" s="5"/>
      <c r="G14" s="13"/>
    </row>
    <row r="15" ht="15.75" customHeight="1">
      <c r="A15" s="41" t="s">
        <v>35</v>
      </c>
      <c r="B15" s="2"/>
      <c r="C15" s="2"/>
      <c r="D15" s="2"/>
      <c r="E15" s="2"/>
      <c r="F15" s="2"/>
      <c r="G15" s="21"/>
    </row>
    <row r="16" ht="15.75" customHeight="1">
      <c r="A16" s="22" t="s">
        <v>92</v>
      </c>
      <c r="B16" s="15"/>
      <c r="C16" s="15"/>
      <c r="D16" s="25">
        <v>5.0</v>
      </c>
      <c r="E16" s="15"/>
      <c r="F16" s="15"/>
      <c r="G16" s="16"/>
    </row>
    <row r="17" ht="15.75" customHeight="1">
      <c r="A17" s="5"/>
      <c r="B17" s="5"/>
      <c r="C17" s="5"/>
      <c r="D17" s="5"/>
      <c r="E17" s="5"/>
      <c r="F17" s="5"/>
      <c r="G17" s="42"/>
    </row>
    <row r="18" ht="15.75" customHeight="1">
      <c r="A18" s="43" t="s">
        <v>93</v>
      </c>
      <c r="B18" s="44"/>
      <c r="C18" s="44"/>
      <c r="D18" s="44"/>
      <c r="E18" s="44"/>
      <c r="F18" s="44"/>
      <c r="G18" s="45"/>
    </row>
    <row r="19" ht="15.75" customHeight="1">
      <c r="A19" s="46" t="s">
        <v>94</v>
      </c>
      <c r="B19" s="2"/>
      <c r="C19" s="2"/>
      <c r="D19" s="2"/>
      <c r="E19" s="2"/>
      <c r="F19" s="2"/>
      <c r="G19" s="21"/>
    </row>
    <row r="20" ht="15.75" customHeight="1">
      <c r="A20" s="7" t="s">
        <v>95</v>
      </c>
      <c r="B20" s="8" t="s">
        <v>96</v>
      </c>
      <c r="C20" s="8" t="s">
        <v>20</v>
      </c>
      <c r="D20" s="5">
        <v>2.0</v>
      </c>
      <c r="E20" s="5"/>
      <c r="F20" s="5"/>
      <c r="G20" s="10" t="s">
        <v>97</v>
      </c>
    </row>
    <row r="21" ht="15.75" customHeight="1">
      <c r="A21" s="22" t="s">
        <v>98</v>
      </c>
      <c r="B21" s="8" t="s">
        <v>19</v>
      </c>
      <c r="C21" s="8" t="s">
        <v>16</v>
      </c>
      <c r="D21" s="15">
        <v>1.0</v>
      </c>
      <c r="E21" s="15">
        <v>1.0</v>
      </c>
      <c r="F21" s="15"/>
      <c r="G21" s="40" t="s">
        <v>99</v>
      </c>
    </row>
    <row r="22" ht="15.75" customHeight="1">
      <c r="A22" s="47" t="s">
        <v>100</v>
      </c>
      <c r="B22" s="2"/>
      <c r="C22" s="2"/>
      <c r="D22" s="2"/>
      <c r="E22" s="2"/>
      <c r="F22" s="2"/>
      <c r="G22" s="21"/>
    </row>
    <row r="23" ht="15.75" customHeight="1">
      <c r="A23" s="7" t="s">
        <v>101</v>
      </c>
      <c r="B23" s="8" t="s">
        <v>54</v>
      </c>
      <c r="C23" s="8" t="s">
        <v>20</v>
      </c>
      <c r="D23" s="5">
        <v>2.2</v>
      </c>
      <c r="E23" s="5"/>
      <c r="F23" s="5"/>
      <c r="G23" s="10" t="s">
        <v>102</v>
      </c>
    </row>
    <row r="24" ht="15.75" customHeight="1">
      <c r="A24" s="7" t="s">
        <v>103</v>
      </c>
      <c r="B24" s="8" t="s">
        <v>19</v>
      </c>
      <c r="C24" s="8" t="s">
        <v>16</v>
      </c>
      <c r="D24" s="5">
        <v>1.0</v>
      </c>
      <c r="E24" s="5">
        <v>1.0</v>
      </c>
      <c r="F24" s="5"/>
      <c r="G24" s="10" t="s">
        <v>104</v>
      </c>
    </row>
    <row r="25" ht="15.75" customHeight="1">
      <c r="A25" s="22" t="s">
        <v>105</v>
      </c>
      <c r="B25" s="8" t="s">
        <v>23</v>
      </c>
      <c r="C25" s="15" t="s">
        <v>12</v>
      </c>
      <c r="D25" s="15">
        <v>0.6</v>
      </c>
      <c r="E25" s="15"/>
      <c r="F25" s="15"/>
      <c r="G25" s="16" t="s">
        <v>106</v>
      </c>
    </row>
    <row r="26" ht="15.75" customHeight="1">
      <c r="A26" s="46" t="s">
        <v>107</v>
      </c>
      <c r="B26" s="2"/>
      <c r="C26" s="2"/>
      <c r="D26" s="2"/>
      <c r="E26" s="2"/>
      <c r="F26" s="2"/>
      <c r="G26" s="21"/>
    </row>
    <row r="27" ht="15.75" customHeight="1">
      <c r="A27" s="7" t="s">
        <v>108</v>
      </c>
      <c r="B27" s="8" t="s">
        <v>54</v>
      </c>
      <c r="C27" s="8" t="s">
        <v>20</v>
      </c>
      <c r="D27" s="5">
        <v>2.2</v>
      </c>
      <c r="E27" s="5"/>
      <c r="F27" s="5"/>
      <c r="G27" s="10" t="s">
        <v>109</v>
      </c>
    </row>
    <row r="28" ht="15.75" customHeight="1">
      <c r="A28" s="22" t="s">
        <v>42</v>
      </c>
      <c r="B28" s="8" t="s">
        <v>19</v>
      </c>
      <c r="C28" s="15" t="s">
        <v>16</v>
      </c>
      <c r="D28" s="15">
        <v>1.0</v>
      </c>
      <c r="E28" s="15">
        <v>1.0</v>
      </c>
      <c r="F28" s="15"/>
      <c r="G28" s="40" t="s">
        <v>43</v>
      </c>
    </row>
    <row r="29" ht="15.75" customHeight="1">
      <c r="A29" s="47" t="s">
        <v>110</v>
      </c>
      <c r="B29" s="2"/>
      <c r="C29" s="2"/>
      <c r="D29" s="2"/>
      <c r="E29" s="2"/>
      <c r="F29" s="2"/>
      <c r="G29" s="21"/>
    </row>
    <row r="30" ht="15.75" customHeight="1">
      <c r="A30" s="7" t="s">
        <v>111</v>
      </c>
      <c r="B30" s="8" t="s">
        <v>96</v>
      </c>
      <c r="C30" s="5" t="s">
        <v>40</v>
      </c>
      <c r="D30" s="5">
        <v>2.0</v>
      </c>
      <c r="E30" s="5"/>
      <c r="F30" s="5"/>
      <c r="G30" s="10" t="s">
        <v>112</v>
      </c>
    </row>
    <row r="31" ht="15.75" customHeight="1">
      <c r="A31" s="22" t="s">
        <v>113</v>
      </c>
      <c r="B31" s="8" t="s">
        <v>19</v>
      </c>
      <c r="C31" s="15" t="s">
        <v>40</v>
      </c>
      <c r="D31" s="15">
        <v>1.0</v>
      </c>
      <c r="E31" s="15">
        <v>1.0</v>
      </c>
      <c r="F31" s="15"/>
      <c r="G31" s="40" t="s">
        <v>114</v>
      </c>
    </row>
    <row r="32" ht="15.75" customHeight="1">
      <c r="A32" s="47" t="s">
        <v>115</v>
      </c>
      <c r="B32" s="2"/>
      <c r="C32" s="2"/>
      <c r="D32" s="2"/>
      <c r="E32" s="2"/>
      <c r="F32" s="2"/>
      <c r="G32" s="21"/>
    </row>
    <row r="33" ht="15.75" customHeight="1">
      <c r="A33" s="7" t="s">
        <v>116</v>
      </c>
      <c r="B33" s="8" t="s">
        <v>54</v>
      </c>
      <c r="C33" s="5" t="s">
        <v>40</v>
      </c>
      <c r="D33" s="5">
        <v>2.2</v>
      </c>
      <c r="E33" s="5"/>
      <c r="F33" s="5"/>
      <c r="G33" s="10" t="s">
        <v>117</v>
      </c>
    </row>
    <row r="34" ht="15.75" customHeight="1">
      <c r="A34" s="22" t="s">
        <v>118</v>
      </c>
      <c r="B34" s="8" t="s">
        <v>19</v>
      </c>
      <c r="C34" s="15" t="s">
        <v>40</v>
      </c>
      <c r="D34" s="15">
        <v>1.0</v>
      </c>
      <c r="E34" s="15">
        <v>1.0</v>
      </c>
      <c r="F34" s="15"/>
      <c r="G34" s="40" t="s">
        <v>119</v>
      </c>
    </row>
    <row r="35" ht="15.75" customHeight="1">
      <c r="A35" s="46" t="s">
        <v>120</v>
      </c>
      <c r="B35" s="2"/>
      <c r="C35" s="2"/>
      <c r="D35" s="2"/>
      <c r="E35" s="2"/>
      <c r="F35" s="2"/>
      <c r="G35" s="21"/>
    </row>
    <row r="36" ht="15.75" customHeight="1">
      <c r="A36" s="7" t="s">
        <v>121</v>
      </c>
      <c r="B36" s="8" t="s">
        <v>8</v>
      </c>
      <c r="C36" s="8" t="s">
        <v>20</v>
      </c>
      <c r="D36" s="5">
        <v>2.4</v>
      </c>
      <c r="E36" s="5"/>
      <c r="F36" s="5"/>
      <c r="G36" s="30" t="s">
        <v>122</v>
      </c>
    </row>
    <row r="37" ht="15.75" customHeight="1">
      <c r="A37" s="22" t="s">
        <v>123</v>
      </c>
      <c r="B37" s="8" t="s">
        <v>19</v>
      </c>
      <c r="C37" s="8" t="s">
        <v>20</v>
      </c>
      <c r="D37" s="15">
        <v>1.0</v>
      </c>
      <c r="E37" s="15">
        <v>1.0</v>
      </c>
      <c r="F37" s="15"/>
      <c r="G37" s="48" t="s">
        <v>49</v>
      </c>
    </row>
    <row r="38" ht="15.75" customHeight="1">
      <c r="A38" s="49" t="s">
        <v>124</v>
      </c>
      <c r="B38" s="50"/>
      <c r="C38" s="50"/>
      <c r="D38" s="50">
        <f>MAX(SUM(D20:E21), SUM(D23:E25), SUM(D27:E28), SUM(D30:E31), SUM(D33:E34), SUM(D36:E37))</f>
        <v>4.8</v>
      </c>
      <c r="E38" s="50"/>
      <c r="F38" s="50"/>
      <c r="G38" s="51"/>
    </row>
    <row r="39" ht="15.75" customHeight="1">
      <c r="A39" s="18"/>
      <c r="B39" s="18"/>
      <c r="C39" s="18"/>
      <c r="D39" s="18"/>
      <c r="E39" s="18"/>
      <c r="F39" s="18"/>
      <c r="G39" s="18"/>
    </row>
    <row r="40" ht="15.75" customHeight="1">
      <c r="A40" s="20" t="s">
        <v>37</v>
      </c>
      <c r="B40" s="2"/>
      <c r="C40" s="2"/>
      <c r="D40" s="2"/>
      <c r="E40" s="2"/>
      <c r="F40" s="2"/>
      <c r="G40" s="3"/>
    </row>
    <row r="41" ht="15.75" customHeight="1">
      <c r="A41" s="7" t="s">
        <v>38</v>
      </c>
      <c r="B41" s="5"/>
      <c r="C41" s="5"/>
      <c r="D41" s="5">
        <v>1.8</v>
      </c>
      <c r="E41" s="5"/>
      <c r="F41" s="5"/>
      <c r="G41" s="6"/>
    </row>
    <row r="42" ht="15.75" customHeight="1">
      <c r="A42" s="7" t="s">
        <v>125</v>
      </c>
      <c r="B42" s="8" t="s">
        <v>19</v>
      </c>
      <c r="C42" s="5" t="s">
        <v>40</v>
      </c>
      <c r="D42" s="5"/>
      <c r="E42" s="5"/>
      <c r="F42" s="5"/>
      <c r="G42" s="10" t="s">
        <v>126</v>
      </c>
    </row>
    <row r="43" ht="15.75" customHeight="1">
      <c r="A43" s="7" t="s">
        <v>127</v>
      </c>
      <c r="B43" s="8" t="s">
        <v>19</v>
      </c>
      <c r="C43" s="8" t="s">
        <v>16</v>
      </c>
      <c r="D43" s="5"/>
      <c r="E43" s="5"/>
      <c r="F43" s="5"/>
      <c r="G43" s="10" t="s">
        <v>128</v>
      </c>
    </row>
    <row r="44" ht="15.75" customHeight="1">
      <c r="A44" s="7" t="s">
        <v>129</v>
      </c>
      <c r="B44" s="8" t="s">
        <v>19</v>
      </c>
      <c r="C44" s="8" t="s">
        <v>20</v>
      </c>
      <c r="D44" s="5"/>
      <c r="E44" s="5"/>
      <c r="F44" s="5"/>
      <c r="G44" s="6" t="s">
        <v>130</v>
      </c>
    </row>
    <row r="45" ht="15.75" customHeight="1">
      <c r="A45" s="7" t="s">
        <v>131</v>
      </c>
      <c r="B45" s="8" t="s">
        <v>19</v>
      </c>
      <c r="C45" s="5" t="s">
        <v>12</v>
      </c>
      <c r="D45" s="5"/>
      <c r="E45" s="5"/>
      <c r="F45" s="5"/>
      <c r="G45" s="6" t="s">
        <v>132</v>
      </c>
    </row>
    <row r="46" ht="15.75" customHeight="1">
      <c r="A46" s="7" t="s">
        <v>133</v>
      </c>
      <c r="B46" s="8" t="s">
        <v>19</v>
      </c>
      <c r="C46" s="8" t="s">
        <v>9</v>
      </c>
      <c r="D46" s="5"/>
      <c r="E46" s="5"/>
      <c r="F46" s="5"/>
      <c r="G46" s="30" t="s">
        <v>45</v>
      </c>
    </row>
    <row r="47" ht="15.75" customHeight="1">
      <c r="A47" s="7" t="s">
        <v>134</v>
      </c>
      <c r="B47" s="8" t="s">
        <v>19</v>
      </c>
      <c r="C47" s="5" t="s">
        <v>40</v>
      </c>
      <c r="D47" s="5"/>
      <c r="E47" s="5"/>
      <c r="F47" s="5"/>
      <c r="G47" s="30" t="s">
        <v>126</v>
      </c>
    </row>
    <row r="48" ht="15.75" customHeight="1">
      <c r="A48" s="7" t="s">
        <v>135</v>
      </c>
      <c r="B48" s="5"/>
      <c r="C48" s="5"/>
      <c r="D48" s="5">
        <v>1.8</v>
      </c>
      <c r="E48" s="5"/>
      <c r="F48" s="5"/>
      <c r="G48" s="6"/>
    </row>
    <row r="49" ht="15.75" customHeight="1">
      <c r="A49" s="7" t="s">
        <v>136</v>
      </c>
      <c r="B49" s="8" t="s">
        <v>15</v>
      </c>
      <c r="C49" s="8" t="s">
        <v>20</v>
      </c>
      <c r="D49" s="5"/>
      <c r="E49" s="5"/>
      <c r="F49" s="5"/>
      <c r="G49" s="30" t="s">
        <v>137</v>
      </c>
    </row>
    <row r="50" ht="15.75" customHeight="1">
      <c r="A50" s="7" t="s">
        <v>138</v>
      </c>
      <c r="B50" s="8" t="s">
        <v>15</v>
      </c>
      <c r="C50" s="8" t="s">
        <v>20</v>
      </c>
      <c r="D50" s="5"/>
      <c r="E50" s="5"/>
      <c r="F50" s="5"/>
      <c r="G50" s="30" t="s">
        <v>139</v>
      </c>
    </row>
    <row r="51" ht="15.75" customHeight="1">
      <c r="A51" s="7" t="s">
        <v>140</v>
      </c>
      <c r="B51" s="8" t="s">
        <v>141</v>
      </c>
      <c r="C51" s="5" t="s">
        <v>40</v>
      </c>
      <c r="D51" s="5"/>
      <c r="E51" s="5"/>
      <c r="F51" s="5"/>
      <c r="G51" s="30" t="s">
        <v>142</v>
      </c>
    </row>
    <row r="52" ht="15.75" customHeight="1">
      <c r="A52" s="7" t="s">
        <v>143</v>
      </c>
      <c r="B52" s="8" t="s">
        <v>15</v>
      </c>
      <c r="C52" s="8" t="s">
        <v>16</v>
      </c>
      <c r="D52" s="5"/>
      <c r="E52" s="5"/>
      <c r="F52" s="5"/>
      <c r="G52" s="30" t="s">
        <v>144</v>
      </c>
    </row>
    <row r="53" ht="15.75" customHeight="1">
      <c r="A53" s="7" t="s">
        <v>145</v>
      </c>
      <c r="B53" s="8" t="s">
        <v>15</v>
      </c>
      <c r="C53" s="8" t="s">
        <v>9</v>
      </c>
      <c r="D53" s="5"/>
      <c r="E53" s="5"/>
      <c r="F53" s="5"/>
      <c r="G53" s="30" t="s">
        <v>146</v>
      </c>
    </row>
    <row r="54" ht="15.75" customHeight="1">
      <c r="A54" s="7" t="s">
        <v>52</v>
      </c>
      <c r="B54" s="5"/>
      <c r="C54" s="5"/>
      <c r="D54" s="5">
        <v>2.4</v>
      </c>
      <c r="E54" s="5"/>
      <c r="F54" s="5"/>
      <c r="G54" s="6"/>
    </row>
    <row r="55" ht="15.75" customHeight="1">
      <c r="A55" s="7" t="s">
        <v>147</v>
      </c>
      <c r="B55" s="8" t="s">
        <v>8</v>
      </c>
      <c r="C55" s="8" t="s">
        <v>20</v>
      </c>
      <c r="D55" s="5"/>
      <c r="E55" s="5"/>
      <c r="F55" s="5"/>
      <c r="G55" s="30" t="s">
        <v>148</v>
      </c>
    </row>
    <row r="56" ht="15.75" customHeight="1">
      <c r="A56" s="7" t="s">
        <v>149</v>
      </c>
      <c r="B56" s="8" t="s">
        <v>54</v>
      </c>
      <c r="C56" s="8" t="s">
        <v>9</v>
      </c>
      <c r="D56" s="5"/>
      <c r="E56" s="5"/>
      <c r="F56" s="5"/>
      <c r="G56" s="30" t="s">
        <v>150</v>
      </c>
    </row>
    <row r="57" ht="15.75" customHeight="1">
      <c r="A57" s="7" t="s">
        <v>151</v>
      </c>
      <c r="B57" s="8" t="s">
        <v>54</v>
      </c>
      <c r="C57" s="8" t="s">
        <v>9</v>
      </c>
      <c r="D57" s="5"/>
      <c r="E57" s="5"/>
      <c r="F57" s="5"/>
      <c r="G57" s="6" t="s">
        <v>152</v>
      </c>
    </row>
    <row r="58" ht="15.75" customHeight="1">
      <c r="A58" s="7" t="s">
        <v>153</v>
      </c>
      <c r="B58" s="8" t="s">
        <v>8</v>
      </c>
      <c r="C58" s="8" t="s">
        <v>9</v>
      </c>
      <c r="D58" s="5"/>
      <c r="E58" s="5"/>
      <c r="F58" s="5"/>
      <c r="G58" s="30" t="s">
        <v>154</v>
      </c>
    </row>
    <row r="59" ht="15.75" customHeight="1">
      <c r="A59" s="7" t="s">
        <v>155</v>
      </c>
      <c r="B59" s="8" t="s">
        <v>8</v>
      </c>
      <c r="C59" s="8" t="s">
        <v>9</v>
      </c>
      <c r="D59" s="5"/>
      <c r="E59" s="5"/>
      <c r="F59" s="5"/>
      <c r="G59" s="30" t="s">
        <v>156</v>
      </c>
    </row>
    <row r="60" ht="15.75" customHeight="1">
      <c r="A60" s="7" t="s">
        <v>157</v>
      </c>
      <c r="B60" s="8" t="s">
        <v>8</v>
      </c>
      <c r="C60" s="8" t="s">
        <v>9</v>
      </c>
      <c r="D60" s="5"/>
      <c r="E60" s="5"/>
      <c r="F60" s="5"/>
      <c r="G60" s="30" t="s">
        <v>158</v>
      </c>
    </row>
    <row r="61" ht="15.75" customHeight="1">
      <c r="A61" s="52" t="s">
        <v>64</v>
      </c>
      <c r="B61" s="15"/>
      <c r="C61" s="15"/>
      <c r="D61" s="15">
        <f>SUM(D41:F60)</f>
        <v>6</v>
      </c>
      <c r="E61" s="15"/>
      <c r="F61" s="15"/>
      <c r="G61" s="26"/>
    </row>
    <row r="62" ht="15.75" customHeight="1"/>
    <row r="63" ht="15.75" customHeight="1"/>
    <row r="64" ht="15.75" customHeight="1">
      <c r="A64" s="53" t="s">
        <v>159</v>
      </c>
      <c r="B64" s="53">
        <f>D10+D13+D38+D61+D16</f>
        <v>49.6</v>
      </c>
      <c r="C64" s="18"/>
      <c r="D64" s="18"/>
      <c r="E64" s="18"/>
      <c r="F64" s="18"/>
      <c r="G64" s="18"/>
    </row>
    <row r="65" ht="15.75" customHeight="1">
      <c r="A65" s="31" t="s">
        <v>160</v>
      </c>
      <c r="B65" s="31">
        <v>10.0</v>
      </c>
      <c r="C65" s="18"/>
      <c r="D65" s="18"/>
      <c r="E65" s="18"/>
      <c r="F65" s="18"/>
      <c r="G65" s="18"/>
    </row>
    <row r="66" ht="15.75" customHeight="1">
      <c r="A66" s="54" t="s">
        <v>161</v>
      </c>
      <c r="B66" s="39">
        <f>$B$65/(1+$B$64/100)</f>
        <v>6.684491979</v>
      </c>
      <c r="C66" s="18"/>
      <c r="D66" s="18"/>
      <c r="E66" s="18"/>
      <c r="F66" s="18"/>
      <c r="G66" s="18"/>
    </row>
    <row r="67" ht="15.75" customHeight="1">
      <c r="A67" s="18"/>
      <c r="B67" s="18"/>
      <c r="C67" s="18"/>
      <c r="D67" s="18"/>
      <c r="E67" s="18"/>
      <c r="F67" s="18"/>
      <c r="G67" s="18"/>
    </row>
    <row r="68" ht="15.75" customHeight="1">
      <c r="A68" s="43" t="s">
        <v>162</v>
      </c>
      <c r="B68" s="44"/>
      <c r="C68" s="44"/>
      <c r="D68" s="44"/>
      <c r="E68" s="44"/>
      <c r="F68" s="44"/>
      <c r="G68" s="55"/>
    </row>
    <row r="69" ht="15.75" customHeight="1">
      <c r="A69" s="46" t="s">
        <v>163</v>
      </c>
      <c r="B69" s="2"/>
      <c r="C69" s="2"/>
      <c r="D69" s="2"/>
      <c r="E69" s="2"/>
      <c r="F69" s="2"/>
      <c r="G69" s="3"/>
    </row>
    <row r="70" ht="15.75" customHeight="1">
      <c r="A70" s="7" t="s">
        <v>164</v>
      </c>
      <c r="B70" s="5"/>
      <c r="C70" s="5"/>
      <c r="D70" s="5">
        <v>15.0</v>
      </c>
      <c r="E70" s="5"/>
      <c r="F70" s="5"/>
      <c r="G70" s="6"/>
    </row>
    <row r="71" ht="15.75" customHeight="1">
      <c r="A71" s="7" t="s">
        <v>165</v>
      </c>
      <c r="B71" s="8" t="s">
        <v>8</v>
      </c>
      <c r="C71" s="5" t="s">
        <v>12</v>
      </c>
      <c r="D71" s="5">
        <v>9.0</v>
      </c>
      <c r="E71" s="5"/>
      <c r="F71" s="5"/>
      <c r="G71" s="6" t="s">
        <v>166</v>
      </c>
    </row>
    <row r="72" ht="15.75" customHeight="1">
      <c r="A72" s="54" t="s">
        <v>167</v>
      </c>
      <c r="B72" s="31">
        <f>$B$64+SUM(D70:D71)</f>
        <v>73.6</v>
      </c>
      <c r="C72" s="5"/>
      <c r="D72" s="5"/>
      <c r="E72" s="5"/>
      <c r="F72" s="5"/>
      <c r="G72" s="6"/>
    </row>
    <row r="73" ht="15.75" customHeight="1">
      <c r="A73" s="54" t="s">
        <v>168</v>
      </c>
      <c r="B73" s="39">
        <f>$B$65/(1+$B72/100)</f>
        <v>5.760368664</v>
      </c>
      <c r="C73" s="15"/>
      <c r="D73" s="15"/>
      <c r="E73" s="15"/>
      <c r="F73" s="15"/>
      <c r="G73" s="26"/>
    </row>
    <row r="74" ht="15.75" customHeight="1">
      <c r="A74" s="17"/>
      <c r="B74" s="18"/>
      <c r="C74" s="18"/>
      <c r="D74" s="18"/>
      <c r="E74" s="18"/>
      <c r="F74" s="18"/>
      <c r="G74" s="29"/>
    </row>
    <row r="75" ht="15.75" customHeight="1">
      <c r="A75" s="46" t="s">
        <v>169</v>
      </c>
      <c r="B75" s="2"/>
      <c r="C75" s="2"/>
      <c r="D75" s="2"/>
      <c r="E75" s="2"/>
      <c r="F75" s="2"/>
      <c r="G75" s="3"/>
    </row>
    <row r="76" ht="15.75" customHeight="1">
      <c r="A76" s="7" t="s">
        <v>164</v>
      </c>
      <c r="B76" s="5"/>
      <c r="C76" s="5"/>
      <c r="D76" s="5">
        <v>15.0</v>
      </c>
      <c r="E76" s="5"/>
      <c r="F76" s="5"/>
      <c r="G76" s="6"/>
    </row>
    <row r="77" ht="15.75" customHeight="1">
      <c r="A77" s="7" t="s">
        <v>170</v>
      </c>
      <c r="B77" s="8" t="s">
        <v>8</v>
      </c>
      <c r="C77" s="8" t="s">
        <v>16</v>
      </c>
      <c r="D77" s="5">
        <v>9.0</v>
      </c>
      <c r="E77" s="5"/>
      <c r="F77" s="5"/>
      <c r="G77" s="6" t="s">
        <v>171</v>
      </c>
    </row>
    <row r="78" ht="15.75" customHeight="1">
      <c r="A78" s="54" t="s">
        <v>172</v>
      </c>
      <c r="B78" s="31">
        <f>$B$64+SUM(D76:D77)</f>
        <v>73.6</v>
      </c>
      <c r="C78" s="5"/>
      <c r="D78" s="5"/>
      <c r="E78" s="5"/>
      <c r="F78" s="5"/>
      <c r="G78" s="6"/>
    </row>
    <row r="79" ht="15.75" customHeight="1">
      <c r="A79" s="54" t="s">
        <v>173</v>
      </c>
      <c r="B79" s="39">
        <f>$B$65/(1+$B78/100)</f>
        <v>5.760368664</v>
      </c>
      <c r="C79" s="15"/>
      <c r="D79" s="15"/>
      <c r="E79" s="15"/>
      <c r="F79" s="15"/>
      <c r="G79" s="26"/>
    </row>
    <row r="80" ht="15.75" customHeight="1">
      <c r="A80" s="17"/>
      <c r="B80" s="18"/>
      <c r="C80" s="18"/>
      <c r="D80" s="18"/>
      <c r="E80" s="18"/>
      <c r="F80" s="18"/>
      <c r="G80" s="29"/>
    </row>
    <row r="81" ht="15.75" customHeight="1">
      <c r="A81" s="46" t="s">
        <v>174</v>
      </c>
      <c r="B81" s="2"/>
      <c r="C81" s="2"/>
      <c r="D81" s="2"/>
      <c r="E81" s="2"/>
      <c r="F81" s="2"/>
      <c r="G81" s="3"/>
    </row>
    <row r="82" ht="15.75" customHeight="1">
      <c r="A82" s="7" t="s">
        <v>164</v>
      </c>
      <c r="B82" s="5"/>
      <c r="C82" s="5"/>
      <c r="D82" s="5">
        <v>20.0</v>
      </c>
      <c r="E82" s="5"/>
      <c r="F82" s="5"/>
      <c r="G82" s="6"/>
    </row>
    <row r="83" ht="15.75" customHeight="1">
      <c r="A83" s="7" t="s">
        <v>79</v>
      </c>
      <c r="B83" s="8" t="s">
        <v>8</v>
      </c>
      <c r="C83" s="9" t="s">
        <v>20</v>
      </c>
      <c r="D83" s="9">
        <v>9.0</v>
      </c>
      <c r="E83" s="5"/>
      <c r="F83" s="5"/>
      <c r="G83" s="6"/>
    </row>
    <row r="84" ht="15.75" customHeight="1">
      <c r="A84" s="7" t="s">
        <v>175</v>
      </c>
      <c r="B84" s="8" t="s">
        <v>8</v>
      </c>
      <c r="C84" s="5" t="s">
        <v>20</v>
      </c>
      <c r="D84" s="5">
        <v>9.0</v>
      </c>
      <c r="E84" s="5"/>
      <c r="F84" s="5"/>
      <c r="G84" s="6" t="s">
        <v>176</v>
      </c>
    </row>
    <row r="85" ht="15.75" customHeight="1">
      <c r="A85" s="54" t="s">
        <v>177</v>
      </c>
      <c r="B85" s="31">
        <f>$B$64+SUM(D82:D84)</f>
        <v>87.6</v>
      </c>
      <c r="C85" s="5"/>
      <c r="D85" s="5"/>
      <c r="E85" s="5"/>
      <c r="F85" s="5"/>
      <c r="G85" s="6"/>
    </row>
    <row r="86" ht="15.75" customHeight="1">
      <c r="A86" s="54" t="s">
        <v>178</v>
      </c>
      <c r="B86" s="39">
        <f>$B$65/(1+$B85/100)</f>
        <v>5.330490405</v>
      </c>
      <c r="C86" s="15"/>
      <c r="D86" s="15"/>
      <c r="E86" s="15"/>
      <c r="F86" s="15"/>
      <c r="G86" s="26"/>
    </row>
    <row r="87" ht="15.75" customHeight="1">
      <c r="A87" s="17"/>
      <c r="B87" s="18"/>
      <c r="C87" s="18"/>
      <c r="D87" s="18"/>
      <c r="E87" s="18"/>
      <c r="F87" s="18"/>
      <c r="G87" s="29"/>
    </row>
    <row r="88" ht="15.75" customHeight="1">
      <c r="A88" s="46" t="s">
        <v>179</v>
      </c>
      <c r="B88" s="2"/>
      <c r="C88" s="2"/>
      <c r="D88" s="2"/>
      <c r="E88" s="2"/>
      <c r="F88" s="2"/>
      <c r="G88" s="3"/>
    </row>
    <row r="89" ht="15.75" customHeight="1">
      <c r="A89" s="7" t="s">
        <v>164</v>
      </c>
      <c r="B89" s="5"/>
      <c r="C89" s="5"/>
      <c r="D89" s="5">
        <v>10.0</v>
      </c>
      <c r="E89" s="5"/>
      <c r="F89" s="5"/>
      <c r="G89" s="6"/>
    </row>
    <row r="90" ht="15.75" customHeight="1">
      <c r="A90" s="7" t="s">
        <v>180</v>
      </c>
      <c r="B90" s="5"/>
      <c r="C90" s="5"/>
      <c r="D90" s="5">
        <v>3.0</v>
      </c>
      <c r="E90" s="5"/>
      <c r="F90" s="5"/>
      <c r="G90" s="6"/>
    </row>
    <row r="91" ht="15.75" customHeight="1">
      <c r="A91" s="7" t="s">
        <v>181</v>
      </c>
      <c r="B91" s="8" t="s">
        <v>8</v>
      </c>
      <c r="C91" s="8" t="s">
        <v>16</v>
      </c>
      <c r="D91" s="5">
        <v>9.0</v>
      </c>
      <c r="E91" s="5"/>
      <c r="F91" s="5"/>
      <c r="G91" s="6" t="s">
        <v>182</v>
      </c>
    </row>
    <row r="92" ht="15.75" customHeight="1">
      <c r="A92" s="56" t="s">
        <v>183</v>
      </c>
      <c r="B92" s="31">
        <f>$B$64+SUM(D89:D91)</f>
        <v>71.6</v>
      </c>
      <c r="C92" s="57"/>
      <c r="D92" s="57"/>
      <c r="E92" s="57"/>
      <c r="F92" s="57"/>
      <c r="G92" s="58"/>
      <c r="H92" s="59"/>
    </row>
    <row r="93" ht="15.75" customHeight="1">
      <c r="A93" s="56" t="s">
        <v>184</v>
      </c>
      <c r="B93" s="39">
        <f>$B$65/(1+$B92/100)</f>
        <v>5.827505828</v>
      </c>
      <c r="C93" s="60"/>
      <c r="D93" s="60"/>
      <c r="E93" s="60"/>
      <c r="F93" s="60"/>
      <c r="G93" s="61"/>
      <c r="H93" s="59"/>
    </row>
    <row r="94" ht="15.75" customHeight="1">
      <c r="A94" s="62"/>
      <c r="B94" s="59"/>
      <c r="C94" s="59"/>
      <c r="D94" s="59"/>
      <c r="E94" s="59"/>
      <c r="F94" s="59"/>
      <c r="G94" s="63"/>
      <c r="H94" s="59"/>
    </row>
    <row r="95" ht="15.75" customHeight="1">
      <c r="A95" s="46" t="s">
        <v>185</v>
      </c>
      <c r="B95" s="2"/>
      <c r="C95" s="2"/>
      <c r="D95" s="2"/>
      <c r="E95" s="2"/>
      <c r="F95" s="2"/>
      <c r="G95" s="3"/>
    </row>
    <row r="96" ht="15.75" customHeight="1">
      <c r="A96" s="7" t="s">
        <v>164</v>
      </c>
      <c r="B96" s="5"/>
      <c r="C96" s="5"/>
      <c r="D96" s="5">
        <v>15.0</v>
      </c>
      <c r="E96" s="5"/>
      <c r="F96" s="5"/>
      <c r="G96" s="6"/>
    </row>
    <row r="97" ht="15.75" customHeight="1">
      <c r="A97" s="7" t="s">
        <v>186</v>
      </c>
      <c r="B97" s="8" t="s">
        <v>8</v>
      </c>
      <c r="C97" s="9" t="s">
        <v>20</v>
      </c>
      <c r="D97" s="9">
        <v>9.0</v>
      </c>
      <c r="E97" s="5"/>
      <c r="F97" s="5"/>
      <c r="G97" s="30" t="s">
        <v>187</v>
      </c>
    </row>
    <row r="98" ht="15.75" customHeight="1">
      <c r="A98" s="7" t="s">
        <v>188</v>
      </c>
      <c r="B98" s="8" t="s">
        <v>8</v>
      </c>
      <c r="C98" s="8" t="s">
        <v>9</v>
      </c>
      <c r="D98" s="5">
        <v>9.0</v>
      </c>
      <c r="E98" s="5"/>
      <c r="F98" s="5"/>
      <c r="G98" s="6" t="s">
        <v>189</v>
      </c>
    </row>
    <row r="99" ht="15.75" customHeight="1">
      <c r="A99" s="56" t="s">
        <v>190</v>
      </c>
      <c r="B99" s="31">
        <f>$B$64+SUM(D96:D98)</f>
        <v>82.6</v>
      </c>
      <c r="C99" s="57"/>
      <c r="D99" s="57"/>
      <c r="E99" s="57"/>
      <c r="F99" s="57"/>
      <c r="G99" s="58"/>
      <c r="H99" s="59"/>
    </row>
    <row r="100" ht="15.75" customHeight="1">
      <c r="A100" s="56" t="s">
        <v>191</v>
      </c>
      <c r="B100" s="39">
        <f>$B$65/(1+$B99/100)</f>
        <v>5.47645126</v>
      </c>
      <c r="C100" s="60"/>
      <c r="D100" s="60"/>
      <c r="E100" s="60"/>
      <c r="F100" s="60"/>
      <c r="G100" s="61"/>
      <c r="H100" s="59"/>
    </row>
    <row r="101" ht="15.75" customHeight="1">
      <c r="A101" s="62"/>
      <c r="B101" s="59"/>
      <c r="C101" s="59"/>
      <c r="D101" s="59"/>
      <c r="E101" s="59"/>
      <c r="F101" s="59"/>
      <c r="G101" s="63"/>
      <c r="H101" s="59"/>
    </row>
    <row r="102" ht="15.75" customHeight="1">
      <c r="A102" s="46" t="s">
        <v>192</v>
      </c>
      <c r="B102" s="2"/>
      <c r="C102" s="2"/>
      <c r="D102" s="2"/>
      <c r="E102" s="2"/>
      <c r="F102" s="2"/>
      <c r="G102" s="3"/>
    </row>
    <row r="103" ht="15.75" customHeight="1">
      <c r="A103" s="7" t="s">
        <v>164</v>
      </c>
      <c r="B103" s="5"/>
      <c r="C103" s="5"/>
      <c r="D103" s="5">
        <v>15.0</v>
      </c>
      <c r="E103" s="5"/>
      <c r="F103" s="5"/>
      <c r="G103" s="6"/>
    </row>
    <row r="104" ht="15.75" customHeight="1">
      <c r="A104" s="64" t="s">
        <v>193</v>
      </c>
      <c r="B104" s="8" t="s">
        <v>8</v>
      </c>
      <c r="C104" s="65" t="s">
        <v>12</v>
      </c>
      <c r="D104" s="65">
        <v>9.0</v>
      </c>
      <c r="E104" s="57"/>
      <c r="F104" s="57"/>
      <c r="G104" s="66" t="s">
        <v>194</v>
      </c>
      <c r="H104" s="59"/>
    </row>
    <row r="105" ht="15.75" customHeight="1">
      <c r="A105" s="64" t="s">
        <v>195</v>
      </c>
      <c r="B105" s="8" t="s">
        <v>8</v>
      </c>
      <c r="C105" s="8" t="s">
        <v>20</v>
      </c>
      <c r="D105" s="65">
        <v>9.0</v>
      </c>
      <c r="E105" s="57"/>
      <c r="F105" s="57"/>
      <c r="G105" s="66" t="s">
        <v>176</v>
      </c>
      <c r="H105" s="59"/>
    </row>
    <row r="106" ht="15.75" customHeight="1">
      <c r="A106" s="56" t="s">
        <v>196</v>
      </c>
      <c r="B106" s="31">
        <f>$B$64+SUM(D103:D105)</f>
        <v>82.6</v>
      </c>
      <c r="C106" s="57"/>
      <c r="D106" s="57"/>
      <c r="E106" s="57"/>
      <c r="F106" s="57"/>
      <c r="G106" s="58"/>
      <c r="H106" s="59"/>
    </row>
    <row r="107" ht="15.75" customHeight="1">
      <c r="A107" s="56" t="s">
        <v>197</v>
      </c>
      <c r="B107" s="39">
        <f>$B$65/(1+$B106/100)</f>
        <v>5.47645126</v>
      </c>
      <c r="C107" s="60"/>
      <c r="D107" s="60"/>
      <c r="E107" s="60"/>
      <c r="F107" s="60"/>
      <c r="G107" s="61"/>
      <c r="H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ataValidations>
    <dataValidation type="list" allowBlank="1" showErrorMessage="1" sqref="B3:B9 B20:B21 B23:B25 B27:B28 B30:B31 B33:B34 B36:B37 B42:B47 B49:B53 B55:B60 B71 B77 B83:B84 B91 B97:B98 B104:B105">
      <formula1>"SSS,SS,S,AAA,AA,A,Blue,Green"</formula1>
    </dataValidation>
    <dataValidation type="list" allowBlank="1" showErrorMessage="1" sqref="C3:C9 C20:C21 C23:C25 C27:C28 C30:C31 C33:C34 C36:C37 C42:C47 C49:C53 C55:C60 C71 C77 C83:C84 C91 C97:C98 C104:C105">
      <formula1>"FAME,ART,FTH,CIV,TECH"</formula1>
    </dataValidation>
  </dataValidations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8.45"/>
    <col customWidth="1" min="2" max="2" width="8.09"/>
    <col customWidth="1" min="3" max="3" width="7.82"/>
    <col customWidth="1" min="4" max="4" width="10.0"/>
    <col customWidth="1" min="5" max="5" width="16.82"/>
    <col customWidth="1" min="6" max="6" width="6.36"/>
    <col customWidth="1" min="7" max="7" width="13.18"/>
    <col customWidth="1" min="8" max="8" width="6.36"/>
    <col customWidth="1" min="9" max="9" width="13.09"/>
    <col customWidth="1" min="10" max="10" width="12.27"/>
    <col customWidth="1" min="11" max="11" width="15.64"/>
    <col customWidth="1" min="12" max="12" width="113.73"/>
  </cols>
  <sheetData>
    <row r="1">
      <c r="A1" s="67" t="s">
        <v>0</v>
      </c>
      <c r="B1" s="68" t="s">
        <v>1</v>
      </c>
      <c r="C1" s="68" t="s">
        <v>2</v>
      </c>
      <c r="D1" s="68" t="s">
        <v>198</v>
      </c>
      <c r="E1" s="68" t="s">
        <v>199</v>
      </c>
      <c r="F1" s="68" t="s">
        <v>200</v>
      </c>
      <c r="G1" s="68" t="s">
        <v>201</v>
      </c>
      <c r="H1" s="68" t="s">
        <v>202</v>
      </c>
      <c r="I1" s="68" t="s">
        <v>203</v>
      </c>
      <c r="J1" s="68" t="s">
        <v>204</v>
      </c>
      <c r="K1" s="68" t="s">
        <v>205</v>
      </c>
      <c r="L1" s="69" t="s">
        <v>5</v>
      </c>
    </row>
    <row r="2">
      <c r="A2" s="70" t="s">
        <v>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</row>
    <row r="3">
      <c r="A3" s="70" t="s">
        <v>206</v>
      </c>
      <c r="B3" s="8" t="s">
        <v>8</v>
      </c>
      <c r="C3" s="8" t="s">
        <v>40</v>
      </c>
      <c r="D3" s="73">
        <v>2.4</v>
      </c>
      <c r="E3" s="73">
        <v>2.0</v>
      </c>
      <c r="F3" s="71"/>
      <c r="G3" s="71"/>
      <c r="H3" s="73">
        <v>4.8</v>
      </c>
      <c r="I3" s="71"/>
      <c r="J3" s="73">
        <v>36.0</v>
      </c>
      <c r="K3" s="71"/>
      <c r="L3" s="74" t="s">
        <v>207</v>
      </c>
    </row>
    <row r="4">
      <c r="A4" s="70" t="s">
        <v>208</v>
      </c>
      <c r="B4" s="8" t="s">
        <v>8</v>
      </c>
      <c r="C4" s="8" t="s">
        <v>12</v>
      </c>
      <c r="D4" s="73">
        <v>2.4</v>
      </c>
      <c r="E4" s="73">
        <v>2.0</v>
      </c>
      <c r="F4" s="71"/>
      <c r="G4" s="71"/>
      <c r="H4" s="73">
        <v>4.8</v>
      </c>
      <c r="I4" s="71"/>
      <c r="J4" s="73">
        <v>36.0</v>
      </c>
      <c r="K4" s="71"/>
      <c r="L4" s="74" t="s">
        <v>209</v>
      </c>
    </row>
    <row r="5">
      <c r="A5" s="70" t="s">
        <v>210</v>
      </c>
      <c r="B5" s="8" t="s">
        <v>15</v>
      </c>
      <c r="C5" s="8" t="s">
        <v>12</v>
      </c>
      <c r="D5" s="71"/>
      <c r="E5" s="71"/>
      <c r="F5" s="71"/>
      <c r="G5" s="71"/>
      <c r="H5" s="73">
        <v>3.6</v>
      </c>
      <c r="I5" s="73">
        <v>2.8</v>
      </c>
      <c r="J5" s="71"/>
      <c r="K5" s="71"/>
      <c r="L5" s="74" t="s">
        <v>211</v>
      </c>
    </row>
    <row r="6">
      <c r="A6" s="75" t="s">
        <v>27</v>
      </c>
      <c r="B6" s="76"/>
      <c r="C6" s="76"/>
      <c r="D6" s="77">
        <f>sum(D3:E5)</f>
        <v>8.8</v>
      </c>
      <c r="E6" s="76"/>
      <c r="F6" s="77">
        <f>sum(F3:G5)</f>
        <v>0</v>
      </c>
      <c r="G6" s="76"/>
      <c r="H6" s="77">
        <f>sum(H3:I5)</f>
        <v>16</v>
      </c>
      <c r="I6" s="76"/>
      <c r="J6" s="77">
        <f>sum(J3:K5)</f>
        <v>72</v>
      </c>
      <c r="K6" s="76"/>
      <c r="L6" s="78"/>
    </row>
    <row r="7">
      <c r="A7" s="79"/>
      <c r="B7" s="80"/>
      <c r="C7" s="80"/>
      <c r="D7" s="80"/>
      <c r="E7" s="80"/>
      <c r="F7" s="80"/>
      <c r="G7" s="80"/>
      <c r="H7" s="80"/>
      <c r="I7" s="80"/>
      <c r="J7" s="80"/>
      <c r="K7" s="80"/>
      <c r="L7" s="81"/>
    </row>
    <row r="8">
      <c r="A8" s="67" t="s">
        <v>212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>
      <c r="A9" s="75" t="s">
        <v>213</v>
      </c>
      <c r="B9" s="76"/>
      <c r="C9" s="76"/>
      <c r="D9" s="77">
        <v>30.0</v>
      </c>
      <c r="E9" s="76"/>
      <c r="F9" s="76"/>
      <c r="G9" s="76"/>
      <c r="H9" s="76"/>
      <c r="I9" s="76"/>
      <c r="J9" s="76"/>
      <c r="K9" s="76"/>
      <c r="L9" s="84" t="s">
        <v>30</v>
      </c>
    </row>
    <row r="10">
      <c r="A10" s="85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>
      <c r="A11" s="67" t="s">
        <v>214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>
      <c r="A12" s="70" t="s">
        <v>215</v>
      </c>
      <c r="B12" s="71"/>
      <c r="C12" s="71"/>
      <c r="D12" s="73">
        <v>3.0</v>
      </c>
      <c r="E12" s="71"/>
      <c r="F12" s="71"/>
      <c r="G12" s="71"/>
      <c r="H12" s="71"/>
      <c r="I12" s="71"/>
      <c r="J12" s="73">
        <v>15.0</v>
      </c>
      <c r="K12" s="71"/>
      <c r="L12" s="74" t="s">
        <v>216</v>
      </c>
    </row>
    <row r="13">
      <c r="A13" s="70" t="s">
        <v>217</v>
      </c>
      <c r="B13" s="71"/>
      <c r="C13" s="71"/>
      <c r="D13" s="71"/>
      <c r="E13" s="71"/>
      <c r="F13" s="71"/>
      <c r="G13" s="71"/>
      <c r="H13" s="71"/>
      <c r="I13" s="71"/>
      <c r="J13" s="73">
        <v>15.0</v>
      </c>
      <c r="K13" s="71"/>
      <c r="L13" s="74" t="s">
        <v>218</v>
      </c>
    </row>
    <row r="14">
      <c r="A14" s="75" t="s">
        <v>219</v>
      </c>
      <c r="B14" s="76"/>
      <c r="C14" s="76"/>
      <c r="D14" s="77">
        <f>sum(D12:E13)</f>
        <v>3</v>
      </c>
      <c r="E14" s="76"/>
      <c r="F14" s="77">
        <f>sum(F12:G13)</f>
        <v>0</v>
      </c>
      <c r="G14" s="76"/>
      <c r="H14" s="77">
        <f>sum(H12:I13)</f>
        <v>0</v>
      </c>
      <c r="I14" s="76"/>
      <c r="J14" s="77">
        <f>sum(J12:K13)</f>
        <v>30</v>
      </c>
      <c r="K14" s="76"/>
      <c r="L14" s="78"/>
    </row>
    <row r="15">
      <c r="A15" s="86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8"/>
    </row>
    <row r="16">
      <c r="A16" s="67" t="s">
        <v>220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90"/>
    </row>
    <row r="17">
      <c r="A17" s="70" t="s">
        <v>221</v>
      </c>
      <c r="B17" s="87"/>
      <c r="C17" s="87"/>
      <c r="D17" s="91">
        <v>1.6</v>
      </c>
      <c r="E17" s="87"/>
      <c r="F17" s="87"/>
      <c r="G17" s="87"/>
      <c r="H17" s="91">
        <v>3.2</v>
      </c>
      <c r="I17" s="87"/>
      <c r="J17" s="91">
        <v>48.0</v>
      </c>
      <c r="K17" s="87"/>
      <c r="L17" s="92" t="s">
        <v>222</v>
      </c>
    </row>
    <row r="18">
      <c r="A18" s="70" t="s">
        <v>223</v>
      </c>
      <c r="B18" s="87"/>
      <c r="C18" s="87"/>
      <c r="D18" s="91">
        <v>6.0</v>
      </c>
      <c r="E18" s="87"/>
      <c r="F18" s="87"/>
      <c r="G18" s="87"/>
      <c r="H18" s="91"/>
      <c r="I18" s="87"/>
      <c r="J18" s="91"/>
      <c r="K18" s="87"/>
      <c r="L18" s="92" t="s">
        <v>224</v>
      </c>
    </row>
    <row r="19">
      <c r="A19" s="75" t="s">
        <v>225</v>
      </c>
      <c r="B19" s="93"/>
      <c r="C19" s="93"/>
      <c r="D19" s="94">
        <f>SUM(D17:D18)</f>
        <v>7.6</v>
      </c>
      <c r="E19" s="93"/>
      <c r="F19" s="94">
        <f>SUM(F17:F18)</f>
        <v>0</v>
      </c>
      <c r="G19" s="93"/>
      <c r="H19" s="94">
        <f>SUM(H17:H18)</f>
        <v>3.2</v>
      </c>
      <c r="I19" s="93"/>
      <c r="J19" s="94">
        <f>SUM(J17:J18)</f>
        <v>48</v>
      </c>
      <c r="K19" s="93"/>
      <c r="L19" s="95"/>
    </row>
    <row r="20">
      <c r="A20" s="85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8"/>
    </row>
    <row r="21">
      <c r="A21" s="70" t="s">
        <v>226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8"/>
    </row>
    <row r="22">
      <c r="A22" s="70" t="s">
        <v>227</v>
      </c>
      <c r="B22" s="87"/>
      <c r="C22" s="87"/>
      <c r="D22" s="8">
        <v>15.0</v>
      </c>
      <c r="E22" s="87"/>
      <c r="F22" s="87"/>
      <c r="G22" s="87"/>
      <c r="H22" s="87"/>
      <c r="I22" s="87"/>
      <c r="J22" s="87"/>
      <c r="K22" s="87"/>
      <c r="L22" s="92" t="s">
        <v>228</v>
      </c>
    </row>
    <row r="23">
      <c r="A23" s="70" t="s">
        <v>229</v>
      </c>
      <c r="B23" s="87"/>
      <c r="C23" s="87"/>
      <c r="D23" s="8">
        <v>15.0</v>
      </c>
      <c r="E23" s="87"/>
      <c r="F23" s="87"/>
      <c r="G23" s="87"/>
      <c r="H23" s="87"/>
      <c r="I23" s="87"/>
      <c r="J23" s="8">
        <v>150.0</v>
      </c>
      <c r="K23" s="87"/>
      <c r="L23" s="92" t="s">
        <v>230</v>
      </c>
    </row>
    <row r="24">
      <c r="A24" s="70" t="s">
        <v>231</v>
      </c>
      <c r="B24" s="87"/>
      <c r="C24" s="87"/>
      <c r="D24" s="8">
        <v>20.0</v>
      </c>
      <c r="E24" s="87"/>
      <c r="F24" s="87"/>
      <c r="G24" s="87"/>
      <c r="H24" s="87"/>
      <c r="I24" s="87"/>
      <c r="J24" s="87"/>
      <c r="K24" s="87"/>
      <c r="L24" s="92" t="s">
        <v>228</v>
      </c>
    </row>
    <row r="25">
      <c r="A25" s="70" t="s">
        <v>232</v>
      </c>
      <c r="B25" s="87"/>
      <c r="C25" s="87"/>
      <c r="D25" s="8">
        <v>20.0</v>
      </c>
      <c r="E25" s="87"/>
      <c r="F25" s="87"/>
      <c r="G25" s="87"/>
      <c r="H25" s="87"/>
      <c r="I25" s="87"/>
      <c r="J25" s="8">
        <v>240.0</v>
      </c>
      <c r="K25" s="87"/>
      <c r="L25" s="92" t="s">
        <v>230</v>
      </c>
    </row>
    <row r="26">
      <c r="A26" s="70" t="s">
        <v>233</v>
      </c>
      <c r="B26" s="87"/>
      <c r="C26" s="87"/>
      <c r="D26" s="87">
        <f>sum(D22:E25)</f>
        <v>70</v>
      </c>
      <c r="E26" s="87"/>
      <c r="F26" s="87">
        <f>sum(F22:G25)</f>
        <v>0</v>
      </c>
      <c r="G26" s="87"/>
      <c r="H26" s="87">
        <f>sum(H22:I25)</f>
        <v>0</v>
      </c>
      <c r="I26" s="87"/>
      <c r="J26" s="87">
        <f>sum(J22:K25)</f>
        <v>390</v>
      </c>
      <c r="K26" s="87"/>
      <c r="L26" s="88"/>
    </row>
    <row r="27">
      <c r="A27" s="85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>
      <c r="A28" s="67" t="s">
        <v>234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90"/>
    </row>
    <row r="29">
      <c r="A29" s="75" t="s">
        <v>235</v>
      </c>
      <c r="B29" s="93"/>
      <c r="C29" s="93"/>
      <c r="D29" s="96">
        <v>3.0</v>
      </c>
      <c r="E29" s="93"/>
      <c r="F29" s="93"/>
      <c r="G29" s="93"/>
      <c r="H29" s="93"/>
      <c r="I29" s="93"/>
      <c r="J29" s="93"/>
      <c r="K29" s="93"/>
      <c r="L29" s="95" t="s">
        <v>236</v>
      </c>
    </row>
    <row r="30">
      <c r="A30" s="85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>
      <c r="A31" s="70" t="s">
        <v>35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>
      <c r="A32" s="70" t="s">
        <v>237</v>
      </c>
      <c r="B32" s="87"/>
      <c r="C32" s="87"/>
      <c r="D32" s="8">
        <v>5.0</v>
      </c>
      <c r="E32" s="87"/>
      <c r="F32" s="87"/>
      <c r="G32" s="87"/>
      <c r="H32" s="87"/>
      <c r="I32" s="87"/>
      <c r="J32" s="8">
        <v>120.0</v>
      </c>
      <c r="K32" s="87"/>
      <c r="L32" s="92" t="s">
        <v>238</v>
      </c>
    </row>
    <row r="33">
      <c r="A33" s="85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>
      <c r="A34" s="67" t="s">
        <v>239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90"/>
    </row>
    <row r="35">
      <c r="A35" s="75" t="s">
        <v>240</v>
      </c>
      <c r="B35" s="93"/>
      <c r="C35" s="93"/>
      <c r="D35" s="94">
        <v>5.0</v>
      </c>
      <c r="E35" s="93"/>
      <c r="F35" s="94">
        <v>5.0</v>
      </c>
      <c r="G35" s="93"/>
      <c r="H35" s="94">
        <v>5.0</v>
      </c>
      <c r="I35" s="93"/>
      <c r="J35" s="94">
        <v>20.0</v>
      </c>
      <c r="K35" s="93"/>
      <c r="L35" s="97"/>
    </row>
    <row r="36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>
      <c r="A37" s="98" t="s">
        <v>37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3"/>
    </row>
    <row r="38">
      <c r="A38" s="70" t="s">
        <v>241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>
      <c r="A39" s="70" t="s">
        <v>242</v>
      </c>
      <c r="B39" s="71"/>
      <c r="C39" s="71"/>
      <c r="D39" s="73">
        <v>1.8</v>
      </c>
      <c r="E39" s="71"/>
      <c r="F39" s="71"/>
      <c r="G39" s="71"/>
      <c r="H39" s="71"/>
      <c r="I39" s="71"/>
      <c r="J39" s="71"/>
      <c r="K39" s="71"/>
      <c r="L39" s="72"/>
    </row>
    <row r="40">
      <c r="A40" s="70" t="s">
        <v>243</v>
      </c>
      <c r="B40" s="8" t="s">
        <v>19</v>
      </c>
      <c r="C40" s="8" t="s">
        <v>20</v>
      </c>
      <c r="D40" s="71"/>
      <c r="E40" s="71"/>
      <c r="F40" s="71"/>
      <c r="G40" s="71"/>
      <c r="H40" s="71"/>
      <c r="I40" s="71"/>
      <c r="J40" s="71"/>
      <c r="K40" s="71"/>
      <c r="L40" s="74" t="s">
        <v>244</v>
      </c>
    </row>
    <row r="41">
      <c r="A41" s="70" t="s">
        <v>245</v>
      </c>
      <c r="B41" s="8" t="s">
        <v>19</v>
      </c>
      <c r="C41" s="8" t="s">
        <v>16</v>
      </c>
      <c r="D41" s="71"/>
      <c r="E41" s="71"/>
      <c r="F41" s="71"/>
      <c r="G41" s="71"/>
      <c r="H41" s="71"/>
      <c r="I41" s="71"/>
      <c r="J41" s="71"/>
      <c r="K41" s="71"/>
      <c r="L41" s="74" t="s">
        <v>104</v>
      </c>
    </row>
    <row r="42">
      <c r="A42" s="70" t="s">
        <v>246</v>
      </c>
      <c r="B42" s="8" t="s">
        <v>19</v>
      </c>
      <c r="C42" s="99" t="s">
        <v>40</v>
      </c>
      <c r="D42" s="71"/>
      <c r="E42" s="71"/>
      <c r="F42" s="71"/>
      <c r="G42" s="71"/>
      <c r="H42" s="71"/>
      <c r="I42" s="71"/>
      <c r="J42" s="71"/>
      <c r="K42" s="71"/>
      <c r="L42" s="74" t="s">
        <v>247</v>
      </c>
    </row>
    <row r="43">
      <c r="A43" s="70" t="s">
        <v>248</v>
      </c>
      <c r="B43" s="8" t="s">
        <v>19</v>
      </c>
      <c r="C43" s="99" t="s">
        <v>12</v>
      </c>
      <c r="D43" s="71"/>
      <c r="E43" s="71"/>
      <c r="F43" s="71"/>
      <c r="G43" s="71"/>
      <c r="H43" s="71"/>
      <c r="I43" s="71"/>
      <c r="J43" s="71"/>
      <c r="K43" s="71"/>
      <c r="L43" s="74" t="s">
        <v>249</v>
      </c>
    </row>
    <row r="44">
      <c r="A44" s="70" t="s">
        <v>250</v>
      </c>
      <c r="B44" s="8" t="s">
        <v>19</v>
      </c>
      <c r="C44" s="8" t="s">
        <v>9</v>
      </c>
      <c r="D44" s="71"/>
      <c r="E44" s="71"/>
      <c r="F44" s="71"/>
      <c r="G44" s="71"/>
      <c r="H44" s="71"/>
      <c r="I44" s="71"/>
      <c r="J44" s="71"/>
      <c r="K44" s="71"/>
      <c r="L44" s="74" t="s">
        <v>251</v>
      </c>
    </row>
    <row r="45">
      <c r="A45" s="70" t="s">
        <v>252</v>
      </c>
      <c r="B45" s="8" t="s">
        <v>19</v>
      </c>
      <c r="C45" s="99" t="s">
        <v>20</v>
      </c>
      <c r="D45" s="71"/>
      <c r="E45" s="71"/>
      <c r="F45" s="71"/>
      <c r="G45" s="71"/>
      <c r="H45" s="71"/>
      <c r="I45" s="71"/>
      <c r="J45" s="71"/>
      <c r="K45" s="71"/>
      <c r="L45" s="74" t="s">
        <v>253</v>
      </c>
    </row>
    <row r="46">
      <c r="A46" s="70" t="s">
        <v>254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2"/>
    </row>
    <row r="47">
      <c r="A47" s="70" t="s">
        <v>242</v>
      </c>
      <c r="B47" s="71"/>
      <c r="C47" s="71"/>
      <c r="D47" s="73">
        <v>2.0</v>
      </c>
      <c r="E47" s="71"/>
      <c r="F47" s="71"/>
      <c r="G47" s="71"/>
      <c r="H47" s="71"/>
      <c r="I47" s="71"/>
      <c r="J47" s="71"/>
      <c r="K47" s="71"/>
      <c r="L47" s="72"/>
    </row>
    <row r="48">
      <c r="A48" s="70" t="s">
        <v>255</v>
      </c>
      <c r="B48" s="8" t="s">
        <v>141</v>
      </c>
      <c r="C48" s="99" t="s">
        <v>20</v>
      </c>
      <c r="D48" s="71"/>
      <c r="E48" s="71"/>
      <c r="F48" s="71"/>
      <c r="G48" s="71"/>
      <c r="H48" s="71"/>
      <c r="I48" s="71"/>
      <c r="J48" s="71"/>
      <c r="K48" s="71"/>
      <c r="L48" s="74" t="s">
        <v>256</v>
      </c>
    </row>
    <row r="49">
      <c r="A49" s="70" t="s">
        <v>257</v>
      </c>
      <c r="B49" s="8" t="s">
        <v>141</v>
      </c>
      <c r="C49" s="99" t="s">
        <v>20</v>
      </c>
      <c r="D49" s="71"/>
      <c r="E49" s="71"/>
      <c r="F49" s="71"/>
      <c r="G49" s="71"/>
      <c r="H49" s="71"/>
      <c r="I49" s="71"/>
      <c r="J49" s="71"/>
      <c r="K49" s="71"/>
      <c r="L49" s="74" t="s">
        <v>258</v>
      </c>
    </row>
    <row r="50">
      <c r="A50" s="70" t="s">
        <v>259</v>
      </c>
      <c r="B50" s="8" t="s">
        <v>141</v>
      </c>
      <c r="C50" s="8" t="s">
        <v>9</v>
      </c>
      <c r="D50" s="71"/>
      <c r="E50" s="71"/>
      <c r="F50" s="71"/>
      <c r="G50" s="71"/>
      <c r="H50" s="71"/>
      <c r="I50" s="71"/>
      <c r="J50" s="71"/>
      <c r="K50" s="71"/>
      <c r="L50" s="74" t="s">
        <v>260</v>
      </c>
    </row>
    <row r="51">
      <c r="A51" s="70" t="s">
        <v>261</v>
      </c>
      <c r="B51" s="8" t="s">
        <v>15</v>
      </c>
      <c r="C51" s="99" t="s">
        <v>12</v>
      </c>
      <c r="D51" s="71"/>
      <c r="E51" s="71"/>
      <c r="F51" s="71"/>
      <c r="G51" s="71"/>
      <c r="H51" s="71"/>
      <c r="I51" s="71"/>
      <c r="J51" s="71"/>
      <c r="K51" s="71"/>
      <c r="L51" s="74" t="s">
        <v>262</v>
      </c>
    </row>
    <row r="52">
      <c r="A52" s="70" t="s">
        <v>263</v>
      </c>
      <c r="B52" s="8" t="s">
        <v>141</v>
      </c>
      <c r="C52" s="99" t="s">
        <v>40</v>
      </c>
      <c r="D52" s="71"/>
      <c r="E52" s="71"/>
      <c r="F52" s="71"/>
      <c r="G52" s="71"/>
      <c r="H52" s="71"/>
      <c r="I52" s="71"/>
      <c r="J52" s="71"/>
      <c r="K52" s="71"/>
      <c r="L52" s="74" t="s">
        <v>264</v>
      </c>
    </row>
    <row r="53">
      <c r="A53" s="70" t="s">
        <v>265</v>
      </c>
      <c r="B53" s="8" t="s">
        <v>15</v>
      </c>
      <c r="C53" s="99" t="s">
        <v>40</v>
      </c>
      <c r="D53" s="71"/>
      <c r="E53" s="71"/>
      <c r="F53" s="71"/>
      <c r="G53" s="71"/>
      <c r="H53" s="71"/>
      <c r="I53" s="71"/>
      <c r="J53" s="71"/>
      <c r="K53" s="71"/>
      <c r="L53" s="74" t="s">
        <v>266</v>
      </c>
    </row>
    <row r="54">
      <c r="A54" s="75" t="s">
        <v>64</v>
      </c>
      <c r="B54" s="76"/>
      <c r="C54" s="76"/>
      <c r="D54" s="77">
        <f>sum(D39:E53)</f>
        <v>3.8</v>
      </c>
      <c r="E54" s="76"/>
      <c r="F54" s="77">
        <f>sum(F39:G53)</f>
        <v>0</v>
      </c>
      <c r="G54" s="76"/>
      <c r="H54" s="77">
        <f>sum(H39:I53)</f>
        <v>0</v>
      </c>
      <c r="I54" s="76"/>
      <c r="J54" s="77">
        <f>sum(J39:K53)</f>
        <v>0</v>
      </c>
      <c r="K54" s="76"/>
      <c r="L54" s="78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>
      <c r="A56" s="100" t="s">
        <v>267</v>
      </c>
      <c r="B56" s="101">
        <f>D6+D9+D14+D19+D35+D54+D29+D32+D26</f>
        <v>136.2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>
      <c r="A57" s="102" t="s">
        <v>268</v>
      </c>
      <c r="B57" s="103">
        <f>F6+F14+F35+F54+F26</f>
        <v>5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>
      <c r="A58" s="102" t="s">
        <v>269</v>
      </c>
      <c r="B58" s="103">
        <f>H6+H14+H19+H35+H54+H26</f>
        <v>24.2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</row>
    <row r="59">
      <c r="A59" s="102" t="s">
        <v>270</v>
      </c>
      <c r="B59" s="103">
        <f>J6+J14+J19+J35+J54+J32+J26</f>
        <v>680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</row>
    <row r="61">
      <c r="A61" s="80"/>
      <c r="B61" s="80"/>
      <c r="C61" s="104"/>
      <c r="D61" s="104"/>
      <c r="E61" s="104"/>
      <c r="F61" s="104"/>
      <c r="G61" s="104"/>
      <c r="H61" s="104"/>
      <c r="I61" s="104"/>
      <c r="J61" s="104"/>
      <c r="K61" s="104"/>
      <c r="L61" s="104"/>
    </row>
    <row r="62">
      <c r="A62" s="104"/>
      <c r="B62" s="104"/>
      <c r="C62" s="104"/>
      <c r="D62" s="104"/>
      <c r="E62" s="104"/>
      <c r="F62" s="104"/>
      <c r="G62" s="104"/>
      <c r="H62" s="80"/>
      <c r="I62" s="80"/>
      <c r="J62" s="80"/>
      <c r="K62" s="80"/>
      <c r="L62" s="80"/>
    </row>
    <row r="63">
      <c r="A63" s="104"/>
      <c r="B63" s="80"/>
      <c r="C63" s="80"/>
      <c r="D63" s="104"/>
      <c r="E63" s="80"/>
      <c r="F63" s="80"/>
      <c r="G63" s="104"/>
      <c r="H63" s="80"/>
      <c r="I63" s="80"/>
      <c r="J63" s="80"/>
      <c r="K63" s="80"/>
      <c r="L63" s="80"/>
    </row>
    <row r="64">
      <c r="A64" s="98" t="s">
        <v>94</v>
      </c>
      <c r="B64" s="82"/>
      <c r="C64" s="82"/>
      <c r="D64" s="82"/>
      <c r="E64" s="89"/>
      <c r="F64" s="89"/>
      <c r="G64" s="82"/>
      <c r="H64" s="89"/>
      <c r="I64" s="89"/>
      <c r="J64" s="89"/>
      <c r="K64" s="89"/>
      <c r="L64" s="90"/>
    </row>
    <row r="65">
      <c r="A65" s="70" t="s">
        <v>6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2"/>
    </row>
    <row r="66">
      <c r="A66" s="70" t="s">
        <v>271</v>
      </c>
      <c r="B66" s="8" t="s">
        <v>54</v>
      </c>
      <c r="C66" s="8" t="s">
        <v>20</v>
      </c>
      <c r="D66" s="73">
        <v>6.6</v>
      </c>
      <c r="E66" s="71"/>
      <c r="F66" s="71"/>
      <c r="G66" s="71"/>
      <c r="H66" s="71"/>
      <c r="I66" s="71"/>
      <c r="J66" s="73">
        <v>66.0</v>
      </c>
      <c r="K66" s="73">
        <v>60.0</v>
      </c>
      <c r="L66" s="74" t="s">
        <v>272</v>
      </c>
    </row>
    <row r="67">
      <c r="A67" s="70" t="s">
        <v>273</v>
      </c>
      <c r="B67" s="8" t="s">
        <v>15</v>
      </c>
      <c r="C67" s="8" t="s">
        <v>9</v>
      </c>
      <c r="D67" s="73"/>
      <c r="E67" s="73"/>
      <c r="F67" s="73"/>
      <c r="G67" s="71"/>
      <c r="H67" s="99">
        <v>5.4</v>
      </c>
      <c r="I67" s="71"/>
      <c r="J67" s="71"/>
      <c r="K67" s="71"/>
      <c r="L67" s="74" t="s">
        <v>274</v>
      </c>
    </row>
    <row r="68">
      <c r="A68" s="70" t="s">
        <v>275</v>
      </c>
      <c r="B68" s="8" t="s">
        <v>141</v>
      </c>
      <c r="C68" s="8" t="s">
        <v>16</v>
      </c>
      <c r="D68" s="73">
        <v>4.8</v>
      </c>
      <c r="E68" s="73">
        <v>4.2</v>
      </c>
      <c r="F68" s="73">
        <v>4.8</v>
      </c>
      <c r="G68" s="71"/>
      <c r="H68" s="71"/>
      <c r="I68" s="71"/>
      <c r="J68" s="71"/>
      <c r="K68" s="71"/>
      <c r="L68" s="74" t="s">
        <v>256</v>
      </c>
    </row>
    <row r="69">
      <c r="A69" s="70" t="s">
        <v>276</v>
      </c>
      <c r="B69" s="8" t="s">
        <v>141</v>
      </c>
      <c r="C69" s="8" t="s">
        <v>9</v>
      </c>
      <c r="D69" s="71"/>
      <c r="E69" s="71"/>
      <c r="F69" s="71"/>
      <c r="G69" s="71"/>
      <c r="H69" s="73">
        <v>4.8</v>
      </c>
      <c r="I69" s="73">
        <v>4.2</v>
      </c>
      <c r="J69" s="71"/>
      <c r="K69" s="71"/>
      <c r="L69" s="74" t="s">
        <v>260</v>
      </c>
    </row>
    <row r="70">
      <c r="A70" s="70" t="s">
        <v>277</v>
      </c>
      <c r="B70" s="8" t="s">
        <v>19</v>
      </c>
      <c r="C70" s="8" t="s">
        <v>9</v>
      </c>
      <c r="D70" s="71"/>
      <c r="E70" s="71"/>
      <c r="F70" s="71"/>
      <c r="G70" s="71"/>
      <c r="H70" s="71"/>
      <c r="I70" s="71"/>
      <c r="J70" s="73">
        <v>30.0</v>
      </c>
      <c r="K70" s="73">
        <v>30.0</v>
      </c>
      <c r="L70" s="105" t="s">
        <v>278</v>
      </c>
    </row>
    <row r="71">
      <c r="A71" s="70" t="s">
        <v>127</v>
      </c>
      <c r="B71" s="8" t="s">
        <v>19</v>
      </c>
      <c r="C71" s="8" t="s">
        <v>16</v>
      </c>
      <c r="D71" s="71"/>
      <c r="E71" s="71"/>
      <c r="F71" s="71"/>
      <c r="G71" s="71"/>
      <c r="H71" s="71"/>
      <c r="I71" s="71"/>
      <c r="J71" s="73">
        <v>30.0</v>
      </c>
      <c r="K71" s="73">
        <v>30.0</v>
      </c>
      <c r="L71" s="74" t="s">
        <v>279</v>
      </c>
    </row>
    <row r="72">
      <c r="A72" s="70" t="s">
        <v>280</v>
      </c>
      <c r="B72" s="8" t="s">
        <v>23</v>
      </c>
      <c r="C72" s="8" t="s">
        <v>12</v>
      </c>
      <c r="D72" s="73"/>
      <c r="E72" s="71"/>
      <c r="F72" s="73"/>
      <c r="G72" s="71"/>
      <c r="H72" s="73">
        <v>1.8</v>
      </c>
      <c r="I72" s="71"/>
      <c r="J72" s="73"/>
      <c r="K72" s="71"/>
      <c r="L72" s="74" t="s">
        <v>281</v>
      </c>
    </row>
    <row r="73">
      <c r="A73" s="75" t="s">
        <v>27</v>
      </c>
      <c r="B73" s="76"/>
      <c r="C73" s="76"/>
      <c r="D73" s="77">
        <f>sum(D65:E72)</f>
        <v>15.6</v>
      </c>
      <c r="E73" s="76"/>
      <c r="F73" s="77">
        <f>sum(F65:G72)</f>
        <v>4.8</v>
      </c>
      <c r="G73" s="76"/>
      <c r="H73" s="77">
        <f>sum(H65:I72)</f>
        <v>16.2</v>
      </c>
      <c r="I73" s="76"/>
      <c r="J73" s="77">
        <f>sum(J65:K72)</f>
        <v>246</v>
      </c>
      <c r="K73" s="76"/>
      <c r="L73" s="78"/>
    </row>
    <row r="74">
      <c r="A74" s="106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7"/>
    </row>
    <row r="75">
      <c r="A75" s="67" t="s">
        <v>28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3"/>
    </row>
    <row r="76">
      <c r="A76" s="75" t="s">
        <v>282</v>
      </c>
      <c r="B76" s="76"/>
      <c r="C76" s="76"/>
      <c r="D76" s="76"/>
      <c r="E76" s="76"/>
      <c r="F76" s="76"/>
      <c r="G76" s="76"/>
      <c r="H76" s="76"/>
      <c r="I76" s="76"/>
      <c r="J76" s="77">
        <v>15.0</v>
      </c>
      <c r="K76" s="76"/>
      <c r="L76" s="78"/>
    </row>
    <row r="77">
      <c r="A77" s="85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2"/>
    </row>
    <row r="78">
      <c r="A78" s="67" t="s">
        <v>37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3"/>
    </row>
    <row r="79">
      <c r="A79" s="70" t="s">
        <v>241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2"/>
    </row>
    <row r="80">
      <c r="A80" s="70" t="s">
        <v>242</v>
      </c>
      <c r="B80" s="71"/>
      <c r="C80" s="71"/>
      <c r="D80" s="73">
        <v>3.0</v>
      </c>
      <c r="E80" s="71"/>
      <c r="F80" s="71"/>
      <c r="G80" s="71"/>
      <c r="H80" s="71"/>
      <c r="I80" s="71"/>
      <c r="J80" s="71"/>
      <c r="K80" s="71"/>
      <c r="L80" s="72"/>
    </row>
    <row r="81">
      <c r="A81" s="70" t="s">
        <v>283</v>
      </c>
      <c r="B81" s="8" t="s">
        <v>19</v>
      </c>
      <c r="C81" s="8" t="s">
        <v>20</v>
      </c>
      <c r="D81" s="71"/>
      <c r="E81" s="71"/>
      <c r="F81" s="71"/>
      <c r="G81" s="71"/>
      <c r="H81" s="71"/>
      <c r="I81" s="71"/>
      <c r="J81" s="71"/>
      <c r="K81" s="71"/>
      <c r="L81" s="74" t="s">
        <v>284</v>
      </c>
    </row>
    <row r="82">
      <c r="A82" s="70" t="s">
        <v>285</v>
      </c>
      <c r="B82" s="8" t="s">
        <v>19</v>
      </c>
      <c r="C82" s="8" t="s">
        <v>20</v>
      </c>
      <c r="D82" s="71"/>
      <c r="E82" s="71"/>
      <c r="F82" s="71"/>
      <c r="G82" s="71"/>
      <c r="H82" s="71"/>
      <c r="I82" s="71"/>
      <c r="J82" s="71"/>
      <c r="K82" s="71"/>
      <c r="L82" s="74" t="s">
        <v>286</v>
      </c>
    </row>
    <row r="83">
      <c r="A83" s="70" t="s">
        <v>287</v>
      </c>
      <c r="B83" s="71"/>
      <c r="C83" s="71"/>
      <c r="D83" s="71"/>
      <c r="E83" s="71"/>
      <c r="F83" s="71"/>
      <c r="G83" s="71"/>
      <c r="H83" s="71"/>
      <c r="I83" s="71"/>
      <c r="J83" s="73">
        <v>30.0</v>
      </c>
      <c r="K83" s="71"/>
      <c r="L83" s="72"/>
    </row>
    <row r="84">
      <c r="A84" s="70" t="s">
        <v>288</v>
      </c>
      <c r="B84" s="8" t="s">
        <v>19</v>
      </c>
      <c r="C84" s="8" t="s">
        <v>9</v>
      </c>
      <c r="D84" s="71"/>
      <c r="E84" s="71"/>
      <c r="F84" s="71"/>
      <c r="G84" s="71"/>
      <c r="H84" s="71"/>
      <c r="I84" s="71"/>
      <c r="J84" s="71"/>
      <c r="K84" s="71"/>
      <c r="L84" s="108" t="s">
        <v>278</v>
      </c>
    </row>
    <row r="85">
      <c r="A85" s="70" t="s">
        <v>289</v>
      </c>
      <c r="B85" s="8" t="s">
        <v>19</v>
      </c>
      <c r="C85" s="8" t="s">
        <v>9</v>
      </c>
      <c r="D85" s="71"/>
      <c r="E85" s="71"/>
      <c r="F85" s="71"/>
      <c r="G85" s="71"/>
      <c r="H85" s="71"/>
      <c r="I85" s="71"/>
      <c r="J85" s="71"/>
      <c r="K85" s="71"/>
      <c r="L85" s="108" t="s">
        <v>290</v>
      </c>
    </row>
    <row r="86">
      <c r="A86" s="70" t="s">
        <v>254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2"/>
    </row>
    <row r="87">
      <c r="A87" s="70" t="s">
        <v>242</v>
      </c>
      <c r="B87" s="71"/>
      <c r="C87" s="71"/>
      <c r="D87" s="73">
        <v>3.6</v>
      </c>
      <c r="E87" s="71"/>
      <c r="F87" s="71"/>
      <c r="G87" s="71"/>
      <c r="H87" s="71"/>
      <c r="I87" s="71"/>
      <c r="J87" s="71"/>
      <c r="K87" s="71"/>
      <c r="L87" s="72"/>
    </row>
    <row r="88">
      <c r="A88" s="70" t="s">
        <v>291</v>
      </c>
      <c r="B88" s="8" t="s">
        <v>141</v>
      </c>
      <c r="C88" s="8" t="s">
        <v>20</v>
      </c>
      <c r="D88" s="71"/>
      <c r="E88" s="71"/>
      <c r="F88" s="71"/>
      <c r="G88" s="71"/>
      <c r="H88" s="71"/>
      <c r="I88" s="71"/>
      <c r="J88" s="71"/>
      <c r="K88" s="71"/>
      <c r="L88" s="74" t="s">
        <v>292</v>
      </c>
    </row>
    <row r="89">
      <c r="A89" s="70" t="s">
        <v>293</v>
      </c>
      <c r="B89" s="8" t="s">
        <v>15</v>
      </c>
      <c r="C89" s="8" t="s">
        <v>20</v>
      </c>
      <c r="D89" s="71"/>
      <c r="E89" s="71"/>
      <c r="F89" s="71"/>
      <c r="G89" s="71"/>
      <c r="H89" s="71"/>
      <c r="I89" s="71"/>
      <c r="J89" s="71"/>
      <c r="K89" s="71"/>
      <c r="L89" s="74" t="s">
        <v>139</v>
      </c>
    </row>
    <row r="90">
      <c r="A90" s="70" t="s">
        <v>294</v>
      </c>
      <c r="B90" s="71"/>
      <c r="C90" s="71"/>
      <c r="D90" s="71"/>
      <c r="E90" s="71"/>
      <c r="F90" s="73">
        <v>3.6</v>
      </c>
      <c r="G90" s="71"/>
      <c r="H90" s="71"/>
      <c r="I90" s="71"/>
      <c r="J90" s="71"/>
      <c r="K90" s="71"/>
      <c r="L90" s="72"/>
    </row>
    <row r="91">
      <c r="A91" s="70" t="s">
        <v>295</v>
      </c>
      <c r="B91" s="8" t="s">
        <v>15</v>
      </c>
      <c r="C91" s="8" t="s">
        <v>16</v>
      </c>
      <c r="D91" s="71"/>
      <c r="E91" s="71"/>
      <c r="F91" s="71"/>
      <c r="G91" s="71"/>
      <c r="H91" s="71"/>
      <c r="I91" s="71"/>
      <c r="J91" s="71"/>
      <c r="K91" s="71"/>
      <c r="L91" s="74" t="s">
        <v>17</v>
      </c>
    </row>
    <row r="92">
      <c r="A92" s="70" t="s">
        <v>296</v>
      </c>
      <c r="B92" s="8" t="s">
        <v>15</v>
      </c>
      <c r="C92" s="8" t="s">
        <v>20</v>
      </c>
      <c r="D92" s="71"/>
      <c r="E92" s="71"/>
      <c r="F92" s="71"/>
      <c r="G92" s="71"/>
      <c r="H92" s="71"/>
      <c r="I92" s="71"/>
      <c r="J92" s="71"/>
      <c r="K92" s="71"/>
      <c r="L92" s="74" t="s">
        <v>297</v>
      </c>
    </row>
    <row r="93">
      <c r="A93" s="70" t="s">
        <v>298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2"/>
    </row>
    <row r="94">
      <c r="A94" s="70" t="s">
        <v>242</v>
      </c>
      <c r="B94" s="71"/>
      <c r="C94" s="71"/>
      <c r="D94" s="73">
        <v>5.4</v>
      </c>
      <c r="E94" s="71"/>
      <c r="F94" s="71"/>
      <c r="G94" s="71"/>
      <c r="H94" s="71"/>
      <c r="I94" s="71"/>
      <c r="J94" s="71"/>
      <c r="K94" s="71"/>
      <c r="L94" s="72"/>
    </row>
    <row r="95">
      <c r="A95" s="70" t="s">
        <v>299</v>
      </c>
      <c r="B95" s="8" t="s">
        <v>54</v>
      </c>
      <c r="C95" s="8" t="s">
        <v>40</v>
      </c>
      <c r="D95" s="71"/>
      <c r="E95" s="71"/>
      <c r="F95" s="71"/>
      <c r="G95" s="71"/>
      <c r="H95" s="71"/>
      <c r="I95" s="71"/>
      <c r="J95" s="71"/>
      <c r="K95" s="71"/>
      <c r="L95" s="74" t="s">
        <v>117</v>
      </c>
    </row>
    <row r="96">
      <c r="A96" s="70" t="s">
        <v>300</v>
      </c>
      <c r="B96" s="8" t="s">
        <v>54</v>
      </c>
      <c r="C96" s="8" t="s">
        <v>12</v>
      </c>
      <c r="D96" s="71"/>
      <c r="E96" s="71"/>
      <c r="F96" s="71"/>
      <c r="G96" s="71"/>
      <c r="H96" s="71"/>
      <c r="I96" s="71"/>
      <c r="J96" s="71"/>
      <c r="K96" s="71"/>
      <c r="L96" s="74" t="s">
        <v>301</v>
      </c>
    </row>
    <row r="97">
      <c r="A97" s="70" t="s">
        <v>302</v>
      </c>
      <c r="B97" s="8" t="s">
        <v>54</v>
      </c>
      <c r="C97" s="8" t="s">
        <v>20</v>
      </c>
      <c r="D97" s="71"/>
      <c r="E97" s="71"/>
      <c r="F97" s="71"/>
      <c r="G97" s="71"/>
      <c r="H97" s="71"/>
      <c r="I97" s="71"/>
      <c r="J97" s="71"/>
      <c r="K97" s="71"/>
      <c r="L97" s="74" t="s">
        <v>303</v>
      </c>
    </row>
    <row r="98">
      <c r="A98" s="70" t="s">
        <v>304</v>
      </c>
      <c r="B98" s="8" t="s">
        <v>54</v>
      </c>
      <c r="C98" s="8" t="s">
        <v>9</v>
      </c>
      <c r="D98" s="87"/>
      <c r="E98" s="87"/>
      <c r="F98" s="87"/>
      <c r="G98" s="87"/>
      <c r="H98" s="87"/>
      <c r="I98" s="87"/>
      <c r="J98" s="87"/>
      <c r="K98" s="87"/>
      <c r="L98" s="74" t="s">
        <v>305</v>
      </c>
    </row>
    <row r="99">
      <c r="A99" s="70" t="s">
        <v>294</v>
      </c>
      <c r="B99" s="71"/>
      <c r="C99" s="71"/>
      <c r="D99" s="71"/>
      <c r="E99" s="71"/>
      <c r="F99" s="73">
        <v>4.2</v>
      </c>
      <c r="G99" s="71"/>
      <c r="H99" s="71"/>
      <c r="I99" s="71"/>
      <c r="J99" s="71"/>
      <c r="K99" s="71"/>
      <c r="L99" s="72"/>
    </row>
    <row r="100">
      <c r="A100" s="70" t="s">
        <v>306</v>
      </c>
      <c r="B100" s="8" t="s">
        <v>54</v>
      </c>
      <c r="C100" s="8" t="s">
        <v>20</v>
      </c>
      <c r="D100" s="71"/>
      <c r="E100" s="71"/>
      <c r="F100" s="71"/>
      <c r="G100" s="71"/>
      <c r="H100" s="71"/>
      <c r="I100" s="71"/>
      <c r="J100" s="71"/>
      <c r="K100" s="71"/>
      <c r="L100" s="74" t="s">
        <v>307</v>
      </c>
    </row>
    <row r="101">
      <c r="A101" s="70" t="s">
        <v>308</v>
      </c>
      <c r="B101" s="8" t="s">
        <v>54</v>
      </c>
      <c r="C101" s="8" t="s">
        <v>20</v>
      </c>
      <c r="D101" s="71"/>
      <c r="E101" s="71"/>
      <c r="F101" s="71"/>
      <c r="G101" s="71"/>
      <c r="H101" s="71"/>
      <c r="I101" s="71"/>
      <c r="J101" s="71"/>
      <c r="K101" s="71"/>
      <c r="L101" s="74" t="s">
        <v>97</v>
      </c>
    </row>
    <row r="102">
      <c r="A102" s="75" t="s">
        <v>64</v>
      </c>
      <c r="B102" s="76"/>
      <c r="C102" s="76"/>
      <c r="D102" s="77">
        <f>sum(D79:D101)</f>
        <v>12</v>
      </c>
      <c r="E102" s="76"/>
      <c r="F102" s="77">
        <f>sum(F79:F101)</f>
        <v>7.8</v>
      </c>
      <c r="G102" s="76"/>
      <c r="H102" s="77">
        <f>sum(H79:H101)</f>
        <v>0</v>
      </c>
      <c r="I102" s="76"/>
      <c r="J102" s="77">
        <f>sum(J79:J101)</f>
        <v>30</v>
      </c>
      <c r="K102" s="76"/>
      <c r="L102" s="78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</row>
    <row r="105">
      <c r="A105" s="98" t="s">
        <v>100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90"/>
    </row>
    <row r="106">
      <c r="A106" s="70" t="s">
        <v>6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2"/>
    </row>
    <row r="107">
      <c r="A107" s="70" t="s">
        <v>309</v>
      </c>
      <c r="B107" s="8" t="s">
        <v>54</v>
      </c>
      <c r="C107" s="8" t="s">
        <v>40</v>
      </c>
      <c r="D107" s="73">
        <v>7.2</v>
      </c>
      <c r="E107" s="71"/>
      <c r="F107" s="71"/>
      <c r="G107" s="71"/>
      <c r="H107" s="71"/>
      <c r="I107" s="71"/>
      <c r="J107" s="73">
        <v>72.0</v>
      </c>
      <c r="K107" s="73">
        <v>60.0</v>
      </c>
      <c r="L107" s="74" t="s">
        <v>310</v>
      </c>
    </row>
    <row r="108">
      <c r="A108" s="70" t="s">
        <v>311</v>
      </c>
      <c r="B108" s="8" t="s">
        <v>15</v>
      </c>
      <c r="C108" s="8" t="s">
        <v>12</v>
      </c>
      <c r="D108" s="73">
        <v>5.4</v>
      </c>
      <c r="E108" s="73">
        <v>4.2</v>
      </c>
      <c r="F108" s="71"/>
      <c r="G108" s="71"/>
      <c r="H108" s="71"/>
      <c r="I108" s="71"/>
      <c r="J108" s="71"/>
      <c r="K108" s="71"/>
      <c r="L108" s="74" t="s">
        <v>312</v>
      </c>
    </row>
    <row r="109">
      <c r="A109" s="70" t="s">
        <v>313</v>
      </c>
      <c r="B109" s="8" t="s">
        <v>15</v>
      </c>
      <c r="C109" s="8" t="s">
        <v>20</v>
      </c>
      <c r="D109" s="71"/>
      <c r="E109" s="71"/>
      <c r="F109" s="73">
        <v>5.4</v>
      </c>
      <c r="G109" s="71"/>
      <c r="H109" s="73">
        <v>5.4</v>
      </c>
      <c r="I109" s="73">
        <v>4.2</v>
      </c>
      <c r="J109" s="71"/>
      <c r="K109" s="71"/>
      <c r="L109" s="74" t="s">
        <v>139</v>
      </c>
    </row>
    <row r="110">
      <c r="A110" s="70" t="s">
        <v>314</v>
      </c>
      <c r="B110" s="8" t="s">
        <v>19</v>
      </c>
      <c r="C110" s="8" t="s">
        <v>16</v>
      </c>
      <c r="D110" s="71"/>
      <c r="E110" s="71"/>
      <c r="F110" s="71"/>
      <c r="G110" s="71"/>
      <c r="H110" s="71"/>
      <c r="I110" s="71"/>
      <c r="J110" s="73">
        <v>30.0</v>
      </c>
      <c r="K110" s="73">
        <v>30.0</v>
      </c>
      <c r="L110" s="108" t="s">
        <v>290</v>
      </c>
    </row>
    <row r="111">
      <c r="A111" s="70" t="s">
        <v>315</v>
      </c>
      <c r="B111" s="8" t="s">
        <v>19</v>
      </c>
      <c r="C111" s="8" t="s">
        <v>16</v>
      </c>
      <c r="D111" s="71"/>
      <c r="E111" s="71"/>
      <c r="F111" s="71"/>
      <c r="G111" s="71"/>
      <c r="H111" s="71"/>
      <c r="I111" s="71"/>
      <c r="J111" s="73">
        <v>30.0</v>
      </c>
      <c r="K111" s="73">
        <v>30.0</v>
      </c>
      <c r="L111" s="74" t="s">
        <v>45</v>
      </c>
    </row>
    <row r="112">
      <c r="A112" s="70" t="s">
        <v>316</v>
      </c>
      <c r="B112" s="8" t="s">
        <v>23</v>
      </c>
      <c r="C112" s="8" t="s">
        <v>16</v>
      </c>
      <c r="D112" s="73"/>
      <c r="E112" s="71"/>
      <c r="F112" s="73"/>
      <c r="G112" s="71"/>
      <c r="H112" s="73">
        <v>1.8</v>
      </c>
      <c r="I112" s="71"/>
      <c r="J112" s="73"/>
      <c r="K112" s="71"/>
      <c r="L112" s="74" t="s">
        <v>106</v>
      </c>
    </row>
    <row r="113">
      <c r="A113" s="75" t="s">
        <v>27</v>
      </c>
      <c r="B113" s="76"/>
      <c r="C113" s="76"/>
      <c r="D113" s="77">
        <f>sum(D106:E112)</f>
        <v>16.8</v>
      </c>
      <c r="E113" s="76"/>
      <c r="F113" s="77">
        <f>sum(F106:G112)</f>
        <v>5.4</v>
      </c>
      <c r="G113" s="76"/>
      <c r="H113" s="77">
        <f>sum(H106:I112)</f>
        <v>11.4</v>
      </c>
      <c r="I113" s="76"/>
      <c r="J113" s="77">
        <f>sum(J106:K112)</f>
        <v>252</v>
      </c>
      <c r="K113" s="76"/>
      <c r="L113" s="78"/>
    </row>
    <row r="114">
      <c r="A114" s="79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1"/>
    </row>
    <row r="115">
      <c r="A115" s="67" t="s">
        <v>37</v>
      </c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3"/>
    </row>
    <row r="116">
      <c r="A116" s="70" t="s">
        <v>241</v>
      </c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2"/>
    </row>
    <row r="117">
      <c r="A117" s="70" t="s">
        <v>242</v>
      </c>
      <c r="B117" s="71"/>
      <c r="C117" s="71"/>
      <c r="D117" s="73">
        <v>3.6</v>
      </c>
      <c r="E117" s="71"/>
      <c r="F117" s="71"/>
      <c r="G117" s="71"/>
      <c r="H117" s="71"/>
      <c r="I117" s="71"/>
      <c r="J117" s="71"/>
      <c r="K117" s="71"/>
      <c r="L117" s="72"/>
    </row>
    <row r="118">
      <c r="A118" s="70" t="s">
        <v>317</v>
      </c>
      <c r="B118" s="8" t="s">
        <v>19</v>
      </c>
      <c r="C118" s="8" t="s">
        <v>16</v>
      </c>
      <c r="D118" s="71"/>
      <c r="E118" s="71"/>
      <c r="F118" s="71"/>
      <c r="G118" s="71"/>
      <c r="H118" s="71"/>
      <c r="I118" s="71"/>
      <c r="J118" s="71"/>
      <c r="K118" s="71"/>
      <c r="L118" s="74" t="s">
        <v>318</v>
      </c>
    </row>
    <row r="119">
      <c r="A119" s="70" t="s">
        <v>319</v>
      </c>
      <c r="B119" s="8" t="s">
        <v>19</v>
      </c>
      <c r="C119" s="8" t="s">
        <v>9</v>
      </c>
      <c r="D119" s="71"/>
      <c r="E119" s="71"/>
      <c r="F119" s="71"/>
      <c r="G119" s="71"/>
      <c r="H119" s="71"/>
      <c r="I119" s="71"/>
      <c r="J119" s="71"/>
      <c r="K119" s="71"/>
      <c r="L119" s="74" t="s">
        <v>45</v>
      </c>
    </row>
    <row r="120">
      <c r="A120" s="70" t="s">
        <v>283</v>
      </c>
      <c r="B120" s="8" t="s">
        <v>19</v>
      </c>
      <c r="C120" s="8" t="s">
        <v>20</v>
      </c>
      <c r="D120" s="71"/>
      <c r="E120" s="71"/>
      <c r="F120" s="71"/>
      <c r="G120" s="71"/>
      <c r="H120" s="71"/>
      <c r="I120" s="71"/>
      <c r="J120" s="71"/>
      <c r="K120" s="71"/>
      <c r="L120" s="74" t="s">
        <v>284</v>
      </c>
    </row>
    <row r="121">
      <c r="A121" s="70" t="s">
        <v>287</v>
      </c>
      <c r="B121" s="71"/>
      <c r="C121" s="71"/>
      <c r="D121" s="71"/>
      <c r="E121" s="71"/>
      <c r="F121" s="71"/>
      <c r="G121" s="71"/>
      <c r="H121" s="71"/>
      <c r="I121" s="71"/>
      <c r="J121" s="73">
        <v>30.0</v>
      </c>
      <c r="K121" s="71"/>
      <c r="L121" s="72"/>
    </row>
    <row r="122">
      <c r="A122" s="70" t="s">
        <v>320</v>
      </c>
      <c r="B122" s="8" t="s">
        <v>19</v>
      </c>
      <c r="C122" s="8" t="s">
        <v>16</v>
      </c>
      <c r="D122" s="71"/>
      <c r="E122" s="71"/>
      <c r="F122" s="71"/>
      <c r="G122" s="71"/>
      <c r="H122" s="71"/>
      <c r="I122" s="71"/>
      <c r="J122" s="71"/>
      <c r="K122" s="71"/>
      <c r="L122" s="108" t="s">
        <v>290</v>
      </c>
    </row>
    <row r="123">
      <c r="A123" s="70" t="s">
        <v>321</v>
      </c>
      <c r="B123" s="8" t="s">
        <v>19</v>
      </c>
      <c r="C123" s="8" t="s">
        <v>16</v>
      </c>
      <c r="D123" s="71"/>
      <c r="E123" s="71"/>
      <c r="F123" s="71"/>
      <c r="G123" s="71"/>
      <c r="H123" s="71"/>
      <c r="I123" s="71"/>
      <c r="J123" s="71"/>
      <c r="K123" s="71"/>
      <c r="L123" s="108" t="s">
        <v>322</v>
      </c>
    </row>
    <row r="124">
      <c r="A124" s="70" t="s">
        <v>254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2"/>
    </row>
    <row r="125">
      <c r="A125" s="70" t="s">
        <v>242</v>
      </c>
      <c r="B125" s="71"/>
      <c r="C125" s="71"/>
      <c r="D125" s="73">
        <v>3.6</v>
      </c>
      <c r="E125" s="71"/>
      <c r="F125" s="71"/>
      <c r="G125" s="71"/>
      <c r="H125" s="71"/>
      <c r="I125" s="71"/>
      <c r="J125" s="71"/>
      <c r="K125" s="71"/>
      <c r="L125" s="72"/>
    </row>
    <row r="126">
      <c r="A126" s="70" t="s">
        <v>323</v>
      </c>
      <c r="B126" s="8" t="s">
        <v>141</v>
      </c>
      <c r="C126" s="8" t="s">
        <v>20</v>
      </c>
      <c r="D126" s="71"/>
      <c r="E126" s="71"/>
      <c r="F126" s="71"/>
      <c r="G126" s="71"/>
      <c r="H126" s="71"/>
      <c r="I126" s="71"/>
      <c r="J126" s="71"/>
      <c r="K126" s="71"/>
      <c r="L126" s="74" t="s">
        <v>324</v>
      </c>
    </row>
    <row r="127">
      <c r="A127" s="70" t="s">
        <v>325</v>
      </c>
      <c r="B127" s="8" t="s">
        <v>141</v>
      </c>
      <c r="C127" s="8" t="s">
        <v>16</v>
      </c>
      <c r="D127" s="71"/>
      <c r="E127" s="71"/>
      <c r="F127" s="71"/>
      <c r="G127" s="71"/>
      <c r="H127" s="71"/>
      <c r="I127" s="71"/>
      <c r="J127" s="71"/>
      <c r="K127" s="71"/>
      <c r="L127" s="74" t="s">
        <v>256</v>
      </c>
    </row>
    <row r="128">
      <c r="A128" s="70" t="s">
        <v>294</v>
      </c>
      <c r="B128" s="71"/>
      <c r="C128" s="71"/>
      <c r="D128" s="71"/>
      <c r="E128" s="71"/>
      <c r="F128" s="73">
        <v>3.6</v>
      </c>
      <c r="G128" s="71"/>
      <c r="H128" s="71"/>
      <c r="I128" s="71"/>
      <c r="J128" s="71"/>
      <c r="K128" s="71"/>
      <c r="L128" s="72"/>
    </row>
    <row r="129">
      <c r="A129" s="70" t="s">
        <v>326</v>
      </c>
      <c r="B129" s="8" t="s">
        <v>15</v>
      </c>
      <c r="C129" s="8" t="s">
        <v>9</v>
      </c>
      <c r="D129" s="71"/>
      <c r="E129" s="71"/>
      <c r="F129" s="71"/>
      <c r="G129" s="71"/>
      <c r="H129" s="71"/>
      <c r="I129" s="71"/>
      <c r="J129" s="71"/>
      <c r="K129" s="71"/>
      <c r="L129" s="74" t="s">
        <v>146</v>
      </c>
    </row>
    <row r="130">
      <c r="A130" s="70" t="s">
        <v>327</v>
      </c>
      <c r="B130" s="8" t="s">
        <v>15</v>
      </c>
      <c r="C130" s="8" t="s">
        <v>9</v>
      </c>
      <c r="D130" s="71"/>
      <c r="E130" s="71"/>
      <c r="F130" s="71"/>
      <c r="G130" s="71"/>
      <c r="H130" s="71"/>
      <c r="I130" s="71"/>
      <c r="J130" s="71"/>
      <c r="K130" s="71"/>
      <c r="L130" s="74" t="s">
        <v>266</v>
      </c>
    </row>
    <row r="131">
      <c r="A131" s="70" t="s">
        <v>298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2"/>
    </row>
    <row r="132">
      <c r="A132" s="70" t="s">
        <v>242</v>
      </c>
      <c r="B132" s="71"/>
      <c r="C132" s="71"/>
      <c r="D132" s="73">
        <v>4.2</v>
      </c>
      <c r="E132" s="71"/>
      <c r="F132" s="71"/>
      <c r="G132" s="71"/>
      <c r="H132" s="71"/>
      <c r="I132" s="71"/>
      <c r="J132" s="71"/>
      <c r="K132" s="71"/>
      <c r="L132" s="72"/>
    </row>
    <row r="133">
      <c r="A133" s="70" t="s">
        <v>328</v>
      </c>
      <c r="B133" s="8" t="s">
        <v>54</v>
      </c>
      <c r="C133" s="8" t="s">
        <v>20</v>
      </c>
      <c r="D133" s="71"/>
      <c r="E133" s="71"/>
      <c r="F133" s="71"/>
      <c r="G133" s="71"/>
      <c r="H133" s="71"/>
      <c r="I133" s="71"/>
      <c r="J133" s="71"/>
      <c r="K133" s="71"/>
      <c r="L133" s="74" t="s">
        <v>329</v>
      </c>
    </row>
    <row r="134">
      <c r="A134" s="70" t="s">
        <v>330</v>
      </c>
      <c r="B134" s="8" t="s">
        <v>54</v>
      </c>
      <c r="C134" s="8" t="s">
        <v>20</v>
      </c>
      <c r="D134" s="71"/>
      <c r="E134" s="71"/>
      <c r="F134" s="71"/>
      <c r="G134" s="71"/>
      <c r="H134" s="71"/>
      <c r="I134" s="71"/>
      <c r="J134" s="71"/>
      <c r="K134" s="71"/>
      <c r="L134" s="74" t="s">
        <v>102</v>
      </c>
    </row>
    <row r="135">
      <c r="A135" s="70" t="s">
        <v>294</v>
      </c>
      <c r="B135" s="71"/>
      <c r="C135" s="71"/>
      <c r="D135" s="71"/>
      <c r="E135" s="71"/>
      <c r="F135" s="73">
        <v>4.2</v>
      </c>
      <c r="G135" s="71"/>
      <c r="H135" s="71"/>
      <c r="I135" s="71"/>
      <c r="J135" s="71"/>
      <c r="K135" s="71"/>
      <c r="L135" s="72"/>
    </row>
    <row r="136">
      <c r="A136" s="70" t="s">
        <v>331</v>
      </c>
      <c r="B136" s="8" t="s">
        <v>8</v>
      </c>
      <c r="C136" s="8" t="s">
        <v>20</v>
      </c>
      <c r="D136" s="71"/>
      <c r="E136" s="71"/>
      <c r="F136" s="71"/>
      <c r="G136" s="71"/>
      <c r="H136" s="71"/>
      <c r="I136" s="71"/>
      <c r="J136" s="71"/>
      <c r="K136" s="71"/>
      <c r="L136" s="74" t="s">
        <v>332</v>
      </c>
    </row>
    <row r="137">
      <c r="A137" s="70" t="s">
        <v>333</v>
      </c>
      <c r="B137" s="8" t="s">
        <v>8</v>
      </c>
      <c r="C137" s="8" t="s">
        <v>20</v>
      </c>
      <c r="D137" s="71"/>
      <c r="E137" s="71"/>
      <c r="F137" s="71"/>
      <c r="G137" s="71"/>
      <c r="H137" s="71"/>
      <c r="I137" s="71"/>
      <c r="J137" s="71"/>
      <c r="K137" s="71"/>
      <c r="L137" s="74" t="s">
        <v>334</v>
      </c>
    </row>
    <row r="138">
      <c r="A138" s="75" t="s">
        <v>64</v>
      </c>
      <c r="B138" s="76"/>
      <c r="C138" s="76"/>
      <c r="D138" s="77">
        <f>sum(D116:D137)</f>
        <v>11.4</v>
      </c>
      <c r="E138" s="76"/>
      <c r="F138" s="77">
        <f>sum(F116:F137)</f>
        <v>7.8</v>
      </c>
      <c r="G138" s="76"/>
      <c r="H138" s="77">
        <f>sum(H116:H137)</f>
        <v>0</v>
      </c>
      <c r="I138" s="76"/>
      <c r="J138" s="77">
        <f>sum(J116:J137)</f>
        <v>30</v>
      </c>
      <c r="K138" s="76"/>
      <c r="L138" s="78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</row>
    <row r="141">
      <c r="A141" s="98" t="s">
        <v>107</v>
      </c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90"/>
    </row>
    <row r="142">
      <c r="A142" s="70" t="s">
        <v>6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2"/>
    </row>
    <row r="143">
      <c r="A143" s="70" t="s">
        <v>147</v>
      </c>
      <c r="B143" s="8" t="s">
        <v>8</v>
      </c>
      <c r="C143" s="8" t="s">
        <v>9</v>
      </c>
      <c r="D143" s="73">
        <v>6.0</v>
      </c>
      <c r="E143" s="71"/>
      <c r="F143" s="71"/>
      <c r="G143" s="71"/>
      <c r="H143" s="71"/>
      <c r="I143" s="71"/>
      <c r="J143" s="71"/>
      <c r="K143" s="71"/>
      <c r="L143" s="74" t="s">
        <v>148</v>
      </c>
    </row>
    <row r="144">
      <c r="A144" s="70" t="s">
        <v>335</v>
      </c>
      <c r="B144" s="8" t="s">
        <v>8</v>
      </c>
      <c r="C144" s="8" t="s">
        <v>40</v>
      </c>
      <c r="D144" s="73">
        <v>6.0</v>
      </c>
      <c r="E144" s="71"/>
      <c r="F144" s="71"/>
      <c r="G144" s="71"/>
      <c r="H144" s="71"/>
      <c r="I144" s="71"/>
      <c r="J144" s="73">
        <v>60.0</v>
      </c>
      <c r="K144" s="73">
        <v>60.0</v>
      </c>
      <c r="L144" s="74" t="s">
        <v>336</v>
      </c>
    </row>
    <row r="145">
      <c r="A145" s="70" t="s">
        <v>337</v>
      </c>
      <c r="B145" s="8" t="s">
        <v>15</v>
      </c>
      <c r="C145" s="8" t="s">
        <v>20</v>
      </c>
      <c r="D145" s="73"/>
      <c r="E145" s="71"/>
      <c r="F145" s="71"/>
      <c r="G145" s="71"/>
      <c r="H145" s="99">
        <v>5.4</v>
      </c>
      <c r="I145" s="71"/>
      <c r="J145" s="71"/>
      <c r="K145" s="71"/>
      <c r="L145" s="109" t="s">
        <v>338</v>
      </c>
    </row>
    <row r="146">
      <c r="A146" s="70" t="s">
        <v>339</v>
      </c>
      <c r="B146" s="8" t="s">
        <v>15</v>
      </c>
      <c r="C146" s="8" t="s">
        <v>16</v>
      </c>
      <c r="D146" s="73">
        <v>5.4</v>
      </c>
      <c r="E146" s="71"/>
      <c r="F146" s="71"/>
      <c r="G146" s="71"/>
      <c r="H146" s="71"/>
      <c r="I146" s="71"/>
      <c r="J146" s="71"/>
      <c r="K146" s="71"/>
      <c r="L146" s="74" t="s">
        <v>266</v>
      </c>
    </row>
    <row r="147">
      <c r="A147" s="70" t="s">
        <v>143</v>
      </c>
      <c r="B147" s="8" t="s">
        <v>15</v>
      </c>
      <c r="C147" s="8" t="s">
        <v>16</v>
      </c>
      <c r="D147" s="71"/>
      <c r="E147" s="71"/>
      <c r="F147" s="73">
        <v>5.4</v>
      </c>
      <c r="G147" s="71"/>
      <c r="H147" s="73">
        <v>5.4</v>
      </c>
      <c r="I147" s="73">
        <v>4.2</v>
      </c>
      <c r="J147" s="71"/>
      <c r="K147" s="71"/>
      <c r="L147" s="74" t="s">
        <v>144</v>
      </c>
    </row>
    <row r="148">
      <c r="A148" s="70" t="s">
        <v>340</v>
      </c>
      <c r="B148" s="8" t="s">
        <v>19</v>
      </c>
      <c r="C148" s="8" t="s">
        <v>20</v>
      </c>
      <c r="D148" s="71"/>
      <c r="E148" s="71"/>
      <c r="F148" s="71"/>
      <c r="G148" s="71"/>
      <c r="H148" s="71"/>
      <c r="I148" s="71"/>
      <c r="J148" s="73">
        <v>30.0</v>
      </c>
      <c r="K148" s="73">
        <v>30.0</v>
      </c>
      <c r="L148" s="108" t="s">
        <v>278</v>
      </c>
    </row>
    <row r="149">
      <c r="A149" s="70" t="s">
        <v>341</v>
      </c>
      <c r="B149" s="8" t="s">
        <v>19</v>
      </c>
      <c r="C149" s="8" t="s">
        <v>9</v>
      </c>
      <c r="D149" s="71"/>
      <c r="E149" s="71"/>
      <c r="F149" s="71"/>
      <c r="G149" s="71"/>
      <c r="H149" s="71"/>
      <c r="I149" s="71"/>
      <c r="J149" s="73">
        <v>30.0</v>
      </c>
      <c r="K149" s="73">
        <v>30.0</v>
      </c>
      <c r="L149" s="74" t="s">
        <v>342</v>
      </c>
    </row>
    <row r="150">
      <c r="A150" s="75" t="s">
        <v>27</v>
      </c>
      <c r="B150" s="76"/>
      <c r="C150" s="76"/>
      <c r="D150" s="77">
        <f>sum(D143:E149)</f>
        <v>17.4</v>
      </c>
      <c r="E150" s="76"/>
      <c r="F150" s="77">
        <f>sum(F143:G149)</f>
        <v>5.4</v>
      </c>
      <c r="G150" s="76"/>
      <c r="H150" s="77">
        <f>sum(H143:I149)</f>
        <v>15</v>
      </c>
      <c r="I150" s="76"/>
      <c r="J150" s="77">
        <f>sum(J143:K149)</f>
        <v>240</v>
      </c>
      <c r="K150" s="76"/>
      <c r="L150" s="78"/>
    </row>
    <row r="151">
      <c r="A151" s="106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7"/>
    </row>
    <row r="152">
      <c r="A152" s="67" t="s">
        <v>28</v>
      </c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3"/>
    </row>
    <row r="153">
      <c r="A153" s="75" t="s">
        <v>343</v>
      </c>
      <c r="B153" s="76"/>
      <c r="C153" s="76"/>
      <c r="D153" s="76"/>
      <c r="E153" s="76"/>
      <c r="F153" s="76"/>
      <c r="G153" s="76"/>
      <c r="H153" s="76"/>
      <c r="I153" s="76"/>
      <c r="J153" s="77">
        <v>15.0</v>
      </c>
      <c r="K153" s="76"/>
      <c r="L153" s="78"/>
    </row>
    <row r="154">
      <c r="A154" s="110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2"/>
    </row>
    <row r="155">
      <c r="A155" s="67" t="s">
        <v>37</v>
      </c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3"/>
    </row>
    <row r="156">
      <c r="A156" s="70" t="s">
        <v>241</v>
      </c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2"/>
    </row>
    <row r="157">
      <c r="A157" s="70" t="s">
        <v>242</v>
      </c>
      <c r="B157" s="71"/>
      <c r="C157" s="71"/>
      <c r="D157" s="73">
        <v>3.0</v>
      </c>
      <c r="E157" s="71"/>
      <c r="F157" s="71"/>
      <c r="G157" s="71"/>
      <c r="H157" s="71"/>
      <c r="I157" s="71"/>
      <c r="J157" s="71"/>
      <c r="K157" s="71"/>
      <c r="L157" s="72"/>
    </row>
    <row r="158">
      <c r="A158" s="70" t="s">
        <v>344</v>
      </c>
      <c r="B158" s="8" t="s">
        <v>19</v>
      </c>
      <c r="C158" s="8" t="s">
        <v>40</v>
      </c>
      <c r="D158" s="71"/>
      <c r="E158" s="71"/>
      <c r="F158" s="71"/>
      <c r="G158" s="71"/>
      <c r="H158" s="71"/>
      <c r="I158" s="71"/>
      <c r="J158" s="71"/>
      <c r="K158" s="71"/>
      <c r="L158" s="74" t="s">
        <v>345</v>
      </c>
    </row>
    <row r="159">
      <c r="A159" s="70" t="s">
        <v>346</v>
      </c>
      <c r="B159" s="8" t="s">
        <v>19</v>
      </c>
      <c r="C159" s="8" t="s">
        <v>40</v>
      </c>
      <c r="D159" s="71"/>
      <c r="E159" s="71"/>
      <c r="F159" s="71"/>
      <c r="G159" s="71"/>
      <c r="H159" s="71"/>
      <c r="I159" s="71"/>
      <c r="J159" s="71"/>
      <c r="K159" s="71"/>
      <c r="L159" s="74" t="s">
        <v>347</v>
      </c>
    </row>
    <row r="160">
      <c r="A160" s="70" t="s">
        <v>287</v>
      </c>
      <c r="B160" s="71"/>
      <c r="C160" s="71"/>
      <c r="D160" s="71"/>
      <c r="E160" s="71"/>
      <c r="F160" s="71"/>
      <c r="G160" s="71"/>
      <c r="H160" s="71"/>
      <c r="I160" s="71"/>
      <c r="J160" s="73">
        <v>30.0</v>
      </c>
      <c r="K160" s="71"/>
      <c r="L160" s="72"/>
    </row>
    <row r="161">
      <c r="A161" s="70" t="s">
        <v>348</v>
      </c>
      <c r="B161" s="8" t="s">
        <v>19</v>
      </c>
      <c r="C161" s="99" t="s">
        <v>20</v>
      </c>
      <c r="D161" s="71"/>
      <c r="E161" s="71"/>
      <c r="F161" s="71"/>
      <c r="G161" s="71"/>
      <c r="H161" s="71"/>
      <c r="I161" s="71"/>
      <c r="J161" s="71"/>
      <c r="K161" s="71"/>
      <c r="L161" s="108" t="s">
        <v>349</v>
      </c>
    </row>
    <row r="162">
      <c r="A162" s="70" t="s">
        <v>350</v>
      </c>
      <c r="B162" s="8" t="s">
        <v>19</v>
      </c>
      <c r="C162" s="99" t="s">
        <v>20</v>
      </c>
      <c r="D162" s="71"/>
      <c r="E162" s="71"/>
      <c r="F162" s="71"/>
      <c r="G162" s="71"/>
      <c r="H162" s="71"/>
      <c r="I162" s="71"/>
      <c r="J162" s="71"/>
      <c r="K162" s="71"/>
      <c r="L162" s="108" t="s">
        <v>322</v>
      </c>
    </row>
    <row r="163">
      <c r="A163" s="70" t="s">
        <v>254</v>
      </c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2"/>
    </row>
    <row r="164">
      <c r="A164" s="70" t="s">
        <v>242</v>
      </c>
      <c r="B164" s="71"/>
      <c r="C164" s="71"/>
      <c r="D164" s="73">
        <v>3.6</v>
      </c>
      <c r="E164" s="71"/>
      <c r="F164" s="71"/>
      <c r="G164" s="71"/>
      <c r="H164" s="71"/>
      <c r="I164" s="71"/>
      <c r="J164" s="71"/>
      <c r="K164" s="71"/>
      <c r="L164" s="72"/>
    </row>
    <row r="165">
      <c r="A165" s="70" t="s">
        <v>351</v>
      </c>
      <c r="B165" s="8" t="s">
        <v>15</v>
      </c>
      <c r="C165" s="99" t="s">
        <v>40</v>
      </c>
      <c r="D165" s="71"/>
      <c r="E165" s="71"/>
      <c r="F165" s="71"/>
      <c r="G165" s="71"/>
      <c r="H165" s="71"/>
      <c r="I165" s="71"/>
      <c r="J165" s="71"/>
      <c r="K165" s="71"/>
      <c r="L165" s="74" t="s">
        <v>84</v>
      </c>
    </row>
    <row r="166">
      <c r="A166" s="70" t="s">
        <v>352</v>
      </c>
      <c r="B166" s="8" t="s">
        <v>141</v>
      </c>
      <c r="C166" s="99" t="s">
        <v>40</v>
      </c>
      <c r="D166" s="71"/>
      <c r="E166" s="71"/>
      <c r="F166" s="71"/>
      <c r="G166" s="71"/>
      <c r="H166" s="71"/>
      <c r="I166" s="71"/>
      <c r="J166" s="71"/>
      <c r="K166" s="71"/>
      <c r="L166" s="74" t="s">
        <v>353</v>
      </c>
    </row>
    <row r="167">
      <c r="A167" s="70" t="s">
        <v>294</v>
      </c>
      <c r="B167" s="71"/>
      <c r="C167" s="71"/>
      <c r="D167" s="71"/>
      <c r="E167" s="71"/>
      <c r="F167" s="73">
        <v>3.6</v>
      </c>
      <c r="G167" s="71"/>
      <c r="H167" s="71"/>
      <c r="I167" s="71"/>
      <c r="J167" s="71"/>
      <c r="K167" s="71"/>
      <c r="L167" s="72"/>
    </row>
    <row r="168">
      <c r="A168" s="70" t="s">
        <v>354</v>
      </c>
      <c r="B168" s="8" t="s">
        <v>141</v>
      </c>
      <c r="C168" s="99" t="s">
        <v>20</v>
      </c>
      <c r="D168" s="71"/>
      <c r="E168" s="71"/>
      <c r="F168" s="71"/>
      <c r="G168" s="71"/>
      <c r="H168" s="71"/>
      <c r="I168" s="71"/>
      <c r="J168" s="71"/>
      <c r="K168" s="71"/>
      <c r="L168" s="74" t="s">
        <v>355</v>
      </c>
    </row>
    <row r="169">
      <c r="A169" s="70" t="s">
        <v>356</v>
      </c>
      <c r="B169" s="8" t="s">
        <v>15</v>
      </c>
      <c r="C169" s="99" t="s">
        <v>20</v>
      </c>
      <c r="D169" s="71"/>
      <c r="E169" s="71"/>
      <c r="F169" s="71"/>
      <c r="G169" s="71"/>
      <c r="H169" s="71"/>
      <c r="I169" s="71"/>
      <c r="J169" s="71"/>
      <c r="K169" s="71"/>
      <c r="L169" s="111" t="s">
        <v>357</v>
      </c>
    </row>
    <row r="170">
      <c r="A170" s="70" t="s">
        <v>298</v>
      </c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2"/>
    </row>
    <row r="171">
      <c r="A171" s="70" t="s">
        <v>242</v>
      </c>
      <c r="B171" s="71"/>
      <c r="C171" s="71"/>
      <c r="D171" s="73">
        <v>4.2</v>
      </c>
      <c r="E171" s="71"/>
      <c r="F171" s="71"/>
      <c r="G171" s="71"/>
      <c r="H171" s="71"/>
      <c r="I171" s="71"/>
      <c r="J171" s="71"/>
      <c r="K171" s="71"/>
      <c r="L171" s="72"/>
    </row>
    <row r="172">
      <c r="A172" s="70" t="s">
        <v>358</v>
      </c>
      <c r="B172" s="8" t="s">
        <v>54</v>
      </c>
      <c r="C172" s="8" t="s">
        <v>16</v>
      </c>
      <c r="D172" s="71"/>
      <c r="E172" s="71"/>
      <c r="F172" s="71"/>
      <c r="G172" s="71"/>
      <c r="H172" s="71"/>
      <c r="I172" s="71"/>
      <c r="J172" s="71"/>
      <c r="K172" s="71"/>
      <c r="L172" s="74" t="s">
        <v>359</v>
      </c>
    </row>
    <row r="173">
      <c r="A173" s="70" t="s">
        <v>360</v>
      </c>
      <c r="B173" s="8" t="s">
        <v>54</v>
      </c>
      <c r="C173" s="8" t="s">
        <v>16</v>
      </c>
      <c r="D173" s="71"/>
      <c r="E173" s="71"/>
      <c r="F173" s="71"/>
      <c r="G173" s="71"/>
      <c r="H173" s="71"/>
      <c r="I173" s="71"/>
      <c r="J173" s="71"/>
      <c r="K173" s="87"/>
      <c r="L173" s="74" t="s">
        <v>361</v>
      </c>
    </row>
    <row r="174">
      <c r="A174" s="70" t="s">
        <v>294</v>
      </c>
      <c r="B174" s="71"/>
      <c r="C174" s="71"/>
      <c r="D174" s="71"/>
      <c r="E174" s="71"/>
      <c r="F174" s="73">
        <v>4.8</v>
      </c>
      <c r="G174" s="71"/>
      <c r="H174" s="71"/>
      <c r="I174" s="71"/>
      <c r="J174" s="71"/>
      <c r="K174" s="71"/>
      <c r="L174" s="72"/>
    </row>
    <row r="175">
      <c r="A175" s="70" t="s">
        <v>362</v>
      </c>
      <c r="B175" s="8" t="s">
        <v>96</v>
      </c>
      <c r="C175" s="99" t="s">
        <v>12</v>
      </c>
      <c r="D175" s="71"/>
      <c r="E175" s="71"/>
      <c r="F175" s="71"/>
      <c r="G175" s="71"/>
      <c r="H175" s="71"/>
      <c r="I175" s="71"/>
      <c r="J175" s="71"/>
      <c r="K175" s="71"/>
      <c r="L175" s="74" t="s">
        <v>363</v>
      </c>
    </row>
    <row r="176">
      <c r="A176" s="70" t="s">
        <v>364</v>
      </c>
      <c r="B176" s="8" t="s">
        <v>54</v>
      </c>
      <c r="C176" s="99" t="s">
        <v>16</v>
      </c>
      <c r="D176" s="71"/>
      <c r="E176" s="71"/>
      <c r="F176" s="71"/>
      <c r="G176" s="71"/>
      <c r="H176" s="71"/>
      <c r="I176" s="71"/>
      <c r="J176" s="71"/>
      <c r="K176" s="71"/>
      <c r="L176" s="74" t="s">
        <v>365</v>
      </c>
    </row>
    <row r="177">
      <c r="A177" s="70" t="s">
        <v>366</v>
      </c>
      <c r="B177" s="8" t="s">
        <v>96</v>
      </c>
      <c r="C177" s="99" t="s">
        <v>40</v>
      </c>
      <c r="D177" s="71"/>
      <c r="E177" s="71"/>
      <c r="F177" s="71"/>
      <c r="G177" s="71"/>
      <c r="H177" s="71"/>
      <c r="I177" s="71"/>
      <c r="J177" s="71"/>
      <c r="K177" s="71"/>
      <c r="L177" s="74" t="s">
        <v>367</v>
      </c>
    </row>
    <row r="178">
      <c r="A178" s="75" t="s">
        <v>64</v>
      </c>
      <c r="B178" s="76"/>
      <c r="C178" s="76"/>
      <c r="D178" s="77">
        <f>sum(D157:E177)</f>
        <v>10.8</v>
      </c>
      <c r="E178" s="76"/>
      <c r="F178" s="77">
        <f>sum(F157:G177)</f>
        <v>8.4</v>
      </c>
      <c r="G178" s="76"/>
      <c r="H178" s="77">
        <f>sum(H157:I177)</f>
        <v>0</v>
      </c>
      <c r="I178" s="76"/>
      <c r="J178" s="77">
        <f>sum(J157:K177)</f>
        <v>30</v>
      </c>
      <c r="K178" s="76"/>
      <c r="L178" s="78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</row>
    <row r="181">
      <c r="A181" s="98" t="s">
        <v>110</v>
      </c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90"/>
    </row>
    <row r="182">
      <c r="A182" s="70" t="s">
        <v>6</v>
      </c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2"/>
    </row>
    <row r="183">
      <c r="A183" s="70" t="s">
        <v>368</v>
      </c>
      <c r="B183" s="8" t="s">
        <v>8</v>
      </c>
      <c r="C183" s="8" t="s">
        <v>12</v>
      </c>
      <c r="D183" s="73">
        <v>5.4</v>
      </c>
      <c r="E183" s="71"/>
      <c r="F183" s="71"/>
      <c r="G183" s="71"/>
      <c r="H183" s="71"/>
      <c r="I183" s="71"/>
      <c r="J183" s="71"/>
      <c r="K183" s="71"/>
      <c r="L183" s="109" t="s">
        <v>369</v>
      </c>
    </row>
    <row r="184">
      <c r="A184" s="70" t="s">
        <v>370</v>
      </c>
      <c r="B184" s="8" t="s">
        <v>54</v>
      </c>
      <c r="C184" s="99" t="s">
        <v>40</v>
      </c>
      <c r="D184" s="73">
        <v>6.6</v>
      </c>
      <c r="E184" s="71"/>
      <c r="F184" s="71"/>
      <c r="G184" s="71"/>
      <c r="H184" s="71"/>
      <c r="I184" s="71"/>
      <c r="J184" s="73">
        <v>66.0</v>
      </c>
      <c r="K184" s="73">
        <v>60.0</v>
      </c>
      <c r="L184" s="74" t="s">
        <v>371</v>
      </c>
    </row>
    <row r="185">
      <c r="A185" s="70" t="s">
        <v>372</v>
      </c>
      <c r="B185" s="8" t="s">
        <v>15</v>
      </c>
      <c r="C185" s="8" t="s">
        <v>16</v>
      </c>
      <c r="D185" s="71"/>
      <c r="E185" s="71"/>
      <c r="F185" s="73">
        <v>5.4</v>
      </c>
      <c r="G185" s="71"/>
      <c r="H185" s="73">
        <v>5.4</v>
      </c>
      <c r="I185" s="73">
        <v>4.2</v>
      </c>
      <c r="J185" s="71"/>
      <c r="K185" s="71"/>
      <c r="L185" s="74" t="s">
        <v>266</v>
      </c>
    </row>
    <row r="186">
      <c r="A186" s="70" t="s">
        <v>373</v>
      </c>
      <c r="B186" s="8" t="s">
        <v>15</v>
      </c>
      <c r="C186" s="99" t="s">
        <v>40</v>
      </c>
      <c r="D186" s="73">
        <v>5.4</v>
      </c>
      <c r="E186" s="71"/>
      <c r="F186" s="71"/>
      <c r="G186" s="71"/>
      <c r="H186" s="71"/>
      <c r="I186" s="71"/>
      <c r="J186" s="71"/>
      <c r="K186" s="71"/>
      <c r="L186" s="74" t="s">
        <v>374</v>
      </c>
    </row>
    <row r="187">
      <c r="A187" s="70" t="s">
        <v>375</v>
      </c>
      <c r="B187" s="8" t="s">
        <v>19</v>
      </c>
      <c r="C187" s="99" t="s">
        <v>12</v>
      </c>
      <c r="D187" s="71"/>
      <c r="E187" s="71"/>
      <c r="F187" s="71"/>
      <c r="G187" s="71"/>
      <c r="H187" s="71"/>
      <c r="I187" s="71"/>
      <c r="J187" s="73">
        <v>30.0</v>
      </c>
      <c r="K187" s="73">
        <v>30.0</v>
      </c>
      <c r="L187" s="108" t="s">
        <v>278</v>
      </c>
    </row>
    <row r="188">
      <c r="A188" s="70" t="s">
        <v>376</v>
      </c>
      <c r="B188" s="8" t="s">
        <v>19</v>
      </c>
      <c r="C188" s="8" t="s">
        <v>16</v>
      </c>
      <c r="D188" s="71"/>
      <c r="E188" s="71"/>
      <c r="F188" s="71"/>
      <c r="G188" s="71"/>
      <c r="H188" s="71"/>
      <c r="I188" s="71"/>
      <c r="J188" s="73">
        <v>30.0</v>
      </c>
      <c r="K188" s="73">
        <v>30.0</v>
      </c>
      <c r="L188" s="74" t="s">
        <v>377</v>
      </c>
    </row>
    <row r="189">
      <c r="A189" s="70" t="s">
        <v>378</v>
      </c>
      <c r="B189" s="8" t="s">
        <v>23</v>
      </c>
      <c r="C189" s="99" t="s">
        <v>12</v>
      </c>
      <c r="D189" s="73"/>
      <c r="E189" s="71"/>
      <c r="F189" s="73"/>
      <c r="G189" s="71"/>
      <c r="H189" s="73">
        <v>1.8</v>
      </c>
      <c r="I189" s="71"/>
      <c r="J189" s="73"/>
      <c r="K189" s="71"/>
      <c r="L189" s="74" t="s">
        <v>379</v>
      </c>
    </row>
    <row r="190">
      <c r="A190" s="75" t="s">
        <v>27</v>
      </c>
      <c r="B190" s="76"/>
      <c r="C190" s="76"/>
      <c r="D190" s="77">
        <f>sum(D182:E189)</f>
        <v>17.4</v>
      </c>
      <c r="E190" s="76"/>
      <c r="F190" s="77">
        <f>sum(F182:G189)</f>
        <v>5.4</v>
      </c>
      <c r="G190" s="76"/>
      <c r="H190" s="77">
        <f>sum(H182:I189)</f>
        <v>11.4</v>
      </c>
      <c r="I190" s="76"/>
      <c r="J190" s="77">
        <f>sum(J182:K189)</f>
        <v>246</v>
      </c>
      <c r="K190" s="76"/>
      <c r="L190" s="78"/>
    </row>
    <row r="191">
      <c r="A191" s="106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7"/>
    </row>
    <row r="192">
      <c r="A192" s="67" t="s">
        <v>28</v>
      </c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3"/>
    </row>
    <row r="193">
      <c r="A193" s="75" t="s">
        <v>380</v>
      </c>
      <c r="B193" s="76"/>
      <c r="C193" s="76"/>
      <c r="D193" s="76"/>
      <c r="E193" s="76"/>
      <c r="F193" s="76"/>
      <c r="G193" s="76"/>
      <c r="H193" s="76"/>
      <c r="I193" s="76"/>
      <c r="J193" s="77">
        <v>15.0</v>
      </c>
      <c r="K193" s="76"/>
      <c r="L193" s="78"/>
    </row>
    <row r="194">
      <c r="A194" s="86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8"/>
    </row>
    <row r="195">
      <c r="A195" s="67" t="s">
        <v>37</v>
      </c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3"/>
    </row>
    <row r="196">
      <c r="A196" s="70" t="s">
        <v>241</v>
      </c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2"/>
    </row>
    <row r="197">
      <c r="A197" s="70" t="s">
        <v>242</v>
      </c>
      <c r="B197" s="71"/>
      <c r="C197" s="71"/>
      <c r="D197" s="73">
        <v>3.0</v>
      </c>
      <c r="E197" s="71"/>
      <c r="F197" s="71"/>
      <c r="G197" s="71"/>
      <c r="H197" s="71"/>
      <c r="I197" s="71"/>
      <c r="J197" s="71"/>
      <c r="K197" s="71"/>
      <c r="L197" s="72"/>
    </row>
    <row r="198">
      <c r="A198" s="70" t="s">
        <v>381</v>
      </c>
      <c r="B198" s="8" t="s">
        <v>19</v>
      </c>
      <c r="C198" s="8" t="s">
        <v>12</v>
      </c>
      <c r="D198" s="71"/>
      <c r="E198" s="71"/>
      <c r="F198" s="71"/>
      <c r="G198" s="71"/>
      <c r="H198" s="71"/>
      <c r="I198" s="71"/>
      <c r="J198" s="71"/>
      <c r="K198" s="71"/>
      <c r="L198" s="74" t="s">
        <v>284</v>
      </c>
    </row>
    <row r="199">
      <c r="A199" s="70" t="s">
        <v>382</v>
      </c>
      <c r="B199" s="8" t="s">
        <v>19</v>
      </c>
      <c r="C199" s="8" t="s">
        <v>12</v>
      </c>
      <c r="D199" s="71"/>
      <c r="E199" s="71"/>
      <c r="F199" s="71"/>
      <c r="G199" s="71"/>
      <c r="H199" s="71"/>
      <c r="I199" s="71"/>
      <c r="J199" s="71"/>
      <c r="K199" s="71"/>
      <c r="L199" s="74" t="s">
        <v>383</v>
      </c>
    </row>
    <row r="200">
      <c r="A200" s="70" t="s">
        <v>287</v>
      </c>
      <c r="B200" s="71"/>
      <c r="C200" s="71"/>
      <c r="D200" s="71"/>
      <c r="E200" s="71"/>
      <c r="F200" s="71"/>
      <c r="G200" s="71"/>
      <c r="H200" s="71"/>
      <c r="I200" s="71"/>
      <c r="J200" s="73">
        <v>30.0</v>
      </c>
      <c r="K200" s="71"/>
      <c r="L200" s="72"/>
    </row>
    <row r="201">
      <c r="A201" s="70" t="s">
        <v>384</v>
      </c>
      <c r="B201" s="8" t="s">
        <v>19</v>
      </c>
      <c r="C201" s="8" t="s">
        <v>12</v>
      </c>
      <c r="D201" s="71"/>
      <c r="E201" s="71"/>
      <c r="F201" s="71"/>
      <c r="G201" s="71"/>
      <c r="H201" s="71"/>
      <c r="I201" s="71"/>
      <c r="J201" s="71"/>
      <c r="K201" s="71"/>
      <c r="L201" s="108" t="s">
        <v>278</v>
      </c>
    </row>
    <row r="202">
      <c r="A202" s="70" t="s">
        <v>385</v>
      </c>
      <c r="B202" s="8" t="s">
        <v>19</v>
      </c>
      <c r="C202" s="8" t="s">
        <v>12</v>
      </c>
      <c r="D202" s="71"/>
      <c r="E202" s="71"/>
      <c r="F202" s="71"/>
      <c r="G202" s="71"/>
      <c r="H202" s="71"/>
      <c r="I202" s="71"/>
      <c r="J202" s="71"/>
      <c r="K202" s="71"/>
      <c r="L202" s="108" t="s">
        <v>290</v>
      </c>
    </row>
    <row r="203">
      <c r="A203" s="70" t="s">
        <v>254</v>
      </c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2"/>
    </row>
    <row r="204">
      <c r="A204" s="70" t="s">
        <v>242</v>
      </c>
      <c r="B204" s="71"/>
      <c r="C204" s="71"/>
      <c r="D204" s="73">
        <v>3.6</v>
      </c>
      <c r="E204" s="71"/>
      <c r="F204" s="71"/>
      <c r="G204" s="71"/>
      <c r="H204" s="71"/>
      <c r="I204" s="71"/>
      <c r="J204" s="71"/>
      <c r="K204" s="71"/>
      <c r="L204" s="72"/>
    </row>
    <row r="205">
      <c r="A205" s="70" t="s">
        <v>386</v>
      </c>
      <c r="B205" s="8" t="s">
        <v>141</v>
      </c>
      <c r="C205" s="8" t="s">
        <v>20</v>
      </c>
      <c r="D205" s="71"/>
      <c r="E205" s="71"/>
      <c r="F205" s="71"/>
      <c r="G205" s="71"/>
      <c r="H205" s="71"/>
      <c r="I205" s="71"/>
      <c r="J205" s="71"/>
      <c r="K205" s="71"/>
      <c r="L205" s="74" t="s">
        <v>324</v>
      </c>
    </row>
    <row r="206">
      <c r="A206" s="70" t="s">
        <v>387</v>
      </c>
      <c r="B206" s="8" t="s">
        <v>141</v>
      </c>
      <c r="C206" s="8" t="s">
        <v>20</v>
      </c>
      <c r="D206" s="71"/>
      <c r="E206" s="71"/>
      <c r="F206" s="71"/>
      <c r="G206" s="71"/>
      <c r="H206" s="71"/>
      <c r="I206" s="71"/>
      <c r="J206" s="71"/>
      <c r="K206" s="71"/>
      <c r="L206" s="74" t="s">
        <v>388</v>
      </c>
    </row>
    <row r="207">
      <c r="A207" s="70" t="s">
        <v>294</v>
      </c>
      <c r="B207" s="71"/>
      <c r="C207" s="71"/>
      <c r="D207" s="71"/>
      <c r="E207" s="71"/>
      <c r="F207" s="73">
        <v>3.6</v>
      </c>
      <c r="G207" s="71"/>
      <c r="H207" s="71"/>
      <c r="I207" s="71"/>
      <c r="J207" s="71"/>
      <c r="K207" s="71"/>
      <c r="L207" s="72"/>
    </row>
    <row r="208">
      <c r="A208" s="70" t="s">
        <v>261</v>
      </c>
      <c r="B208" s="8" t="s">
        <v>15</v>
      </c>
      <c r="C208" s="8" t="s">
        <v>12</v>
      </c>
      <c r="D208" s="71"/>
      <c r="E208" s="71"/>
      <c r="F208" s="71"/>
      <c r="G208" s="71"/>
      <c r="H208" s="71"/>
      <c r="I208" s="71"/>
      <c r="J208" s="71"/>
      <c r="K208" s="71"/>
      <c r="L208" s="74" t="s">
        <v>262</v>
      </c>
    </row>
    <row r="209">
      <c r="A209" s="70" t="s">
        <v>389</v>
      </c>
      <c r="B209" s="8" t="s">
        <v>141</v>
      </c>
      <c r="C209" s="8" t="s">
        <v>12</v>
      </c>
      <c r="D209" s="71"/>
      <c r="E209" s="71"/>
      <c r="F209" s="71"/>
      <c r="G209" s="71"/>
      <c r="H209" s="71"/>
      <c r="I209" s="71"/>
      <c r="J209" s="71"/>
      <c r="K209" s="71"/>
      <c r="L209" s="74" t="s">
        <v>390</v>
      </c>
    </row>
    <row r="210">
      <c r="A210" s="70" t="s">
        <v>298</v>
      </c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2"/>
    </row>
    <row r="211">
      <c r="A211" s="70" t="s">
        <v>242</v>
      </c>
      <c r="B211" s="71"/>
      <c r="C211" s="71"/>
      <c r="D211" s="73">
        <v>4.2</v>
      </c>
      <c r="E211" s="71"/>
      <c r="F211" s="71"/>
      <c r="G211" s="71"/>
      <c r="H211" s="71"/>
      <c r="I211" s="71"/>
      <c r="J211" s="71"/>
      <c r="K211" s="71"/>
      <c r="L211" s="72"/>
    </row>
    <row r="212">
      <c r="A212" s="70" t="s">
        <v>391</v>
      </c>
      <c r="B212" s="8" t="s">
        <v>96</v>
      </c>
      <c r="C212" s="8" t="s">
        <v>40</v>
      </c>
      <c r="D212" s="71"/>
      <c r="E212" s="71"/>
      <c r="F212" s="71"/>
      <c r="G212" s="71"/>
      <c r="H212" s="71"/>
      <c r="I212" s="71"/>
      <c r="J212" s="71"/>
      <c r="K212" s="71"/>
      <c r="L212" s="74" t="s">
        <v>112</v>
      </c>
    </row>
    <row r="213">
      <c r="A213" s="70" t="s">
        <v>299</v>
      </c>
      <c r="B213" s="8" t="s">
        <v>54</v>
      </c>
      <c r="C213" s="8" t="s">
        <v>40</v>
      </c>
      <c r="D213" s="71"/>
      <c r="E213" s="71"/>
      <c r="F213" s="71"/>
      <c r="G213" s="71"/>
      <c r="H213" s="71"/>
      <c r="I213" s="71"/>
      <c r="J213" s="71"/>
      <c r="K213" s="71"/>
      <c r="L213" s="74" t="s">
        <v>117</v>
      </c>
    </row>
    <row r="214">
      <c r="A214" s="70" t="s">
        <v>294</v>
      </c>
      <c r="B214" s="71"/>
      <c r="C214" s="71"/>
      <c r="D214" s="71"/>
      <c r="E214" s="71"/>
      <c r="F214" s="73">
        <v>4.2</v>
      </c>
      <c r="G214" s="71"/>
      <c r="H214" s="71"/>
      <c r="I214" s="71"/>
      <c r="J214" s="71"/>
      <c r="K214" s="71"/>
      <c r="L214" s="72"/>
    </row>
    <row r="215">
      <c r="A215" s="70" t="s">
        <v>392</v>
      </c>
      <c r="B215" s="8" t="s">
        <v>8</v>
      </c>
      <c r="C215" s="8" t="s">
        <v>9</v>
      </c>
      <c r="D215" s="71"/>
      <c r="E215" s="71"/>
      <c r="F215" s="71"/>
      <c r="G215" s="71"/>
      <c r="H215" s="71"/>
      <c r="I215" s="71"/>
      <c r="J215" s="71"/>
      <c r="K215" s="71"/>
      <c r="L215" s="74" t="s">
        <v>148</v>
      </c>
    </row>
    <row r="216">
      <c r="A216" s="70" t="s">
        <v>393</v>
      </c>
      <c r="B216" s="8" t="s">
        <v>8</v>
      </c>
      <c r="C216" s="8" t="s">
        <v>9</v>
      </c>
      <c r="D216" s="71"/>
      <c r="E216" s="71"/>
      <c r="F216" s="71"/>
      <c r="G216" s="71"/>
      <c r="H216" s="71"/>
      <c r="I216" s="71"/>
      <c r="J216" s="71"/>
      <c r="K216" s="71"/>
      <c r="L216" s="30" t="s">
        <v>156</v>
      </c>
    </row>
    <row r="217">
      <c r="A217" s="75" t="s">
        <v>64</v>
      </c>
      <c r="B217" s="76"/>
      <c r="C217" s="76"/>
      <c r="D217" s="77">
        <f>sum(D196:D216)</f>
        <v>10.8</v>
      </c>
      <c r="E217" s="76"/>
      <c r="F217" s="77">
        <f>sum(F196:F216)</f>
        <v>7.8</v>
      </c>
      <c r="G217" s="76"/>
      <c r="H217" s="77">
        <f>sum(H196:H216)</f>
        <v>0</v>
      </c>
      <c r="I217" s="76"/>
      <c r="J217" s="77">
        <f>sum(J196:J216)</f>
        <v>30</v>
      </c>
      <c r="K217" s="76"/>
      <c r="L217" s="78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</row>
    <row r="220">
      <c r="A220" s="98" t="s">
        <v>115</v>
      </c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90"/>
    </row>
    <row r="221">
      <c r="A221" s="70" t="s">
        <v>6</v>
      </c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2"/>
    </row>
    <row r="222">
      <c r="A222" s="70" t="s">
        <v>394</v>
      </c>
      <c r="B222" s="8" t="s">
        <v>54</v>
      </c>
      <c r="C222" s="8" t="s">
        <v>40</v>
      </c>
      <c r="D222" s="73">
        <v>6.6</v>
      </c>
      <c r="E222" s="71"/>
      <c r="F222" s="71"/>
      <c r="G222" s="71"/>
      <c r="H222" s="71"/>
      <c r="I222" s="71"/>
      <c r="J222" s="73">
        <v>66.0</v>
      </c>
      <c r="K222" s="73">
        <v>60.0</v>
      </c>
      <c r="L222" s="74" t="s">
        <v>395</v>
      </c>
    </row>
    <row r="223">
      <c r="A223" s="70" t="s">
        <v>396</v>
      </c>
      <c r="B223" s="8" t="s">
        <v>15</v>
      </c>
      <c r="C223" s="8" t="s">
        <v>40</v>
      </c>
      <c r="D223" s="71"/>
      <c r="E223" s="71"/>
      <c r="F223" s="73">
        <v>5.4</v>
      </c>
      <c r="G223" s="71"/>
      <c r="H223" s="73">
        <v>5.4</v>
      </c>
      <c r="I223" s="73">
        <v>4.2</v>
      </c>
      <c r="J223" s="71"/>
      <c r="K223" s="71"/>
      <c r="L223" s="74" t="s">
        <v>397</v>
      </c>
    </row>
    <row r="224">
      <c r="A224" s="70" t="s">
        <v>398</v>
      </c>
      <c r="B224" s="8" t="s">
        <v>15</v>
      </c>
      <c r="C224" s="8" t="s">
        <v>40</v>
      </c>
      <c r="D224" s="71"/>
      <c r="E224" s="71"/>
      <c r="F224" s="71"/>
      <c r="G224" s="71"/>
      <c r="H224" s="73">
        <v>5.4</v>
      </c>
      <c r="I224" s="73">
        <v>4.2</v>
      </c>
      <c r="J224" s="71"/>
      <c r="K224" s="71"/>
      <c r="L224" s="74" t="s">
        <v>84</v>
      </c>
    </row>
    <row r="225">
      <c r="A225" s="70" t="s">
        <v>399</v>
      </c>
      <c r="B225" s="8" t="s">
        <v>15</v>
      </c>
      <c r="C225" s="8" t="s">
        <v>40</v>
      </c>
      <c r="D225" s="71"/>
      <c r="E225" s="71"/>
      <c r="F225" s="71"/>
      <c r="G225" s="71"/>
      <c r="H225" s="99">
        <v>5.4</v>
      </c>
      <c r="I225" s="71"/>
      <c r="J225" s="73"/>
      <c r="K225" s="73"/>
      <c r="L225" s="109" t="s">
        <v>400</v>
      </c>
    </row>
    <row r="226">
      <c r="A226" s="70" t="s">
        <v>401</v>
      </c>
      <c r="B226" s="8" t="s">
        <v>19</v>
      </c>
      <c r="C226" s="8" t="s">
        <v>40</v>
      </c>
      <c r="D226" s="71"/>
      <c r="E226" s="71"/>
      <c r="F226" s="71"/>
      <c r="G226" s="71"/>
      <c r="H226" s="71"/>
      <c r="I226" s="71"/>
      <c r="J226" s="73">
        <v>30.0</v>
      </c>
      <c r="K226" s="73">
        <v>30.0</v>
      </c>
      <c r="L226" s="108" t="s">
        <v>349</v>
      </c>
    </row>
    <row r="227">
      <c r="A227" s="70" t="s">
        <v>402</v>
      </c>
      <c r="B227" s="8" t="s">
        <v>19</v>
      </c>
      <c r="C227" s="8" t="s">
        <v>40</v>
      </c>
      <c r="D227" s="71"/>
      <c r="E227" s="71"/>
      <c r="F227" s="71"/>
      <c r="G227" s="71"/>
      <c r="H227" s="71"/>
      <c r="I227" s="71"/>
      <c r="J227" s="73">
        <v>30.0</v>
      </c>
      <c r="K227" s="73">
        <v>30.0</v>
      </c>
      <c r="L227" s="74" t="s">
        <v>403</v>
      </c>
    </row>
    <row r="228">
      <c r="A228" s="75" t="s">
        <v>27</v>
      </c>
      <c r="B228" s="76"/>
      <c r="C228" s="76"/>
      <c r="D228" s="77">
        <f>sum(D221:E227)</f>
        <v>6.6</v>
      </c>
      <c r="E228" s="76"/>
      <c r="F228" s="77">
        <f>sum(F221:G227)</f>
        <v>5.4</v>
      </c>
      <c r="G228" s="76"/>
      <c r="H228" s="77">
        <f>sum(H221:I227)</f>
        <v>24.6</v>
      </c>
      <c r="I228" s="76"/>
      <c r="J228" s="77">
        <f>sum(J221:K227)</f>
        <v>246</v>
      </c>
      <c r="K228" s="76"/>
      <c r="L228" s="78"/>
    </row>
    <row r="229">
      <c r="A229" s="106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7"/>
    </row>
    <row r="230">
      <c r="A230" s="67" t="s">
        <v>28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3"/>
    </row>
    <row r="231">
      <c r="A231" s="75" t="s">
        <v>404</v>
      </c>
      <c r="B231" s="76"/>
      <c r="C231" s="76"/>
      <c r="D231" s="76"/>
      <c r="E231" s="76"/>
      <c r="F231" s="76"/>
      <c r="G231" s="76"/>
      <c r="H231" s="76"/>
      <c r="I231" s="76"/>
      <c r="J231" s="77">
        <v>15.0</v>
      </c>
      <c r="K231" s="76"/>
      <c r="L231" s="78"/>
    </row>
    <row r="232">
      <c r="A232" s="86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8"/>
    </row>
    <row r="233">
      <c r="A233" s="67" t="s">
        <v>37</v>
      </c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3"/>
    </row>
    <row r="234">
      <c r="A234" s="70" t="s">
        <v>241</v>
      </c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2"/>
    </row>
    <row r="235">
      <c r="A235" s="70" t="s">
        <v>242</v>
      </c>
      <c r="B235" s="71"/>
      <c r="C235" s="71"/>
      <c r="D235" s="73">
        <v>3.0</v>
      </c>
      <c r="E235" s="71"/>
      <c r="F235" s="71"/>
      <c r="G235" s="71"/>
      <c r="H235" s="71"/>
      <c r="I235" s="71"/>
      <c r="J235" s="71"/>
      <c r="K235" s="71"/>
      <c r="L235" s="72"/>
    </row>
    <row r="236">
      <c r="A236" s="70" t="s">
        <v>405</v>
      </c>
      <c r="B236" s="8" t="s">
        <v>19</v>
      </c>
      <c r="C236" s="8" t="s">
        <v>12</v>
      </c>
      <c r="D236" s="71"/>
      <c r="E236" s="71"/>
      <c r="F236" s="71"/>
      <c r="G236" s="71"/>
      <c r="H236" s="71"/>
      <c r="I236" s="71"/>
      <c r="J236" s="71"/>
      <c r="K236" s="71"/>
      <c r="L236" s="74" t="s">
        <v>406</v>
      </c>
    </row>
    <row r="237">
      <c r="A237" s="70" t="s">
        <v>407</v>
      </c>
      <c r="B237" s="8" t="s">
        <v>19</v>
      </c>
      <c r="C237" s="8" t="s">
        <v>16</v>
      </c>
      <c r="D237" s="71"/>
      <c r="E237" s="71"/>
      <c r="F237" s="71"/>
      <c r="G237" s="71"/>
      <c r="H237" s="71"/>
      <c r="I237" s="71"/>
      <c r="J237" s="71"/>
      <c r="K237" s="71"/>
      <c r="L237" s="74" t="s">
        <v>408</v>
      </c>
    </row>
    <row r="238">
      <c r="A238" s="70" t="s">
        <v>287</v>
      </c>
      <c r="B238" s="71"/>
      <c r="C238" s="71"/>
      <c r="D238" s="71"/>
      <c r="E238" s="71"/>
      <c r="F238" s="71"/>
      <c r="G238" s="71"/>
      <c r="H238" s="71"/>
      <c r="I238" s="71"/>
      <c r="J238" s="73">
        <v>30.0</v>
      </c>
      <c r="K238" s="71"/>
      <c r="L238" s="72"/>
    </row>
    <row r="239">
      <c r="A239" s="70" t="s">
        <v>409</v>
      </c>
      <c r="B239" s="8" t="s">
        <v>19</v>
      </c>
      <c r="C239" s="8" t="s">
        <v>40</v>
      </c>
      <c r="D239" s="71"/>
      <c r="E239" s="71"/>
      <c r="F239" s="71"/>
      <c r="G239" s="71"/>
      <c r="H239" s="71"/>
      <c r="I239" s="71"/>
      <c r="J239" s="71"/>
      <c r="K239" s="71"/>
      <c r="L239" s="108" t="s">
        <v>410</v>
      </c>
    </row>
    <row r="240">
      <c r="A240" s="70" t="s">
        <v>411</v>
      </c>
      <c r="B240" s="8" t="s">
        <v>19</v>
      </c>
      <c r="C240" s="8" t="s">
        <v>40</v>
      </c>
      <c r="D240" s="71"/>
      <c r="E240" s="71"/>
      <c r="F240" s="71"/>
      <c r="G240" s="71"/>
      <c r="H240" s="71"/>
      <c r="I240" s="71"/>
      <c r="J240" s="71"/>
      <c r="K240" s="71"/>
      <c r="L240" s="108" t="s">
        <v>349</v>
      </c>
    </row>
    <row r="241">
      <c r="A241" s="70" t="s">
        <v>254</v>
      </c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2"/>
    </row>
    <row r="242">
      <c r="A242" s="70" t="s">
        <v>242</v>
      </c>
      <c r="B242" s="71"/>
      <c r="C242" s="71"/>
      <c r="D242" s="73">
        <v>3.6</v>
      </c>
      <c r="E242" s="71"/>
      <c r="F242" s="71"/>
      <c r="G242" s="71"/>
      <c r="H242" s="71"/>
      <c r="I242" s="71"/>
      <c r="J242" s="71"/>
      <c r="K242" s="71"/>
      <c r="L242" s="72"/>
    </row>
    <row r="243">
      <c r="A243" s="70" t="s">
        <v>412</v>
      </c>
      <c r="B243" s="8" t="s">
        <v>15</v>
      </c>
      <c r="C243" s="8" t="s">
        <v>9</v>
      </c>
      <c r="D243" s="71"/>
      <c r="E243" s="71"/>
      <c r="F243" s="71"/>
      <c r="G243" s="71"/>
      <c r="H243" s="71"/>
      <c r="I243" s="71"/>
      <c r="J243" s="71"/>
      <c r="K243" s="71"/>
      <c r="L243" s="74" t="s">
        <v>266</v>
      </c>
    </row>
    <row r="244">
      <c r="A244" s="70" t="s">
        <v>413</v>
      </c>
      <c r="B244" s="8" t="s">
        <v>15</v>
      </c>
      <c r="C244" s="8" t="s">
        <v>9</v>
      </c>
      <c r="D244" s="71"/>
      <c r="E244" s="71"/>
      <c r="F244" s="71"/>
      <c r="G244" s="71"/>
      <c r="H244" s="71"/>
      <c r="I244" s="71"/>
      <c r="J244" s="71"/>
      <c r="K244" s="71"/>
      <c r="L244" s="74" t="s">
        <v>146</v>
      </c>
    </row>
    <row r="245">
      <c r="A245" s="70" t="s">
        <v>294</v>
      </c>
      <c r="B245" s="71"/>
      <c r="C245" s="71"/>
      <c r="D245" s="71"/>
      <c r="E245" s="71"/>
      <c r="F245" s="73">
        <v>3.6</v>
      </c>
      <c r="G245" s="71"/>
      <c r="H245" s="71"/>
      <c r="I245" s="71"/>
      <c r="J245" s="71"/>
      <c r="K245" s="71"/>
      <c r="L245" s="72"/>
    </row>
    <row r="246">
      <c r="A246" s="70" t="s">
        <v>414</v>
      </c>
      <c r="B246" s="8" t="s">
        <v>141</v>
      </c>
      <c r="C246" s="8" t="s">
        <v>12</v>
      </c>
      <c r="D246" s="71"/>
      <c r="E246" s="71"/>
      <c r="F246" s="71"/>
      <c r="G246" s="71"/>
      <c r="H246" s="71"/>
      <c r="I246" s="71"/>
      <c r="J246" s="71"/>
      <c r="K246" s="71"/>
      <c r="L246" s="74" t="s">
        <v>415</v>
      </c>
    </row>
    <row r="247">
      <c r="A247" s="70" t="s">
        <v>416</v>
      </c>
      <c r="B247" s="8" t="s">
        <v>417</v>
      </c>
      <c r="C247" s="8" t="s">
        <v>12</v>
      </c>
      <c r="D247" s="71"/>
      <c r="E247" s="71"/>
      <c r="F247" s="71"/>
      <c r="G247" s="71"/>
      <c r="H247" s="71"/>
      <c r="I247" s="71"/>
      <c r="J247" s="71"/>
      <c r="K247" s="71"/>
      <c r="L247" s="74" t="s">
        <v>418</v>
      </c>
    </row>
    <row r="248">
      <c r="A248" s="70" t="s">
        <v>298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2"/>
    </row>
    <row r="249">
      <c r="A249" s="70" t="s">
        <v>242</v>
      </c>
      <c r="B249" s="71"/>
      <c r="C249" s="71"/>
      <c r="D249" s="73">
        <v>4.2</v>
      </c>
      <c r="E249" s="71"/>
      <c r="F249" s="71"/>
      <c r="G249" s="71"/>
      <c r="H249" s="71"/>
      <c r="I249" s="71"/>
      <c r="J249" s="71"/>
      <c r="K249" s="71"/>
      <c r="L249" s="72"/>
    </row>
    <row r="250">
      <c r="A250" s="70" t="s">
        <v>419</v>
      </c>
      <c r="B250" s="8" t="s">
        <v>54</v>
      </c>
      <c r="C250" s="8" t="s">
        <v>9</v>
      </c>
      <c r="D250" s="71"/>
      <c r="E250" s="71"/>
      <c r="F250" s="71"/>
      <c r="G250" s="71"/>
      <c r="H250" s="71"/>
      <c r="I250" s="71"/>
      <c r="J250" s="71"/>
      <c r="K250" s="71"/>
      <c r="L250" s="74" t="s">
        <v>152</v>
      </c>
    </row>
    <row r="251">
      <c r="A251" s="70" t="s">
        <v>420</v>
      </c>
      <c r="B251" s="8" t="s">
        <v>8</v>
      </c>
      <c r="C251" s="8" t="s">
        <v>9</v>
      </c>
      <c r="D251" s="71"/>
      <c r="E251" s="71"/>
      <c r="F251" s="71"/>
      <c r="G251" s="71"/>
      <c r="H251" s="71"/>
      <c r="I251" s="71"/>
      <c r="J251" s="71"/>
      <c r="K251" s="71"/>
      <c r="L251" s="74" t="s">
        <v>158</v>
      </c>
    </row>
    <row r="252">
      <c r="A252" s="70" t="s">
        <v>294</v>
      </c>
      <c r="B252" s="71"/>
      <c r="C252" s="71"/>
      <c r="D252" s="71"/>
      <c r="E252" s="71"/>
      <c r="F252" s="73">
        <v>4.2</v>
      </c>
      <c r="G252" s="71"/>
      <c r="H252" s="71"/>
      <c r="I252" s="71"/>
      <c r="J252" s="71"/>
      <c r="K252" s="71"/>
      <c r="L252" s="72"/>
    </row>
    <row r="253">
      <c r="A253" s="70" t="s">
        <v>421</v>
      </c>
      <c r="B253" s="8" t="s">
        <v>54</v>
      </c>
      <c r="C253" s="8" t="s">
        <v>16</v>
      </c>
      <c r="D253" s="71"/>
      <c r="E253" s="71"/>
      <c r="F253" s="71"/>
      <c r="G253" s="71"/>
      <c r="H253" s="71"/>
      <c r="I253" s="71"/>
      <c r="J253" s="71"/>
      <c r="K253" s="71"/>
      <c r="L253" s="74" t="s">
        <v>422</v>
      </c>
    </row>
    <row r="254">
      <c r="A254" s="70" t="s">
        <v>423</v>
      </c>
      <c r="B254" s="8" t="s">
        <v>96</v>
      </c>
      <c r="C254" s="8" t="s">
        <v>16</v>
      </c>
      <c r="D254" s="71"/>
      <c r="E254" s="71"/>
      <c r="F254" s="71"/>
      <c r="G254" s="71"/>
      <c r="H254" s="71"/>
      <c r="I254" s="71"/>
      <c r="J254" s="71"/>
      <c r="K254" s="71"/>
      <c r="L254" s="74" t="s">
        <v>424</v>
      </c>
    </row>
    <row r="255">
      <c r="A255" s="75" t="s">
        <v>64</v>
      </c>
      <c r="B255" s="76"/>
      <c r="C255" s="76"/>
      <c r="D255" s="77">
        <f>sum(D234:D254)</f>
        <v>10.8</v>
      </c>
      <c r="E255" s="76"/>
      <c r="F255" s="77">
        <f>sum(F234:F254)</f>
        <v>7.8</v>
      </c>
      <c r="G255" s="76"/>
      <c r="H255" s="77">
        <f>sum(H234:H254)</f>
        <v>0</v>
      </c>
      <c r="I255" s="76"/>
      <c r="J255" s="77">
        <f>sum(J234:J254)</f>
        <v>30</v>
      </c>
      <c r="K255" s="76"/>
      <c r="L255" s="78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</row>
    <row r="258">
      <c r="A258" s="98" t="s">
        <v>120</v>
      </c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90"/>
    </row>
    <row r="259">
      <c r="A259" s="70" t="s">
        <v>6</v>
      </c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2"/>
    </row>
    <row r="260">
      <c r="A260" s="70" t="s">
        <v>425</v>
      </c>
      <c r="B260" s="8" t="s">
        <v>8</v>
      </c>
      <c r="C260" s="8" t="s">
        <v>20</v>
      </c>
      <c r="D260" s="73">
        <v>7.2</v>
      </c>
      <c r="E260" s="73">
        <v>6.0</v>
      </c>
      <c r="F260" s="71"/>
      <c r="G260" s="71"/>
      <c r="H260" s="73"/>
      <c r="I260" s="71"/>
      <c r="J260" s="71"/>
      <c r="K260" s="71"/>
      <c r="L260" s="109" t="s">
        <v>426</v>
      </c>
    </row>
    <row r="261">
      <c r="A261" s="70" t="s">
        <v>427</v>
      </c>
      <c r="B261" s="8" t="s">
        <v>15</v>
      </c>
      <c r="C261" s="8" t="s">
        <v>16</v>
      </c>
      <c r="D261" s="73">
        <v>5.4</v>
      </c>
      <c r="E261" s="73">
        <v>4.2</v>
      </c>
      <c r="F261" s="71"/>
      <c r="G261" s="71"/>
      <c r="H261" s="73">
        <v>5.4</v>
      </c>
      <c r="I261" s="71"/>
      <c r="J261" s="71"/>
      <c r="K261" s="71"/>
      <c r="L261" s="74" t="s">
        <v>428</v>
      </c>
    </row>
    <row r="262">
      <c r="A262" s="70" t="s">
        <v>429</v>
      </c>
      <c r="B262" s="8" t="s">
        <v>141</v>
      </c>
      <c r="C262" s="8" t="s">
        <v>9</v>
      </c>
      <c r="D262" s="71"/>
      <c r="E262" s="71"/>
      <c r="F262" s="71"/>
      <c r="G262" s="71"/>
      <c r="H262" s="99">
        <v>4.8</v>
      </c>
      <c r="I262" s="99">
        <v>4.2</v>
      </c>
      <c r="J262" s="73"/>
      <c r="K262" s="73"/>
      <c r="L262" s="109" t="s">
        <v>400</v>
      </c>
    </row>
    <row r="263">
      <c r="A263" s="70" t="s">
        <v>430</v>
      </c>
      <c r="B263" s="8" t="s">
        <v>19</v>
      </c>
      <c r="C263" s="8" t="s">
        <v>20</v>
      </c>
      <c r="D263" s="71"/>
      <c r="E263" s="71"/>
      <c r="F263" s="71"/>
      <c r="G263" s="71"/>
      <c r="H263" s="71"/>
      <c r="I263" s="71"/>
      <c r="J263" s="73">
        <v>30.0</v>
      </c>
      <c r="K263" s="73">
        <v>30.0</v>
      </c>
      <c r="L263" s="74" t="s">
        <v>49</v>
      </c>
    </row>
    <row r="264">
      <c r="A264" s="75" t="s">
        <v>27</v>
      </c>
      <c r="B264" s="76"/>
      <c r="C264" s="76"/>
      <c r="D264" s="77">
        <f>sum(D259:E263)</f>
        <v>22.8</v>
      </c>
      <c r="E264" s="76"/>
      <c r="F264" s="77">
        <f>sum(F259:G263)</f>
        <v>0</v>
      </c>
      <c r="G264" s="76"/>
      <c r="H264" s="77">
        <f>sum(H259:I263)</f>
        <v>14.4</v>
      </c>
      <c r="I264" s="76"/>
      <c r="J264" s="77">
        <f>sum(J259:K263)</f>
        <v>60</v>
      </c>
      <c r="K264" s="76"/>
      <c r="L264" s="78"/>
    </row>
    <row r="265">
      <c r="A265" s="112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7"/>
    </row>
    <row r="266">
      <c r="A266" s="67" t="s">
        <v>37</v>
      </c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3"/>
    </row>
    <row r="267">
      <c r="A267" s="70" t="s">
        <v>241</v>
      </c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2"/>
    </row>
    <row r="268">
      <c r="A268" s="70" t="s">
        <v>242</v>
      </c>
      <c r="B268" s="71"/>
      <c r="C268" s="71"/>
      <c r="D268" s="73">
        <v>3.6</v>
      </c>
      <c r="E268" s="71"/>
      <c r="F268" s="71"/>
      <c r="G268" s="71"/>
      <c r="H268" s="71"/>
      <c r="I268" s="71"/>
      <c r="J268" s="71"/>
      <c r="K268" s="71"/>
      <c r="L268" s="72"/>
    </row>
    <row r="269">
      <c r="A269" s="70" t="s">
        <v>431</v>
      </c>
      <c r="B269" s="8" t="s">
        <v>19</v>
      </c>
      <c r="C269" s="8" t="s">
        <v>9</v>
      </c>
      <c r="D269" s="71"/>
      <c r="E269" s="71"/>
      <c r="F269" s="71"/>
      <c r="G269" s="71"/>
      <c r="H269" s="71"/>
      <c r="I269" s="71"/>
      <c r="J269" s="71"/>
      <c r="K269" s="71"/>
      <c r="L269" s="74" t="s">
        <v>432</v>
      </c>
    </row>
    <row r="270">
      <c r="A270" s="70" t="s">
        <v>433</v>
      </c>
      <c r="B270" s="8" t="s">
        <v>19</v>
      </c>
      <c r="C270" s="99" t="s">
        <v>12</v>
      </c>
      <c r="D270" s="71"/>
      <c r="E270" s="71"/>
      <c r="F270" s="71"/>
      <c r="G270" s="71"/>
      <c r="H270" s="71"/>
      <c r="I270" s="71"/>
      <c r="J270" s="71"/>
      <c r="K270" s="71"/>
      <c r="L270" s="74" t="s">
        <v>434</v>
      </c>
    </row>
    <row r="271">
      <c r="A271" s="70" t="s">
        <v>435</v>
      </c>
      <c r="B271" s="8" t="s">
        <v>19</v>
      </c>
      <c r="C271" s="99" t="s">
        <v>40</v>
      </c>
      <c r="D271" s="71"/>
      <c r="E271" s="71"/>
      <c r="F271" s="71"/>
      <c r="G271" s="71"/>
      <c r="H271" s="71"/>
      <c r="I271" s="71"/>
      <c r="J271" s="71"/>
      <c r="K271" s="71"/>
      <c r="L271" s="74" t="s">
        <v>436</v>
      </c>
    </row>
    <row r="272">
      <c r="A272" s="70" t="s">
        <v>287</v>
      </c>
      <c r="B272" s="71"/>
      <c r="C272" s="71"/>
      <c r="D272" s="71"/>
      <c r="E272" s="71"/>
      <c r="F272" s="71"/>
      <c r="G272" s="71"/>
      <c r="H272" s="71"/>
      <c r="I272" s="71"/>
      <c r="J272" s="73">
        <v>30.0</v>
      </c>
      <c r="K272" s="71"/>
      <c r="L272" s="72"/>
    </row>
    <row r="273">
      <c r="A273" s="70" t="s">
        <v>437</v>
      </c>
      <c r="B273" s="8" t="s">
        <v>19</v>
      </c>
      <c r="C273" s="8" t="s">
        <v>9</v>
      </c>
      <c r="D273" s="71"/>
      <c r="E273" s="71"/>
      <c r="F273" s="71"/>
      <c r="G273" s="71"/>
      <c r="H273" s="71"/>
      <c r="I273" s="71"/>
      <c r="J273" s="71"/>
      <c r="K273" s="71"/>
      <c r="L273" s="108" t="s">
        <v>349</v>
      </c>
    </row>
    <row r="274">
      <c r="A274" s="70" t="s">
        <v>438</v>
      </c>
      <c r="B274" s="8" t="s">
        <v>19</v>
      </c>
      <c r="C274" s="8" t="s">
        <v>9</v>
      </c>
      <c r="D274" s="71"/>
      <c r="E274" s="71"/>
      <c r="F274" s="71"/>
      <c r="G274" s="71"/>
      <c r="H274" s="71"/>
      <c r="I274" s="71"/>
      <c r="J274" s="71"/>
      <c r="K274" s="71"/>
      <c r="L274" s="108" t="s">
        <v>278</v>
      </c>
    </row>
    <row r="275">
      <c r="A275" s="70" t="s">
        <v>254</v>
      </c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2"/>
    </row>
    <row r="276">
      <c r="A276" s="70" t="s">
        <v>242</v>
      </c>
      <c r="B276" s="71"/>
      <c r="C276" s="71"/>
      <c r="D276" s="73">
        <v>4.8</v>
      </c>
      <c r="E276" s="71"/>
      <c r="F276" s="71"/>
      <c r="G276" s="71"/>
      <c r="H276" s="71"/>
      <c r="I276" s="71"/>
      <c r="J276" s="71"/>
      <c r="K276" s="71"/>
      <c r="L276" s="72"/>
    </row>
    <row r="277">
      <c r="A277" s="70" t="s">
        <v>323</v>
      </c>
      <c r="B277" s="8" t="s">
        <v>141</v>
      </c>
      <c r="C277" s="99" t="s">
        <v>20</v>
      </c>
      <c r="D277" s="71"/>
      <c r="E277" s="71"/>
      <c r="F277" s="71"/>
      <c r="G277" s="71"/>
      <c r="H277" s="71"/>
      <c r="I277" s="71"/>
      <c r="J277" s="71"/>
      <c r="K277" s="71"/>
      <c r="L277" s="74" t="s">
        <v>324</v>
      </c>
    </row>
    <row r="278">
      <c r="A278" s="70" t="s">
        <v>439</v>
      </c>
      <c r="B278" s="8" t="s">
        <v>15</v>
      </c>
      <c r="C278" s="99" t="s">
        <v>12</v>
      </c>
      <c r="D278" s="71"/>
      <c r="E278" s="71"/>
      <c r="F278" s="71"/>
      <c r="G278" s="71"/>
      <c r="H278" s="71"/>
      <c r="I278" s="71"/>
      <c r="J278" s="71"/>
      <c r="K278" s="71"/>
      <c r="L278" s="74" t="s">
        <v>312</v>
      </c>
    </row>
    <row r="279">
      <c r="A279" s="70" t="s">
        <v>440</v>
      </c>
      <c r="B279" s="8" t="s">
        <v>141</v>
      </c>
      <c r="C279" s="99" t="s">
        <v>40</v>
      </c>
      <c r="D279" s="71"/>
      <c r="E279" s="71"/>
      <c r="F279" s="71"/>
      <c r="G279" s="71"/>
      <c r="H279" s="71"/>
      <c r="I279" s="71"/>
      <c r="J279" s="71"/>
      <c r="K279" s="71"/>
      <c r="L279" s="74" t="s">
        <v>256</v>
      </c>
    </row>
    <row r="280">
      <c r="A280" s="70" t="s">
        <v>295</v>
      </c>
      <c r="B280" s="8" t="s">
        <v>15</v>
      </c>
      <c r="C280" s="8" t="s">
        <v>16</v>
      </c>
      <c r="D280" s="71"/>
      <c r="E280" s="71"/>
      <c r="F280" s="71"/>
      <c r="G280" s="71"/>
      <c r="H280" s="71"/>
      <c r="I280" s="71"/>
      <c r="J280" s="71"/>
      <c r="K280" s="71"/>
      <c r="L280" s="74" t="s">
        <v>17</v>
      </c>
    </row>
    <row r="281">
      <c r="A281" s="70" t="s">
        <v>298</v>
      </c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2"/>
    </row>
    <row r="282">
      <c r="A282" s="70" t="s">
        <v>242</v>
      </c>
      <c r="B282" s="71"/>
      <c r="C282" s="71"/>
      <c r="D282" s="73">
        <v>4.2</v>
      </c>
      <c r="E282" s="71"/>
      <c r="F282" s="71"/>
      <c r="G282" s="71"/>
      <c r="H282" s="71"/>
      <c r="I282" s="71"/>
      <c r="J282" s="71"/>
      <c r="K282" s="71"/>
      <c r="L282" s="72"/>
    </row>
    <row r="283">
      <c r="A283" s="70" t="s">
        <v>441</v>
      </c>
      <c r="B283" s="8" t="s">
        <v>8</v>
      </c>
      <c r="C283" s="99" t="s">
        <v>20</v>
      </c>
      <c r="D283" s="71"/>
      <c r="E283" s="71"/>
      <c r="F283" s="71"/>
      <c r="G283" s="71"/>
      <c r="H283" s="71"/>
      <c r="I283" s="71"/>
      <c r="J283" s="71"/>
      <c r="K283" s="71"/>
      <c r="L283" s="74" t="s">
        <v>442</v>
      </c>
    </row>
    <row r="284">
      <c r="A284" s="70" t="s">
        <v>443</v>
      </c>
      <c r="B284" s="8" t="s">
        <v>8</v>
      </c>
      <c r="C284" s="99" t="s">
        <v>40</v>
      </c>
      <c r="D284" s="71"/>
      <c r="E284" s="71"/>
      <c r="F284" s="71"/>
      <c r="G284" s="71"/>
      <c r="H284" s="71"/>
      <c r="I284" s="71"/>
      <c r="J284" s="71"/>
      <c r="K284" s="71"/>
      <c r="L284" s="74" t="s">
        <v>444</v>
      </c>
    </row>
    <row r="285">
      <c r="A285" s="75" t="s">
        <v>64</v>
      </c>
      <c r="B285" s="76"/>
      <c r="C285" s="76"/>
      <c r="D285" s="77">
        <f>sum(D267:D284)</f>
        <v>12.6</v>
      </c>
      <c r="E285" s="76"/>
      <c r="F285" s="77">
        <f>sum(F267:F284)</f>
        <v>0</v>
      </c>
      <c r="G285" s="76"/>
      <c r="H285" s="77">
        <f>sum(H267:H284)</f>
        <v>0</v>
      </c>
      <c r="I285" s="76"/>
      <c r="J285" s="77">
        <f>sum(J267:J284)</f>
        <v>30</v>
      </c>
      <c r="K285" s="76"/>
      <c r="L285" s="78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</row>
    <row r="290">
      <c r="A290" s="113"/>
      <c r="B290" s="114" t="s">
        <v>445</v>
      </c>
      <c r="C290" s="114" t="s">
        <v>446</v>
      </c>
      <c r="D290" s="114" t="s">
        <v>447</v>
      </c>
      <c r="E290" s="114" t="s">
        <v>448</v>
      </c>
      <c r="F290" s="114" t="s">
        <v>449</v>
      </c>
      <c r="G290" s="114" t="s">
        <v>450</v>
      </c>
      <c r="H290" s="80"/>
      <c r="I290" s="80"/>
      <c r="J290" s="80"/>
      <c r="K290" s="80"/>
      <c r="L290" s="80"/>
    </row>
    <row r="291">
      <c r="A291" s="102" t="s">
        <v>267</v>
      </c>
      <c r="B291" s="103">
        <f>B56+D73+D102</f>
        <v>163.8</v>
      </c>
      <c r="C291" s="115">
        <f>B56+D113+D138</f>
        <v>164.4</v>
      </c>
      <c r="D291" s="115">
        <f>B56+D150+D178</f>
        <v>164.4</v>
      </c>
      <c r="E291" s="115">
        <f>B56+D190+D217</f>
        <v>164.4</v>
      </c>
      <c r="F291" s="115">
        <f>B56+D228+D255</f>
        <v>153.6</v>
      </c>
      <c r="G291" s="115">
        <f>B56+D264+D285</f>
        <v>171.6</v>
      </c>
      <c r="H291" s="80"/>
      <c r="I291" s="80"/>
      <c r="J291" s="80"/>
      <c r="K291" s="80"/>
      <c r="L291" s="80"/>
    </row>
    <row r="292">
      <c r="A292" s="102" t="s">
        <v>268</v>
      </c>
      <c r="B292" s="103">
        <f>B57+F73+F102</f>
        <v>17.6</v>
      </c>
      <c r="C292" s="115">
        <f>B57+F113+F138</f>
        <v>18.2</v>
      </c>
      <c r="D292" s="115">
        <f>B57+F150+F178</f>
        <v>18.8</v>
      </c>
      <c r="E292" s="115">
        <f>B57+F190+F217</f>
        <v>18.2</v>
      </c>
      <c r="F292" s="115">
        <f>B57+F228+F255</f>
        <v>18.2</v>
      </c>
      <c r="G292" s="115">
        <f>0</f>
        <v>0</v>
      </c>
      <c r="H292" s="80"/>
      <c r="I292" s="80"/>
      <c r="J292" s="80"/>
      <c r="K292" s="80"/>
      <c r="L292" s="80"/>
    </row>
    <row r="293">
      <c r="A293" s="102" t="s">
        <v>269</v>
      </c>
      <c r="B293" s="103">
        <f>B58+H73+H102</f>
        <v>40.4</v>
      </c>
      <c r="C293" s="115">
        <f>B58+H73+H102</f>
        <v>40.4</v>
      </c>
      <c r="D293" s="115">
        <f>B58+H150+H178</f>
        <v>39.2</v>
      </c>
      <c r="E293" s="115">
        <f>B58+H190+H217</f>
        <v>35.6</v>
      </c>
      <c r="F293" s="115">
        <f>B58+H228+H255</f>
        <v>48.8</v>
      </c>
      <c r="G293" s="115">
        <f>B58+H264+H285</f>
        <v>38.6</v>
      </c>
      <c r="H293" s="80"/>
      <c r="I293" s="80"/>
      <c r="J293" s="80"/>
      <c r="K293" s="80"/>
      <c r="L293" s="80"/>
    </row>
    <row r="294">
      <c r="A294" s="102" t="s">
        <v>270</v>
      </c>
      <c r="B294" s="103">
        <f>B59+J73+J76+J102</f>
        <v>971</v>
      </c>
      <c r="C294" s="115">
        <f>B59+J113+J138</f>
        <v>962</v>
      </c>
      <c r="D294" s="115">
        <f>B59+J150+J153+J178</f>
        <v>965</v>
      </c>
      <c r="E294" s="115">
        <f>B59+J190+J193+J217</f>
        <v>971</v>
      </c>
      <c r="F294" s="115">
        <f>B59+J228+J231+J255</f>
        <v>971</v>
      </c>
      <c r="G294" s="115">
        <f>B59+J264+J285</f>
        <v>770</v>
      </c>
      <c r="H294" s="80"/>
      <c r="I294" s="80"/>
      <c r="J294" s="80"/>
      <c r="K294" s="80"/>
      <c r="L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</row>
  </sheetData>
  <dataValidations>
    <dataValidation type="list" allowBlank="1" showErrorMessage="1" sqref="B3:B5 B40:B45 B48:B53 B66:B72 B81:B82 B84:B85 B88:B89 B91:B92 B95:B98 B100:B101 B107:B112 B118:B120 B122:B123 B126:B127 B129:B130 B133:B134 B136:B137 B143:B149 B158:B159 B161:B162 B165:B166 B168:B169 B172:B173 B175:B177 B183:B189 B198:B199 B201:B202 B205:B206 B208:B209 B212:B213 B215:B216 B222:B227 B236:B237 B239:B240 B243:B244 B246:B247 B250:B251 B253:B254 B260:B263 B269:B271 B273:B274 B277:B280 B283:B284">
      <formula1>"SSS,SS,S,AAA,AA,A,Blue,Green"</formula1>
    </dataValidation>
    <dataValidation type="list" allowBlank="1" showErrorMessage="1" sqref="C3:C5 C40:C45 C48:C53 C66:C72 C81:C82 C84:C85 C88:C89 C91:C92 C95:C98 C100:C101 C107:C112 C118:C120 C122:C123 C126:C127 C129:C130 C133:C134 C136:C137 C143:C149 C158:C159 C161:C162 C165:C166 C168:C169 C172:C173 C175:C177 C183:C189 C198:C199 C201:C202 C205:C206 C208:C209 C212:C213 C215:C216 C222:C227 C236:C237 C239:C240 C243:C244 C246:C247 C250:C251 C253:C254 C260:C263 C269:C271 C273:C274 C277:C280 C283:C284">
      <formula1>"FAME,ART,FTH,CIV,TECH"</formula1>
    </dataValidation>
  </dataValidations>
  <drawing r:id="rId1"/>
  <tableParts count="27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8.36"/>
    <col customWidth="1" min="2" max="2" width="7.09"/>
    <col customWidth="1" min="3" max="3" width="7.82"/>
    <col customWidth="1" min="4" max="4" width="8.18"/>
    <col customWidth="1" min="5" max="5" width="15.55"/>
    <col customWidth="1" min="6" max="6" width="8.09"/>
    <col customWidth="1" min="7" max="7" width="15.45"/>
    <col customWidth="1" min="8" max="8" width="7.09"/>
    <col customWidth="1" min="9" max="9" width="14.45"/>
    <col customWidth="1" min="10" max="10" width="8.18"/>
    <col customWidth="1" min="11" max="11" width="15.55"/>
    <col customWidth="1" min="12" max="12" width="7.82"/>
    <col customWidth="1" min="13" max="13" width="15.18"/>
    <col customWidth="1" min="14" max="14" width="115.55"/>
  </cols>
  <sheetData>
    <row r="1">
      <c r="A1" s="67" t="s">
        <v>0</v>
      </c>
      <c r="B1" s="68" t="s">
        <v>1</v>
      </c>
      <c r="C1" s="68" t="s">
        <v>2</v>
      </c>
      <c r="D1" s="68" t="s">
        <v>451</v>
      </c>
      <c r="E1" s="68" t="s">
        <v>452</v>
      </c>
      <c r="F1" s="68" t="s">
        <v>453</v>
      </c>
      <c r="G1" s="68" t="s">
        <v>454</v>
      </c>
      <c r="H1" s="68" t="s">
        <v>455</v>
      </c>
      <c r="I1" s="68" t="s">
        <v>456</v>
      </c>
      <c r="J1" s="68" t="s">
        <v>457</v>
      </c>
      <c r="K1" s="68" t="s">
        <v>458</v>
      </c>
      <c r="L1" s="68" t="s">
        <v>459</v>
      </c>
      <c r="M1" s="68" t="s">
        <v>460</v>
      </c>
      <c r="N1" s="69" t="s">
        <v>5</v>
      </c>
    </row>
    <row r="2">
      <c r="A2" s="70" t="s">
        <v>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>
      <c r="A3" s="70" t="s">
        <v>95</v>
      </c>
      <c r="B3" s="8" t="s">
        <v>96</v>
      </c>
      <c r="C3" s="8" t="s">
        <v>20</v>
      </c>
      <c r="D3" s="73">
        <v>10.0</v>
      </c>
      <c r="E3" s="73">
        <v>10.0</v>
      </c>
      <c r="F3" s="71"/>
      <c r="G3" s="71"/>
      <c r="H3" s="71"/>
      <c r="I3" s="71"/>
      <c r="J3" s="71"/>
      <c r="K3" s="71"/>
      <c r="L3" s="71"/>
      <c r="M3" s="71"/>
      <c r="N3" s="74" t="s">
        <v>97</v>
      </c>
    </row>
    <row r="4">
      <c r="A4" s="70" t="s">
        <v>101</v>
      </c>
      <c r="B4" s="8" t="s">
        <v>54</v>
      </c>
      <c r="C4" s="99" t="s">
        <v>20</v>
      </c>
      <c r="D4" s="71"/>
      <c r="E4" s="71"/>
      <c r="F4" s="73">
        <v>11.0</v>
      </c>
      <c r="G4" s="73">
        <v>10.0</v>
      </c>
      <c r="H4" s="71"/>
      <c r="I4" s="71"/>
      <c r="J4" s="71"/>
      <c r="K4" s="71"/>
      <c r="L4" s="71"/>
      <c r="M4" s="71"/>
      <c r="N4" s="74" t="s">
        <v>102</v>
      </c>
    </row>
    <row r="5">
      <c r="A5" s="70" t="s">
        <v>461</v>
      </c>
      <c r="B5" s="8" t="s">
        <v>54</v>
      </c>
      <c r="C5" s="8" t="s">
        <v>9</v>
      </c>
      <c r="D5" s="71"/>
      <c r="E5" s="71"/>
      <c r="F5" s="71"/>
      <c r="G5" s="71"/>
      <c r="H5" s="73">
        <v>11.0</v>
      </c>
      <c r="I5" s="73">
        <v>10.0</v>
      </c>
      <c r="J5" s="71"/>
      <c r="K5" s="71"/>
      <c r="L5" s="71"/>
      <c r="M5" s="71"/>
      <c r="N5" s="74" t="s">
        <v>462</v>
      </c>
    </row>
    <row r="6">
      <c r="A6" s="70" t="s">
        <v>463</v>
      </c>
      <c r="B6" s="8" t="s">
        <v>96</v>
      </c>
      <c r="C6" s="99" t="s">
        <v>40</v>
      </c>
      <c r="D6" s="71"/>
      <c r="E6" s="71"/>
      <c r="F6" s="71"/>
      <c r="G6" s="71"/>
      <c r="H6" s="71"/>
      <c r="I6" s="71"/>
      <c r="J6" s="73">
        <v>10.0</v>
      </c>
      <c r="K6" s="73">
        <v>10.0</v>
      </c>
      <c r="L6" s="71"/>
      <c r="M6" s="71"/>
      <c r="N6" s="74" t="s">
        <v>112</v>
      </c>
    </row>
    <row r="7">
      <c r="A7" s="70" t="s">
        <v>464</v>
      </c>
      <c r="B7" s="8" t="s">
        <v>54</v>
      </c>
      <c r="C7" s="99" t="s">
        <v>40</v>
      </c>
      <c r="D7" s="71"/>
      <c r="E7" s="71"/>
      <c r="F7" s="71"/>
      <c r="G7" s="71"/>
      <c r="H7" s="71"/>
      <c r="I7" s="71"/>
      <c r="J7" s="71"/>
      <c r="K7" s="71"/>
      <c r="L7" s="73">
        <v>11.0</v>
      </c>
      <c r="M7" s="73">
        <v>10.0</v>
      </c>
      <c r="N7" s="74" t="s">
        <v>117</v>
      </c>
    </row>
    <row r="8">
      <c r="A8" s="70" t="s">
        <v>465</v>
      </c>
      <c r="B8" s="8" t="s">
        <v>15</v>
      </c>
      <c r="C8" s="99" t="s">
        <v>12</v>
      </c>
      <c r="D8" s="73">
        <v>5.4</v>
      </c>
      <c r="E8" s="71"/>
      <c r="F8" s="73">
        <v>5.4</v>
      </c>
      <c r="G8" s="71"/>
      <c r="H8" s="73">
        <v>5.4</v>
      </c>
      <c r="I8" s="71"/>
      <c r="J8" s="73">
        <v>5.4</v>
      </c>
      <c r="K8" s="71"/>
      <c r="L8" s="73">
        <v>5.4</v>
      </c>
      <c r="M8" s="71"/>
      <c r="N8" s="74" t="s">
        <v>312</v>
      </c>
    </row>
    <row r="9">
      <c r="A9" s="70" t="s">
        <v>466</v>
      </c>
      <c r="B9" s="8" t="s">
        <v>19</v>
      </c>
      <c r="C9" s="8" t="s">
        <v>16</v>
      </c>
      <c r="D9" s="73">
        <v>5.0</v>
      </c>
      <c r="E9" s="73">
        <v>5.0</v>
      </c>
      <c r="F9" s="71"/>
      <c r="G9" s="71"/>
      <c r="H9" s="71"/>
      <c r="I9" s="71"/>
      <c r="J9" s="71"/>
      <c r="K9" s="71"/>
      <c r="L9" s="71"/>
      <c r="M9" s="71"/>
      <c r="N9" s="74" t="s">
        <v>318</v>
      </c>
    </row>
    <row r="10">
      <c r="A10" s="70" t="s">
        <v>467</v>
      </c>
      <c r="B10" s="8" t="s">
        <v>19</v>
      </c>
      <c r="C10" s="99" t="s">
        <v>20</v>
      </c>
      <c r="D10" s="71"/>
      <c r="E10" s="71"/>
      <c r="F10" s="73">
        <v>5.0</v>
      </c>
      <c r="G10" s="73">
        <v>5.0</v>
      </c>
      <c r="H10" s="71"/>
      <c r="I10" s="71"/>
      <c r="J10" s="71"/>
      <c r="K10" s="71"/>
      <c r="L10" s="71"/>
      <c r="M10" s="71"/>
      <c r="N10" s="74" t="s">
        <v>284</v>
      </c>
    </row>
    <row r="11">
      <c r="A11" s="70" t="s">
        <v>131</v>
      </c>
      <c r="B11" s="8" t="s">
        <v>19</v>
      </c>
      <c r="C11" s="99" t="s">
        <v>12</v>
      </c>
      <c r="D11" s="71"/>
      <c r="E11" s="71"/>
      <c r="F11" s="71"/>
      <c r="G11" s="71"/>
      <c r="H11" s="73">
        <v>5.0</v>
      </c>
      <c r="I11" s="73">
        <v>5.0</v>
      </c>
      <c r="J11" s="71"/>
      <c r="K11" s="71"/>
      <c r="L11" s="71"/>
      <c r="M11" s="71"/>
      <c r="N11" s="74" t="s">
        <v>132</v>
      </c>
    </row>
    <row r="12">
      <c r="A12" s="70" t="s">
        <v>468</v>
      </c>
      <c r="B12" s="8" t="s">
        <v>19</v>
      </c>
      <c r="C12" s="99" t="s">
        <v>12</v>
      </c>
      <c r="D12" s="71"/>
      <c r="E12" s="71"/>
      <c r="F12" s="71"/>
      <c r="G12" s="71"/>
      <c r="H12" s="71"/>
      <c r="I12" s="71"/>
      <c r="J12" s="73">
        <v>5.0</v>
      </c>
      <c r="K12" s="73">
        <v>5.0</v>
      </c>
      <c r="L12" s="71"/>
      <c r="M12" s="71"/>
      <c r="N12" s="74" t="s">
        <v>249</v>
      </c>
    </row>
    <row r="13">
      <c r="A13" s="70" t="s">
        <v>469</v>
      </c>
      <c r="B13" s="8" t="s">
        <v>19</v>
      </c>
      <c r="C13" s="99" t="s">
        <v>40</v>
      </c>
      <c r="D13" s="71"/>
      <c r="E13" s="71"/>
      <c r="F13" s="71"/>
      <c r="G13" s="71"/>
      <c r="H13" s="71"/>
      <c r="I13" s="71"/>
      <c r="J13" s="71"/>
      <c r="K13" s="71"/>
      <c r="L13" s="73">
        <v>5.0</v>
      </c>
      <c r="M13" s="73">
        <v>5.0</v>
      </c>
      <c r="N13" s="74" t="s">
        <v>470</v>
      </c>
    </row>
    <row r="14">
      <c r="A14" s="75" t="s">
        <v>27</v>
      </c>
      <c r="B14" s="76"/>
      <c r="C14" s="76"/>
      <c r="D14" s="77">
        <f>sum(D2:E13)</f>
        <v>35.4</v>
      </c>
      <c r="E14" s="76"/>
      <c r="F14" s="77">
        <f>sum(F2:G13)</f>
        <v>36.4</v>
      </c>
      <c r="G14" s="76"/>
      <c r="H14" s="77">
        <f>sum(H2:I13)</f>
        <v>36.4</v>
      </c>
      <c r="I14" s="76"/>
      <c r="J14" s="77">
        <f>sum(J2:K13)</f>
        <v>35.4</v>
      </c>
      <c r="K14" s="76"/>
      <c r="L14" s="77">
        <f>sum(L2:M13)</f>
        <v>36.4</v>
      </c>
      <c r="M14" s="76"/>
      <c r="N14" s="78"/>
    </row>
    <row r="15">
      <c r="A15" s="79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</row>
    <row r="16">
      <c r="A16" s="67" t="s">
        <v>214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</row>
    <row r="17">
      <c r="A17" s="70" t="s">
        <v>471</v>
      </c>
      <c r="B17" s="71"/>
      <c r="C17" s="71"/>
      <c r="D17" s="73">
        <v>5.0</v>
      </c>
      <c r="E17" s="71"/>
      <c r="F17" s="73">
        <v>5.0</v>
      </c>
      <c r="G17" s="71"/>
      <c r="H17" s="73">
        <v>5.0</v>
      </c>
      <c r="I17" s="71"/>
      <c r="J17" s="73">
        <v>5.0</v>
      </c>
      <c r="K17" s="71"/>
      <c r="L17" s="73">
        <v>5.0</v>
      </c>
      <c r="M17" s="71"/>
      <c r="N17" s="74" t="s">
        <v>472</v>
      </c>
    </row>
    <row r="18">
      <c r="A18" s="70" t="s">
        <v>473</v>
      </c>
      <c r="B18" s="71"/>
      <c r="C18" s="71"/>
      <c r="D18" s="73">
        <v>4.0</v>
      </c>
      <c r="E18" s="71"/>
      <c r="F18" s="73">
        <v>4.0</v>
      </c>
      <c r="G18" s="71"/>
      <c r="H18" s="71"/>
      <c r="I18" s="71"/>
      <c r="J18" s="71"/>
      <c r="K18" s="71"/>
      <c r="L18" s="71"/>
      <c r="M18" s="71"/>
      <c r="N18" s="74" t="s">
        <v>474</v>
      </c>
    </row>
    <row r="19">
      <c r="A19" s="70" t="s">
        <v>475</v>
      </c>
      <c r="B19" s="71"/>
      <c r="C19" s="71"/>
      <c r="D19" s="71"/>
      <c r="E19" s="71"/>
      <c r="F19" s="71"/>
      <c r="G19" s="71"/>
      <c r="H19" s="73">
        <v>4.0</v>
      </c>
      <c r="I19" s="71"/>
      <c r="J19" s="71"/>
      <c r="K19" s="71"/>
      <c r="L19" s="73">
        <v>4.0</v>
      </c>
      <c r="M19" s="71"/>
      <c r="N19" s="74" t="s">
        <v>476</v>
      </c>
    </row>
    <row r="20">
      <c r="A20" s="70" t="s">
        <v>477</v>
      </c>
      <c r="B20" s="71"/>
      <c r="C20" s="71"/>
      <c r="D20" s="73">
        <v>4.0</v>
      </c>
      <c r="E20" s="71"/>
      <c r="F20" s="73">
        <v>4.0</v>
      </c>
      <c r="G20" s="71"/>
      <c r="H20" s="73">
        <v>4.0</v>
      </c>
      <c r="I20" s="71"/>
      <c r="J20" s="73">
        <v>8.0</v>
      </c>
      <c r="K20" s="71"/>
      <c r="L20" s="73">
        <v>4.0</v>
      </c>
      <c r="M20" s="71"/>
      <c r="N20" s="74" t="s">
        <v>478</v>
      </c>
    </row>
    <row r="21">
      <c r="A21" s="70" t="s">
        <v>479</v>
      </c>
      <c r="B21" s="71"/>
      <c r="C21" s="71"/>
      <c r="D21" s="73">
        <v>20.0</v>
      </c>
      <c r="E21" s="71"/>
      <c r="F21" s="73">
        <v>20.0</v>
      </c>
      <c r="G21" s="71"/>
      <c r="H21" s="73">
        <v>20.0</v>
      </c>
      <c r="I21" s="71"/>
      <c r="J21" s="73">
        <v>20.0</v>
      </c>
      <c r="K21" s="71"/>
      <c r="L21" s="73">
        <v>20.0</v>
      </c>
      <c r="M21" s="71"/>
      <c r="N21" s="74" t="s">
        <v>480</v>
      </c>
    </row>
    <row r="22">
      <c r="A22" s="75" t="s">
        <v>219</v>
      </c>
      <c r="B22" s="76"/>
      <c r="C22" s="76"/>
      <c r="D22" s="77">
        <f>sum(D17:E21)</f>
        <v>33</v>
      </c>
      <c r="E22" s="76"/>
      <c r="F22" s="77">
        <f>sum(F17:G21)</f>
        <v>33</v>
      </c>
      <c r="G22" s="76"/>
      <c r="H22" s="77">
        <f>sum(H17:I21)</f>
        <v>33</v>
      </c>
      <c r="I22" s="76"/>
      <c r="J22" s="77">
        <f>sum(J17:K21)</f>
        <v>33</v>
      </c>
      <c r="K22" s="76"/>
      <c r="L22" s="77">
        <f>sum(L17:M21)</f>
        <v>33</v>
      </c>
      <c r="M22" s="76"/>
      <c r="N22" s="97"/>
    </row>
    <row r="23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1"/>
    </row>
    <row r="24">
      <c r="A24" s="67" t="s">
        <v>481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90"/>
    </row>
    <row r="25">
      <c r="A25" s="70" t="s">
        <v>482</v>
      </c>
      <c r="B25" s="87"/>
      <c r="C25" s="87"/>
      <c r="D25" s="91">
        <v>10.0</v>
      </c>
      <c r="E25" s="87"/>
      <c r="F25" s="91">
        <v>10.0</v>
      </c>
      <c r="G25" s="87"/>
      <c r="H25" s="91">
        <v>10.0</v>
      </c>
      <c r="I25" s="87"/>
      <c r="J25" s="91">
        <v>10.0</v>
      </c>
      <c r="K25" s="87"/>
      <c r="L25" s="91">
        <v>10.0</v>
      </c>
      <c r="M25" s="87"/>
      <c r="N25" s="74" t="s">
        <v>483</v>
      </c>
    </row>
    <row r="26">
      <c r="A26" s="70" t="s">
        <v>237</v>
      </c>
      <c r="B26" s="87"/>
      <c r="C26" s="87"/>
      <c r="D26" s="91">
        <v>10.0</v>
      </c>
      <c r="E26" s="87"/>
      <c r="F26" s="87"/>
      <c r="G26" s="87"/>
      <c r="H26" s="87"/>
      <c r="I26" s="87"/>
      <c r="J26" s="87"/>
      <c r="K26" s="87"/>
      <c r="L26" s="87"/>
      <c r="M26" s="87"/>
      <c r="N26" s="74" t="s">
        <v>484</v>
      </c>
    </row>
    <row r="27">
      <c r="A27" s="70" t="s">
        <v>485</v>
      </c>
      <c r="B27" s="87"/>
      <c r="C27" s="87"/>
      <c r="D27" s="87"/>
      <c r="E27" s="87"/>
      <c r="F27" s="91">
        <v>10.0</v>
      </c>
      <c r="G27" s="87"/>
      <c r="H27" s="87"/>
      <c r="I27" s="87"/>
      <c r="J27" s="87"/>
      <c r="K27" s="87"/>
      <c r="L27" s="87"/>
      <c r="M27" s="87"/>
      <c r="N27" s="74" t="s">
        <v>483</v>
      </c>
    </row>
    <row r="28">
      <c r="A28" s="70" t="s">
        <v>36</v>
      </c>
      <c r="B28" s="87"/>
      <c r="C28" s="87"/>
      <c r="D28" s="87"/>
      <c r="E28" s="87"/>
      <c r="F28" s="87"/>
      <c r="G28" s="87"/>
      <c r="H28" s="91">
        <v>10.0</v>
      </c>
      <c r="I28" s="87"/>
      <c r="J28" s="87"/>
      <c r="K28" s="87"/>
      <c r="L28" s="87"/>
      <c r="M28" s="87"/>
      <c r="N28" s="74" t="s">
        <v>486</v>
      </c>
    </row>
    <row r="29">
      <c r="A29" s="70" t="s">
        <v>487</v>
      </c>
      <c r="B29" s="87"/>
      <c r="C29" s="87"/>
      <c r="D29" s="87"/>
      <c r="E29" s="87"/>
      <c r="F29" s="87"/>
      <c r="G29" s="87"/>
      <c r="H29" s="87"/>
      <c r="I29" s="87"/>
      <c r="J29" s="91">
        <v>10.0</v>
      </c>
      <c r="K29" s="87"/>
      <c r="L29" s="87"/>
      <c r="M29" s="87"/>
      <c r="N29" s="74" t="s">
        <v>486</v>
      </c>
    </row>
    <row r="30">
      <c r="A30" s="70" t="s">
        <v>488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91">
        <v>10.0</v>
      </c>
      <c r="M30" s="87"/>
      <c r="N30" s="74" t="s">
        <v>484</v>
      </c>
    </row>
    <row r="31">
      <c r="A31" s="75" t="s">
        <v>489</v>
      </c>
      <c r="B31" s="93"/>
      <c r="C31" s="93"/>
      <c r="D31" s="94">
        <f>sum(D25:E30)</f>
        <v>20</v>
      </c>
      <c r="E31" s="93"/>
      <c r="F31" s="94">
        <f>sum(F25:G30)</f>
        <v>20</v>
      </c>
      <c r="G31" s="93"/>
      <c r="H31" s="94">
        <f>sum(H25:I30)</f>
        <v>20</v>
      </c>
      <c r="I31" s="93"/>
      <c r="J31" s="94">
        <f>sum(J25:K30)</f>
        <v>20</v>
      </c>
      <c r="K31" s="93"/>
      <c r="L31" s="94">
        <f>sum(L25:M30)</f>
        <v>20</v>
      </c>
      <c r="M31" s="93"/>
      <c r="N31" s="78"/>
    </row>
    <row r="32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1"/>
    </row>
    <row r="33">
      <c r="A33" s="67" t="s">
        <v>37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3"/>
    </row>
    <row r="34">
      <c r="A34" s="70" t="s">
        <v>254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</row>
    <row r="35">
      <c r="A35" s="70" t="s">
        <v>490</v>
      </c>
      <c r="B35" s="71"/>
      <c r="C35" s="71"/>
      <c r="D35" s="73">
        <v>6.0</v>
      </c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>
      <c r="A36" s="70" t="s">
        <v>491</v>
      </c>
      <c r="B36" s="8" t="s">
        <v>15</v>
      </c>
      <c r="C36" s="8" t="s">
        <v>12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4" t="s">
        <v>211</v>
      </c>
    </row>
    <row r="37">
      <c r="A37" s="70" t="s">
        <v>492</v>
      </c>
      <c r="B37" s="8" t="s">
        <v>15</v>
      </c>
      <c r="C37" s="8" t="s">
        <v>16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4" t="s">
        <v>266</v>
      </c>
    </row>
    <row r="38">
      <c r="A38" s="70" t="s">
        <v>493</v>
      </c>
      <c r="B38" s="71"/>
      <c r="C38" s="71"/>
      <c r="D38" s="71"/>
      <c r="E38" s="71"/>
      <c r="F38" s="73">
        <v>6.0</v>
      </c>
      <c r="G38" s="71"/>
      <c r="H38" s="71"/>
      <c r="I38" s="71"/>
      <c r="J38" s="71"/>
      <c r="K38" s="71"/>
      <c r="L38" s="71"/>
      <c r="M38" s="71"/>
      <c r="N38" s="72"/>
    </row>
    <row r="39">
      <c r="A39" s="70" t="s">
        <v>494</v>
      </c>
      <c r="B39" s="8" t="s">
        <v>15</v>
      </c>
      <c r="C39" s="99" t="s">
        <v>12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4" t="s">
        <v>139</v>
      </c>
    </row>
    <row r="40">
      <c r="A40" s="70" t="s">
        <v>495</v>
      </c>
      <c r="B40" s="8" t="s">
        <v>15</v>
      </c>
      <c r="C40" s="99" t="s">
        <v>20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4" t="s">
        <v>139</v>
      </c>
    </row>
    <row r="41">
      <c r="A41" s="70" t="s">
        <v>496</v>
      </c>
      <c r="B41" s="71"/>
      <c r="C41" s="71"/>
      <c r="D41" s="71"/>
      <c r="E41" s="71"/>
      <c r="F41" s="71"/>
      <c r="G41" s="71"/>
      <c r="H41" s="73">
        <v>8.0</v>
      </c>
      <c r="I41" s="71"/>
      <c r="J41" s="71"/>
      <c r="K41" s="71"/>
      <c r="L41" s="71"/>
      <c r="M41" s="71"/>
      <c r="N41" s="72"/>
    </row>
    <row r="42">
      <c r="A42" s="70" t="s">
        <v>497</v>
      </c>
      <c r="B42" s="8" t="s">
        <v>15</v>
      </c>
      <c r="C42" s="8" t="s">
        <v>16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4" t="s">
        <v>498</v>
      </c>
    </row>
    <row r="43">
      <c r="A43" s="70" t="s">
        <v>499</v>
      </c>
      <c r="B43" s="8" t="s">
        <v>141</v>
      </c>
      <c r="C43" s="99" t="s">
        <v>12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4" t="s">
        <v>500</v>
      </c>
    </row>
    <row r="44">
      <c r="A44" s="70" t="s">
        <v>501</v>
      </c>
      <c r="B44" s="8" t="s">
        <v>15</v>
      </c>
      <c r="C44" s="99" t="s">
        <v>40</v>
      </c>
      <c r="D44" s="71"/>
      <c r="E44" s="71"/>
      <c r="F44" s="71"/>
      <c r="G44" s="71"/>
      <c r="H44" s="71"/>
      <c r="I44" s="71"/>
      <c r="J44" s="71"/>
      <c r="K44" s="71"/>
      <c r="L44" s="87"/>
      <c r="M44" s="71"/>
      <c r="N44" s="74" t="s">
        <v>397</v>
      </c>
    </row>
    <row r="45">
      <c r="A45" s="70" t="s">
        <v>502</v>
      </c>
      <c r="B45" s="8" t="s">
        <v>417</v>
      </c>
      <c r="C45" s="8" t="s">
        <v>9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116" t="s">
        <v>503</v>
      </c>
    </row>
    <row r="46">
      <c r="A46" s="70" t="s">
        <v>504</v>
      </c>
      <c r="B46" s="71"/>
      <c r="C46" s="71"/>
      <c r="D46" s="71"/>
      <c r="E46" s="71"/>
      <c r="F46" s="71"/>
      <c r="G46" s="71"/>
      <c r="H46" s="71"/>
      <c r="I46" s="71"/>
      <c r="J46" s="73">
        <v>7.0</v>
      </c>
      <c r="K46" s="71"/>
      <c r="L46" s="71"/>
      <c r="M46" s="71"/>
      <c r="N46" s="72"/>
    </row>
    <row r="47">
      <c r="A47" s="70" t="s">
        <v>505</v>
      </c>
      <c r="B47" s="8" t="s">
        <v>15</v>
      </c>
      <c r="C47" s="8" t="s">
        <v>9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4" t="s">
        <v>506</v>
      </c>
    </row>
    <row r="48">
      <c r="A48" s="70" t="s">
        <v>507</v>
      </c>
      <c r="B48" s="8" t="s">
        <v>15</v>
      </c>
      <c r="C48" s="8" t="s">
        <v>16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4" t="s">
        <v>508</v>
      </c>
    </row>
    <row r="49">
      <c r="A49" s="70" t="s">
        <v>509</v>
      </c>
      <c r="B49" s="8" t="s">
        <v>15</v>
      </c>
      <c r="C49" s="99" t="s">
        <v>12</v>
      </c>
      <c r="D49" s="71"/>
      <c r="E49" s="71"/>
      <c r="F49" s="71"/>
      <c r="G49" s="71"/>
      <c r="H49" s="71"/>
      <c r="I49" s="71"/>
      <c r="J49" s="71"/>
      <c r="K49" s="71"/>
      <c r="L49" s="87"/>
      <c r="M49" s="71"/>
      <c r="N49" s="74" t="s">
        <v>139</v>
      </c>
    </row>
    <row r="50">
      <c r="A50" s="70" t="s">
        <v>510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3">
        <v>7.0</v>
      </c>
      <c r="M50" s="71"/>
      <c r="N50" s="72"/>
    </row>
    <row r="51">
      <c r="A51" s="70" t="s">
        <v>511</v>
      </c>
      <c r="B51" s="8" t="s">
        <v>417</v>
      </c>
      <c r="C51" s="99" t="s">
        <v>40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4" t="s">
        <v>512</v>
      </c>
    </row>
    <row r="52">
      <c r="A52" s="70" t="s">
        <v>513</v>
      </c>
      <c r="B52" s="8" t="s">
        <v>15</v>
      </c>
      <c r="C52" s="8" t="s">
        <v>9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4" t="s">
        <v>146</v>
      </c>
    </row>
    <row r="53">
      <c r="A53" s="70" t="s">
        <v>356</v>
      </c>
      <c r="B53" s="8" t="s">
        <v>15</v>
      </c>
      <c r="C53" s="99" t="s">
        <v>20</v>
      </c>
      <c r="D53" s="71"/>
      <c r="E53" s="71"/>
      <c r="F53" s="71"/>
      <c r="G53" s="71"/>
      <c r="H53" s="71"/>
      <c r="I53" s="71"/>
      <c r="J53" s="71"/>
      <c r="K53" s="71"/>
      <c r="L53" s="87"/>
      <c r="M53" s="71"/>
      <c r="N53" s="74" t="s">
        <v>357</v>
      </c>
    </row>
    <row r="54">
      <c r="A54" s="75" t="s">
        <v>64</v>
      </c>
      <c r="B54" s="76"/>
      <c r="C54" s="76"/>
      <c r="D54" s="77">
        <f>sum(D35:D53)</f>
        <v>6</v>
      </c>
      <c r="E54" s="76"/>
      <c r="F54" s="77">
        <f>sum(F35:F53)</f>
        <v>6</v>
      </c>
      <c r="G54" s="76"/>
      <c r="H54" s="77">
        <f>sum(H35:H53)</f>
        <v>8</v>
      </c>
      <c r="I54" s="76"/>
      <c r="J54" s="77">
        <f>sum(J35:J53)</f>
        <v>7</v>
      </c>
      <c r="K54" s="76"/>
      <c r="L54" s="77">
        <f>sum(L35:L53)</f>
        <v>7</v>
      </c>
      <c r="M54" s="76"/>
      <c r="N54" s="78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</row>
    <row r="56">
      <c r="A56" s="113"/>
      <c r="B56" s="114" t="s">
        <v>445</v>
      </c>
      <c r="C56" s="114" t="s">
        <v>446</v>
      </c>
      <c r="D56" s="114" t="s">
        <v>447</v>
      </c>
      <c r="E56" s="114" t="s">
        <v>448</v>
      </c>
      <c r="F56" s="114" t="s">
        <v>449</v>
      </c>
      <c r="G56" s="80"/>
      <c r="H56" s="80"/>
      <c r="I56" s="80"/>
      <c r="J56" s="80"/>
      <c r="K56" s="80"/>
      <c r="L56" s="80"/>
      <c r="M56" s="80"/>
      <c r="N56" s="80"/>
    </row>
    <row r="57">
      <c r="A57" s="102" t="s">
        <v>514</v>
      </c>
      <c r="B57" s="103">
        <f>D14+D22+D31+D54</f>
        <v>94.4</v>
      </c>
      <c r="C57" s="115">
        <f>F14+F22+F31+F54</f>
        <v>95.4</v>
      </c>
      <c r="D57" s="115">
        <f>H14+H22+H31+H54</f>
        <v>97.4</v>
      </c>
      <c r="E57" s="115">
        <f>J14+J22+J31+J54</f>
        <v>95.4</v>
      </c>
      <c r="F57" s="115">
        <f>L14+L22+L31+L54</f>
        <v>96.4</v>
      </c>
      <c r="G57" s="80"/>
      <c r="H57" s="80"/>
      <c r="I57" s="80"/>
      <c r="J57" s="80"/>
      <c r="K57" s="80"/>
      <c r="L57" s="80"/>
      <c r="M57" s="80"/>
      <c r="N57" s="80"/>
    </row>
    <row r="58">
      <c r="A58" s="80"/>
      <c r="B58" s="80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80"/>
      <c r="M59" s="80"/>
      <c r="N59" s="80"/>
    </row>
    <row r="60">
      <c r="A60" s="117" t="s">
        <v>515</v>
      </c>
      <c r="B60" s="118"/>
      <c r="C60" s="118"/>
      <c r="D60" s="118"/>
      <c r="E60" s="119"/>
      <c r="F60" s="118"/>
      <c r="G60" s="118"/>
      <c r="H60" s="118"/>
      <c r="I60" s="118"/>
      <c r="J60" s="119"/>
      <c r="K60" s="119"/>
      <c r="L60" s="118"/>
      <c r="M60" s="118"/>
      <c r="N60" s="120"/>
    </row>
    <row r="61">
      <c r="A61" s="98" t="s">
        <v>94</v>
      </c>
      <c r="B61" s="82"/>
      <c r="C61" s="82"/>
      <c r="D61" s="82"/>
      <c r="E61" s="82"/>
      <c r="F61" s="89"/>
      <c r="G61" s="89"/>
      <c r="H61" s="89"/>
      <c r="I61" s="89"/>
      <c r="J61" s="82"/>
      <c r="K61" s="82"/>
      <c r="L61" s="89"/>
      <c r="M61" s="89"/>
      <c r="N61" s="90"/>
    </row>
    <row r="62">
      <c r="A62" s="70" t="s">
        <v>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2"/>
    </row>
    <row r="63">
      <c r="A63" s="70" t="s">
        <v>516</v>
      </c>
      <c r="B63" s="8" t="s">
        <v>8</v>
      </c>
      <c r="C63" s="8" t="s">
        <v>9</v>
      </c>
      <c r="D63" s="73">
        <v>12.0</v>
      </c>
      <c r="E63" s="71"/>
      <c r="F63" s="71"/>
      <c r="G63" s="71"/>
      <c r="H63" s="71"/>
      <c r="I63" s="71"/>
      <c r="J63" s="71"/>
      <c r="K63" s="71"/>
      <c r="L63" s="71"/>
      <c r="M63" s="71"/>
      <c r="N63" s="74" t="s">
        <v>517</v>
      </c>
    </row>
    <row r="64">
      <c r="A64" s="75" t="s">
        <v>27</v>
      </c>
      <c r="B64" s="76"/>
      <c r="C64" s="76"/>
      <c r="D64" s="77">
        <f>sum(D62:E63)</f>
        <v>12</v>
      </c>
      <c r="E64" s="76"/>
      <c r="F64" s="77">
        <f>sum(F62:G63)</f>
        <v>0</v>
      </c>
      <c r="G64" s="76"/>
      <c r="H64" s="77">
        <f>sum(H62:I63)</f>
        <v>0</v>
      </c>
      <c r="I64" s="76"/>
      <c r="J64" s="77">
        <f>sum(J62:K63)</f>
        <v>0</v>
      </c>
      <c r="K64" s="76"/>
      <c r="L64" s="77">
        <f>sum(L62:M63)</f>
        <v>0</v>
      </c>
      <c r="M64" s="76"/>
      <c r="N64" s="78"/>
    </row>
    <row r="65">
      <c r="A65" s="106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7"/>
    </row>
    <row r="66">
      <c r="A66" s="67" t="s">
        <v>214</v>
      </c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3"/>
    </row>
    <row r="67">
      <c r="A67" s="75" t="s">
        <v>518</v>
      </c>
      <c r="B67" s="76"/>
      <c r="C67" s="76"/>
      <c r="D67" s="77">
        <v>6.0</v>
      </c>
      <c r="E67" s="76"/>
      <c r="F67" s="77">
        <v>6.0</v>
      </c>
      <c r="G67" s="76"/>
      <c r="H67" s="77">
        <v>6.0</v>
      </c>
      <c r="I67" s="76"/>
      <c r="J67" s="77">
        <v>6.0</v>
      </c>
      <c r="K67" s="76"/>
      <c r="L67" s="77">
        <v>6.0</v>
      </c>
      <c r="M67" s="76"/>
      <c r="N67" s="84" t="s">
        <v>519</v>
      </c>
    </row>
    <row r="68">
      <c r="A68" s="106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7"/>
    </row>
    <row r="69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1"/>
    </row>
    <row r="70">
      <c r="A70" s="98" t="s">
        <v>100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90"/>
    </row>
    <row r="71">
      <c r="A71" s="70" t="s">
        <v>6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2"/>
    </row>
    <row r="72">
      <c r="A72" s="70" t="s">
        <v>520</v>
      </c>
      <c r="B72" s="8" t="s">
        <v>8</v>
      </c>
      <c r="C72" s="8" t="s">
        <v>16</v>
      </c>
      <c r="D72" s="71"/>
      <c r="E72" s="71"/>
      <c r="F72" s="73">
        <v>12.0</v>
      </c>
      <c r="G72" s="71"/>
      <c r="H72" s="71"/>
      <c r="I72" s="71"/>
      <c r="J72" s="71"/>
      <c r="K72" s="71"/>
      <c r="L72" s="71"/>
      <c r="M72" s="71"/>
      <c r="N72" s="74" t="s">
        <v>521</v>
      </c>
    </row>
    <row r="73">
      <c r="A73" s="75" t="s">
        <v>27</v>
      </c>
      <c r="B73" s="76"/>
      <c r="C73" s="76"/>
      <c r="D73" s="77">
        <f>sum(D71:E72)</f>
        <v>0</v>
      </c>
      <c r="E73" s="76"/>
      <c r="F73" s="77">
        <f>sum(F71:G72)</f>
        <v>12</v>
      </c>
      <c r="G73" s="76"/>
      <c r="H73" s="77">
        <f>sum(H71:I72)</f>
        <v>0</v>
      </c>
      <c r="I73" s="76"/>
      <c r="J73" s="77">
        <f>sum(J71:K72)</f>
        <v>0</v>
      </c>
      <c r="K73" s="76"/>
      <c r="L73" s="77">
        <f>sum(L71:M72)</f>
        <v>0</v>
      </c>
      <c r="M73" s="76"/>
      <c r="N73" s="78"/>
    </row>
    <row r="74">
      <c r="A74" s="106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7"/>
    </row>
    <row r="75">
      <c r="A75" s="67" t="s">
        <v>214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3"/>
    </row>
    <row r="76">
      <c r="A76" s="75" t="s">
        <v>522</v>
      </c>
      <c r="B76" s="76"/>
      <c r="C76" s="76"/>
      <c r="D76" s="77">
        <v>6.0</v>
      </c>
      <c r="E76" s="76"/>
      <c r="F76" s="77">
        <v>6.0</v>
      </c>
      <c r="G76" s="76"/>
      <c r="H76" s="77">
        <v>6.0</v>
      </c>
      <c r="I76" s="76"/>
      <c r="J76" s="77">
        <v>6.0</v>
      </c>
      <c r="K76" s="76"/>
      <c r="L76" s="77">
        <v>6.0</v>
      </c>
      <c r="M76" s="76"/>
      <c r="N76" s="84" t="s">
        <v>523</v>
      </c>
    </row>
    <row r="77">
      <c r="A77" s="79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1"/>
    </row>
    <row r="78">
      <c r="A78" s="79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</row>
    <row r="79">
      <c r="A79" s="98" t="s">
        <v>107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90"/>
    </row>
    <row r="80">
      <c r="A80" s="70" t="s">
        <v>6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2"/>
    </row>
    <row r="81">
      <c r="A81" s="70" t="s">
        <v>524</v>
      </c>
      <c r="B81" s="8" t="s">
        <v>8</v>
      </c>
      <c r="C81" s="8" t="s">
        <v>12</v>
      </c>
      <c r="D81" s="71"/>
      <c r="E81" s="71"/>
      <c r="F81" s="71"/>
      <c r="G81" s="71"/>
      <c r="H81" s="73">
        <v>12.0</v>
      </c>
      <c r="I81" s="71"/>
      <c r="J81" s="71"/>
      <c r="K81" s="71"/>
      <c r="L81" s="71"/>
      <c r="M81" s="71"/>
      <c r="N81" s="74" t="s">
        <v>525</v>
      </c>
    </row>
    <row r="82">
      <c r="A82" s="75" t="s">
        <v>27</v>
      </c>
      <c r="B82" s="76"/>
      <c r="C82" s="76"/>
      <c r="D82" s="77">
        <f>sum(D80:E81)</f>
        <v>0</v>
      </c>
      <c r="E82" s="76"/>
      <c r="F82" s="77">
        <f>sum(F80:G81)</f>
        <v>0</v>
      </c>
      <c r="G82" s="76"/>
      <c r="H82" s="77">
        <f>sum(H80:I81)</f>
        <v>12</v>
      </c>
      <c r="I82" s="76"/>
      <c r="J82" s="77">
        <f>sum(J80:K81)</f>
        <v>0</v>
      </c>
      <c r="K82" s="76"/>
      <c r="L82" s="77">
        <f>sum(L80:M81)</f>
        <v>0</v>
      </c>
      <c r="M82" s="76"/>
      <c r="N82" s="78"/>
    </row>
    <row r="83">
      <c r="A83" s="106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7"/>
    </row>
    <row r="84">
      <c r="A84" s="67" t="s">
        <v>214</v>
      </c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3"/>
    </row>
    <row r="85">
      <c r="A85" s="75" t="s">
        <v>526</v>
      </c>
      <c r="B85" s="76"/>
      <c r="C85" s="76"/>
      <c r="D85" s="77">
        <v>6.0</v>
      </c>
      <c r="E85" s="76"/>
      <c r="F85" s="77">
        <v>6.0</v>
      </c>
      <c r="G85" s="76"/>
      <c r="H85" s="77">
        <v>6.0</v>
      </c>
      <c r="I85" s="76"/>
      <c r="J85" s="77">
        <v>6.0</v>
      </c>
      <c r="K85" s="76"/>
      <c r="L85" s="77">
        <v>6.0</v>
      </c>
      <c r="M85" s="76"/>
      <c r="N85" s="84" t="s">
        <v>527</v>
      </c>
    </row>
    <row r="86">
      <c r="A86" s="112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7"/>
    </row>
    <row r="87">
      <c r="A87" s="79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1"/>
    </row>
    <row r="88">
      <c r="A88" s="98" t="s">
        <v>110</v>
      </c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90"/>
    </row>
    <row r="89">
      <c r="A89" s="70" t="s">
        <v>6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2"/>
    </row>
    <row r="90">
      <c r="A90" s="70" t="s">
        <v>155</v>
      </c>
      <c r="B90" s="8" t="s">
        <v>8</v>
      </c>
      <c r="C90" s="8" t="s">
        <v>9</v>
      </c>
      <c r="D90" s="71"/>
      <c r="E90" s="71"/>
      <c r="F90" s="71"/>
      <c r="G90" s="71"/>
      <c r="H90" s="71"/>
      <c r="I90" s="71"/>
      <c r="J90" s="73">
        <v>12.0</v>
      </c>
      <c r="K90" s="71"/>
      <c r="L90" s="71"/>
      <c r="M90" s="71"/>
      <c r="N90" s="116" t="s">
        <v>525</v>
      </c>
    </row>
    <row r="91">
      <c r="A91" s="75" t="s">
        <v>27</v>
      </c>
      <c r="B91" s="76"/>
      <c r="C91" s="76"/>
      <c r="D91" s="77">
        <f>sum(D89:E90)</f>
        <v>0</v>
      </c>
      <c r="E91" s="76"/>
      <c r="F91" s="77">
        <f>sum(F89:G90)</f>
        <v>0</v>
      </c>
      <c r="G91" s="76"/>
      <c r="H91" s="77">
        <f>sum(H89:I90)</f>
        <v>0</v>
      </c>
      <c r="I91" s="76"/>
      <c r="J91" s="77">
        <f>sum(J89:K90)</f>
        <v>12</v>
      </c>
      <c r="K91" s="76"/>
      <c r="L91" s="77">
        <f>sum(L89:M90)</f>
        <v>0</v>
      </c>
      <c r="M91" s="76"/>
      <c r="N91" s="78"/>
    </row>
    <row r="92">
      <c r="A92" s="106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7"/>
    </row>
    <row r="93">
      <c r="A93" s="67" t="s">
        <v>214</v>
      </c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3"/>
    </row>
    <row r="94">
      <c r="A94" s="75" t="s">
        <v>518</v>
      </c>
      <c r="B94" s="76"/>
      <c r="C94" s="76"/>
      <c r="D94" s="77">
        <v>6.0</v>
      </c>
      <c r="E94" s="76"/>
      <c r="F94" s="77">
        <v>6.0</v>
      </c>
      <c r="G94" s="76"/>
      <c r="H94" s="77">
        <v>6.0</v>
      </c>
      <c r="I94" s="76"/>
      <c r="J94" s="77">
        <v>6.0</v>
      </c>
      <c r="K94" s="76"/>
      <c r="L94" s="77">
        <v>6.0</v>
      </c>
      <c r="M94" s="76"/>
      <c r="N94" s="84" t="s">
        <v>519</v>
      </c>
    </row>
    <row r="95">
      <c r="A95" s="79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1"/>
    </row>
    <row r="96">
      <c r="A96" s="79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1"/>
    </row>
    <row r="97">
      <c r="A97" s="98" t="s">
        <v>115</v>
      </c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90"/>
    </row>
    <row r="98">
      <c r="A98" s="70" t="s">
        <v>6</v>
      </c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2"/>
    </row>
    <row r="99">
      <c r="A99" s="70" t="s">
        <v>528</v>
      </c>
      <c r="B99" s="8" t="s">
        <v>8</v>
      </c>
      <c r="C99" s="8" t="s">
        <v>40</v>
      </c>
      <c r="D99" s="71"/>
      <c r="E99" s="71"/>
      <c r="F99" s="71"/>
      <c r="G99" s="71"/>
      <c r="H99" s="71"/>
      <c r="I99" s="71"/>
      <c r="J99" s="71"/>
      <c r="K99" s="71"/>
      <c r="L99" s="73">
        <v>12.0</v>
      </c>
      <c r="M99" s="71"/>
      <c r="N99" s="74" t="s">
        <v>529</v>
      </c>
    </row>
    <row r="100">
      <c r="A100" s="75" t="s">
        <v>27</v>
      </c>
      <c r="B100" s="76"/>
      <c r="C100" s="76"/>
      <c r="D100" s="77">
        <f>sum(D98:E99)</f>
        <v>0</v>
      </c>
      <c r="E100" s="76"/>
      <c r="F100" s="77">
        <f>sum(F98:G99)</f>
        <v>0</v>
      </c>
      <c r="G100" s="76"/>
      <c r="H100" s="77">
        <f>sum(H98:I99)</f>
        <v>0</v>
      </c>
      <c r="I100" s="76"/>
      <c r="J100" s="77">
        <f>sum(J98:K99)</f>
        <v>0</v>
      </c>
      <c r="K100" s="76"/>
      <c r="L100" s="77">
        <f>sum(L98:M99)</f>
        <v>12</v>
      </c>
      <c r="M100" s="76"/>
      <c r="N100" s="78"/>
    </row>
    <row r="101">
      <c r="A101" s="106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7"/>
    </row>
    <row r="102">
      <c r="A102" s="67" t="s">
        <v>214</v>
      </c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3"/>
    </row>
    <row r="103">
      <c r="A103" s="75" t="s">
        <v>526</v>
      </c>
      <c r="B103" s="76"/>
      <c r="C103" s="76"/>
      <c r="D103" s="77">
        <v>6.0</v>
      </c>
      <c r="E103" s="76"/>
      <c r="F103" s="77">
        <v>6.0</v>
      </c>
      <c r="G103" s="76"/>
      <c r="H103" s="77">
        <v>6.0</v>
      </c>
      <c r="I103" s="76"/>
      <c r="J103" s="77">
        <v>6.0</v>
      </c>
      <c r="K103" s="76"/>
      <c r="L103" s="77">
        <v>6.0</v>
      </c>
      <c r="M103" s="76"/>
      <c r="N103" s="84" t="s">
        <v>527</v>
      </c>
    </row>
    <row r="104">
      <c r="A104" s="79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1"/>
    </row>
    <row r="105">
      <c r="A105" s="79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1"/>
    </row>
    <row r="106">
      <c r="A106" s="98" t="s">
        <v>120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90"/>
    </row>
    <row r="107">
      <c r="A107" s="70" t="s">
        <v>214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2"/>
    </row>
    <row r="108">
      <c r="A108" s="75" t="s">
        <v>522</v>
      </c>
      <c r="B108" s="76"/>
      <c r="C108" s="76"/>
      <c r="D108" s="77">
        <v>6.0</v>
      </c>
      <c r="E108" s="76"/>
      <c r="F108" s="77">
        <v>6.0</v>
      </c>
      <c r="G108" s="76"/>
      <c r="H108" s="77">
        <v>6.0</v>
      </c>
      <c r="I108" s="76"/>
      <c r="J108" s="77">
        <v>6.0</v>
      </c>
      <c r="K108" s="76"/>
      <c r="L108" s="77">
        <v>6.0</v>
      </c>
      <c r="M108" s="76"/>
      <c r="N108" s="84" t="s">
        <v>523</v>
      </c>
    </row>
    <row r="109">
      <c r="A109" s="121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</row>
    <row r="111">
      <c r="A111" s="113"/>
      <c r="B111" s="114" t="s">
        <v>445</v>
      </c>
      <c r="C111" s="114" t="s">
        <v>446</v>
      </c>
      <c r="D111" s="114" t="s">
        <v>447</v>
      </c>
      <c r="E111" s="114" t="s">
        <v>448</v>
      </c>
      <c r="F111" s="114" t="s">
        <v>449</v>
      </c>
      <c r="G111" s="122"/>
      <c r="H111" s="80"/>
      <c r="I111" s="80"/>
      <c r="J111" s="80"/>
      <c r="K111" s="80"/>
      <c r="L111" s="80"/>
      <c r="M111" s="80"/>
      <c r="N111" s="80"/>
    </row>
    <row r="112">
      <c r="A112" s="102" t="s">
        <v>530</v>
      </c>
      <c r="B112" s="115">
        <f>$B$57+D64+D67</f>
        <v>112.4</v>
      </c>
      <c r="C112" s="115">
        <f>$C$57+F64+F67</f>
        <v>101.4</v>
      </c>
      <c r="D112" s="115">
        <f>$D$57+H64+H67</f>
        <v>103.4</v>
      </c>
      <c r="E112" s="115">
        <f>$D$57+J64+J67</f>
        <v>103.4</v>
      </c>
      <c r="F112" s="115">
        <f>$D$57+L64+L67</f>
        <v>103.4</v>
      </c>
      <c r="G112" s="80"/>
      <c r="H112" s="80"/>
      <c r="I112" s="80"/>
      <c r="J112" s="80"/>
      <c r="K112" s="80"/>
      <c r="L112" s="80"/>
      <c r="M112" s="80"/>
      <c r="N112" s="80"/>
    </row>
    <row r="113">
      <c r="A113" s="102" t="s">
        <v>531</v>
      </c>
      <c r="B113" s="115">
        <f>$B$57+D73+D76</f>
        <v>100.4</v>
      </c>
      <c r="C113" s="115">
        <f>$C$57+F73+F76</f>
        <v>113.4</v>
      </c>
      <c r="D113" s="115">
        <f>$D$57+H73+H76</f>
        <v>103.4</v>
      </c>
      <c r="E113" s="115">
        <f>$D$57+J73+J76</f>
        <v>103.4</v>
      </c>
      <c r="F113" s="115">
        <f>$D$57+L73+L76</f>
        <v>103.4</v>
      </c>
      <c r="G113" s="80"/>
      <c r="H113" s="80"/>
      <c r="I113" s="80"/>
      <c r="J113" s="80"/>
      <c r="K113" s="80"/>
      <c r="L113" s="80"/>
      <c r="M113" s="80"/>
      <c r="N113" s="80"/>
    </row>
    <row r="114">
      <c r="A114" s="102" t="s">
        <v>532</v>
      </c>
      <c r="B114" s="115">
        <f>$B$57+D82+D85</f>
        <v>100.4</v>
      </c>
      <c r="C114" s="115">
        <f>$C$57+F82+F85</f>
        <v>101.4</v>
      </c>
      <c r="D114" s="115">
        <f>$D$57+H82+H85</f>
        <v>115.4</v>
      </c>
      <c r="E114" s="115">
        <f>$D$57+J82+J85</f>
        <v>103.4</v>
      </c>
      <c r="F114" s="115">
        <f>$D$57+L82+L85</f>
        <v>103.4</v>
      </c>
      <c r="G114" s="80"/>
      <c r="H114" s="80"/>
      <c r="I114" s="80"/>
      <c r="J114" s="80"/>
      <c r="K114" s="80"/>
      <c r="L114" s="80"/>
      <c r="M114" s="80"/>
      <c r="N114" s="80"/>
    </row>
    <row r="115">
      <c r="A115" s="102" t="s">
        <v>533</v>
      </c>
      <c r="B115" s="115">
        <f>$B$57+D91+D94</f>
        <v>100.4</v>
      </c>
      <c r="C115" s="115">
        <f>$C$57+F91+F94</f>
        <v>101.4</v>
      </c>
      <c r="D115" s="115">
        <f>$D$57+H91+H94</f>
        <v>103.4</v>
      </c>
      <c r="E115" s="115">
        <f>$D$57+J91+J94</f>
        <v>115.4</v>
      </c>
      <c r="F115" s="115">
        <f>$D$57+L91+L94</f>
        <v>103.4</v>
      </c>
      <c r="G115" s="80"/>
      <c r="H115" s="80"/>
      <c r="I115" s="80"/>
      <c r="J115" s="80"/>
      <c r="K115" s="80"/>
      <c r="L115" s="80"/>
      <c r="M115" s="80"/>
      <c r="N115" s="80"/>
    </row>
    <row r="116">
      <c r="A116" s="102" t="s">
        <v>534</v>
      </c>
      <c r="B116" s="115">
        <f>$B$57+D100+D103</f>
        <v>100.4</v>
      </c>
      <c r="C116" s="115">
        <f>$C$57+F100+F103</f>
        <v>101.4</v>
      </c>
      <c r="D116" s="115">
        <f>$D$57+H100+H103</f>
        <v>103.4</v>
      </c>
      <c r="E116" s="115">
        <f>$D$57+J100+J103</f>
        <v>103.4</v>
      </c>
      <c r="F116" s="115">
        <f>$D$57+L100+L103</f>
        <v>115.4</v>
      </c>
      <c r="G116" s="80"/>
      <c r="H116" s="80"/>
      <c r="I116" s="80"/>
      <c r="J116" s="80"/>
      <c r="K116" s="80"/>
      <c r="L116" s="80"/>
      <c r="M116" s="80"/>
      <c r="N116" s="80"/>
    </row>
    <row r="117">
      <c r="A117" s="102" t="s">
        <v>535</v>
      </c>
      <c r="B117" s="115">
        <f>$B$57+D108</f>
        <v>100.4</v>
      </c>
      <c r="C117" s="115">
        <f>$C$57+F108</f>
        <v>101.4</v>
      </c>
      <c r="D117" s="115">
        <f>$D$57+H108</f>
        <v>103.4</v>
      </c>
      <c r="E117" s="115">
        <f>$D$57+J108</f>
        <v>103.4</v>
      </c>
      <c r="F117" s="115">
        <f>$D$57+L108</f>
        <v>103.4</v>
      </c>
      <c r="G117" s="80"/>
      <c r="H117" s="80"/>
      <c r="I117" s="80"/>
      <c r="J117" s="80"/>
      <c r="K117" s="80"/>
      <c r="L117" s="80"/>
      <c r="M117" s="80"/>
      <c r="N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</row>
  </sheetData>
  <dataValidations>
    <dataValidation type="list" allowBlank="1" showErrorMessage="1" sqref="B3:B13 B36:B37 B39:B40 B42:B45 B47:B49 B51:B53 B63 B72 B81 B90 B99">
      <formula1>"SSS,SS,S,AAA,AA,A,Blue,Green"</formula1>
    </dataValidation>
    <dataValidation type="list" allowBlank="1" showErrorMessage="1" sqref="C3:C13 C36:C37 C39:C40 C42:C45 C47:C49 C51:C53 C63 C72 C81 C90 C99">
      <formula1>"FAME,ART,FTH,CIV,TECH"</formula1>
    </dataValidation>
  </dataValidations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3.27"/>
    <col customWidth="1" min="2" max="2" width="7.82"/>
    <col customWidth="1" min="3" max="3" width="13.09"/>
    <col customWidth="1" min="4" max="4" width="13.55"/>
    <col customWidth="1" min="5" max="5" width="9.55"/>
    <col customWidth="1" min="7" max="7" width="9.55"/>
    <col customWidth="1" min="8" max="8" width="8.0"/>
    <col customWidth="1" min="9" max="9" width="8.09"/>
    <col customWidth="1" min="10" max="10" width="9.73"/>
    <col customWidth="1" min="11" max="11" width="12.91"/>
    <col customWidth="1" min="12" max="12" width="115.55"/>
  </cols>
  <sheetData>
    <row r="1">
      <c r="A1" s="123"/>
      <c r="B1" s="124" t="s">
        <v>1</v>
      </c>
      <c r="C1" s="124" t="s">
        <v>536</v>
      </c>
      <c r="D1" s="68" t="s">
        <v>537</v>
      </c>
      <c r="E1" s="68" t="s">
        <v>538</v>
      </c>
      <c r="F1" s="68" t="s">
        <v>539</v>
      </c>
      <c r="G1" s="68" t="s">
        <v>540</v>
      </c>
      <c r="H1" s="68" t="s">
        <v>541</v>
      </c>
      <c r="I1" s="68" t="s">
        <v>542</v>
      </c>
      <c r="J1" s="68" t="s">
        <v>543</v>
      </c>
      <c r="K1" s="68" t="s">
        <v>544</v>
      </c>
      <c r="L1" s="69" t="s">
        <v>5</v>
      </c>
    </row>
    <row r="2">
      <c r="A2" s="98" t="s">
        <v>163</v>
      </c>
      <c r="B2" s="82"/>
      <c r="C2" s="82"/>
      <c r="D2" s="82"/>
      <c r="E2" s="82"/>
      <c r="F2" s="82"/>
      <c r="G2" s="89"/>
      <c r="H2" s="89"/>
      <c r="I2" s="89"/>
      <c r="J2" s="89"/>
      <c r="K2" s="89"/>
      <c r="L2" s="90"/>
    </row>
    <row r="3">
      <c r="A3" s="70" t="s">
        <v>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</row>
    <row r="4">
      <c r="A4" s="70" t="s">
        <v>545</v>
      </c>
      <c r="B4" s="8" t="s">
        <v>8</v>
      </c>
      <c r="C4" s="8" t="s">
        <v>9</v>
      </c>
      <c r="D4" s="73">
        <v>104.0</v>
      </c>
      <c r="E4" s="73">
        <v>347.0</v>
      </c>
      <c r="F4" s="73">
        <v>30.0</v>
      </c>
      <c r="G4" s="71"/>
      <c r="H4" s="71"/>
      <c r="I4" s="73">
        <v>15.0</v>
      </c>
      <c r="J4" s="73">
        <f t="shared" ref="J4:J28" si="1">D4+I4</f>
        <v>119</v>
      </c>
      <c r="K4" s="73">
        <f t="shared" ref="K4:K5" si="2">E4+I4</f>
        <v>362</v>
      </c>
      <c r="L4" s="74" t="s">
        <v>546</v>
      </c>
    </row>
    <row r="5">
      <c r="A5" s="70" t="s">
        <v>547</v>
      </c>
      <c r="B5" s="8" t="s">
        <v>96</v>
      </c>
      <c r="C5" s="8" t="s">
        <v>9</v>
      </c>
      <c r="D5" s="73">
        <v>100.0</v>
      </c>
      <c r="E5" s="73">
        <v>332.0</v>
      </c>
      <c r="F5" s="71"/>
      <c r="G5" s="71"/>
      <c r="H5" s="71"/>
      <c r="I5" s="71"/>
      <c r="J5" s="73">
        <f t="shared" si="1"/>
        <v>100</v>
      </c>
      <c r="K5" s="73">
        <f t="shared" si="2"/>
        <v>332</v>
      </c>
      <c r="L5" s="74" t="s">
        <v>548</v>
      </c>
    </row>
    <row r="6">
      <c r="A6" s="70" t="s">
        <v>429</v>
      </c>
      <c r="B6" s="8" t="s">
        <v>141</v>
      </c>
      <c r="C6" s="8" t="s">
        <v>9</v>
      </c>
      <c r="D6" s="73">
        <v>70.0</v>
      </c>
      <c r="E6" s="71"/>
      <c r="F6" s="71"/>
      <c r="G6" s="71"/>
      <c r="H6" s="71"/>
      <c r="I6" s="99">
        <v>10.0</v>
      </c>
      <c r="J6" s="73">
        <f t="shared" si="1"/>
        <v>80</v>
      </c>
      <c r="K6" s="73"/>
      <c r="L6" s="109" t="s">
        <v>400</v>
      </c>
    </row>
    <row r="7">
      <c r="A7" s="70" t="s">
        <v>549</v>
      </c>
      <c r="B7" s="8" t="s">
        <v>141</v>
      </c>
      <c r="C7" s="8" t="s">
        <v>9</v>
      </c>
      <c r="D7" s="73">
        <v>71.0</v>
      </c>
      <c r="E7" s="71"/>
      <c r="F7" s="71"/>
      <c r="G7" s="71"/>
      <c r="H7" s="71"/>
      <c r="I7" s="71"/>
      <c r="J7" s="73">
        <f t="shared" si="1"/>
        <v>71</v>
      </c>
      <c r="K7" s="73"/>
      <c r="L7" s="109" t="s">
        <v>338</v>
      </c>
    </row>
    <row r="8">
      <c r="A8" s="70" t="s">
        <v>550</v>
      </c>
      <c r="B8" s="8" t="s">
        <v>417</v>
      </c>
      <c r="C8" s="8" t="s">
        <v>9</v>
      </c>
      <c r="D8" s="73">
        <v>64.0</v>
      </c>
      <c r="E8" s="71"/>
      <c r="F8" s="71"/>
      <c r="G8" s="71"/>
      <c r="H8" s="71"/>
      <c r="I8" s="71"/>
      <c r="J8" s="73">
        <f t="shared" si="1"/>
        <v>64</v>
      </c>
      <c r="K8" s="73"/>
      <c r="L8" s="105" t="s">
        <v>551</v>
      </c>
    </row>
    <row r="9">
      <c r="A9" s="70" t="s">
        <v>341</v>
      </c>
      <c r="B9" s="8" t="s">
        <v>19</v>
      </c>
      <c r="C9" s="8" t="s">
        <v>9</v>
      </c>
      <c r="D9" s="73">
        <v>46.0</v>
      </c>
      <c r="E9" s="71"/>
      <c r="F9" s="71"/>
      <c r="G9" s="71"/>
      <c r="H9" s="71"/>
      <c r="I9" s="71"/>
      <c r="J9" s="73">
        <f t="shared" si="1"/>
        <v>46</v>
      </c>
      <c r="K9" s="73"/>
      <c r="L9" s="105" t="s">
        <v>342</v>
      </c>
    </row>
    <row r="10">
      <c r="A10" s="70" t="s">
        <v>552</v>
      </c>
      <c r="B10" s="8" t="s">
        <v>19</v>
      </c>
      <c r="C10" s="8" t="s">
        <v>9</v>
      </c>
      <c r="D10" s="73">
        <v>45.0</v>
      </c>
      <c r="E10" s="71"/>
      <c r="F10" s="71"/>
      <c r="G10" s="71"/>
      <c r="H10" s="71"/>
      <c r="I10" s="71"/>
      <c r="J10" s="73">
        <f t="shared" si="1"/>
        <v>45</v>
      </c>
      <c r="K10" s="73"/>
      <c r="L10" s="105" t="s">
        <v>553</v>
      </c>
    </row>
    <row r="11">
      <c r="A11" s="70" t="s">
        <v>554</v>
      </c>
      <c r="B11" s="8" t="s">
        <v>19</v>
      </c>
      <c r="C11" s="8" t="s">
        <v>9</v>
      </c>
      <c r="D11" s="73">
        <v>45.0</v>
      </c>
      <c r="E11" s="71"/>
      <c r="F11" s="71"/>
      <c r="G11" s="71"/>
      <c r="H11" s="71"/>
      <c r="I11" s="71"/>
      <c r="J11" s="73">
        <f t="shared" si="1"/>
        <v>45</v>
      </c>
      <c r="K11" s="73"/>
      <c r="L11" s="105" t="s">
        <v>553</v>
      </c>
    </row>
    <row r="12">
      <c r="A12" s="70" t="s">
        <v>555</v>
      </c>
      <c r="B12" s="8" t="s">
        <v>8</v>
      </c>
      <c r="C12" s="8" t="s">
        <v>16</v>
      </c>
      <c r="D12" s="73">
        <v>107.0</v>
      </c>
      <c r="E12" s="73">
        <v>362.0</v>
      </c>
      <c r="F12" s="71"/>
      <c r="G12" s="71"/>
      <c r="H12" s="71"/>
      <c r="I12" s="73">
        <v>15.0</v>
      </c>
      <c r="J12" s="73">
        <f t="shared" si="1"/>
        <v>122</v>
      </c>
      <c r="K12" s="73">
        <f t="shared" ref="K12:K14" si="3">E12+I12</f>
        <v>377</v>
      </c>
      <c r="L12" s="105" t="s">
        <v>556</v>
      </c>
    </row>
    <row r="13">
      <c r="A13" s="70" t="s">
        <v>557</v>
      </c>
      <c r="B13" s="8" t="s">
        <v>8</v>
      </c>
      <c r="C13" s="8" t="s">
        <v>16</v>
      </c>
      <c r="D13" s="73">
        <v>106.0</v>
      </c>
      <c r="E13" s="73">
        <v>362.0</v>
      </c>
      <c r="F13" s="71"/>
      <c r="G13" s="71"/>
      <c r="H13" s="73">
        <v>3000.0</v>
      </c>
      <c r="I13" s="73">
        <v>15.0</v>
      </c>
      <c r="J13" s="73">
        <f t="shared" si="1"/>
        <v>121</v>
      </c>
      <c r="K13" s="73">
        <f t="shared" si="3"/>
        <v>377</v>
      </c>
      <c r="L13" s="105" t="s">
        <v>558</v>
      </c>
    </row>
    <row r="14">
      <c r="A14" s="70" t="s">
        <v>559</v>
      </c>
      <c r="B14" s="8" t="s">
        <v>96</v>
      </c>
      <c r="C14" s="8" t="s">
        <v>16</v>
      </c>
      <c r="D14" s="73">
        <v>99.0</v>
      </c>
      <c r="E14" s="71">
        <f>48+99+63+66+56</f>
        <v>332</v>
      </c>
      <c r="F14" s="71"/>
      <c r="G14" s="71"/>
      <c r="H14" s="71"/>
      <c r="I14" s="71"/>
      <c r="J14" s="73">
        <f t="shared" si="1"/>
        <v>99</v>
      </c>
      <c r="K14" s="73">
        <f t="shared" si="3"/>
        <v>332</v>
      </c>
      <c r="L14" s="105" t="s">
        <v>560</v>
      </c>
    </row>
    <row r="15">
      <c r="A15" s="70" t="s">
        <v>275</v>
      </c>
      <c r="B15" s="8" t="s">
        <v>141</v>
      </c>
      <c r="C15" s="8" t="s">
        <v>16</v>
      </c>
      <c r="D15" s="73">
        <v>69.0</v>
      </c>
      <c r="E15" s="71"/>
      <c r="F15" s="71"/>
      <c r="G15" s="71"/>
      <c r="H15" s="71"/>
      <c r="I15" s="71"/>
      <c r="J15" s="73">
        <f t="shared" si="1"/>
        <v>69</v>
      </c>
      <c r="K15" s="73"/>
      <c r="L15" s="105" t="s">
        <v>256</v>
      </c>
    </row>
    <row r="16">
      <c r="A16" s="70" t="s">
        <v>561</v>
      </c>
      <c r="B16" s="8" t="s">
        <v>96</v>
      </c>
      <c r="C16" s="99" t="s">
        <v>20</v>
      </c>
      <c r="D16" s="73">
        <v>99.0</v>
      </c>
      <c r="E16" s="73">
        <v>332.0</v>
      </c>
      <c r="F16" s="71"/>
      <c r="G16" s="73">
        <v>30.0</v>
      </c>
      <c r="H16" s="71"/>
      <c r="I16" s="71"/>
      <c r="J16" s="73">
        <f t="shared" si="1"/>
        <v>99</v>
      </c>
      <c r="K16" s="73">
        <f>E16+I16</f>
        <v>332</v>
      </c>
      <c r="L16" s="74" t="s">
        <v>562</v>
      </c>
    </row>
    <row r="17">
      <c r="A17" s="70" t="s">
        <v>563</v>
      </c>
      <c r="B17" s="8" t="s">
        <v>15</v>
      </c>
      <c r="C17" s="99" t="s">
        <v>20</v>
      </c>
      <c r="D17" s="73">
        <v>72.0</v>
      </c>
      <c r="E17" s="71"/>
      <c r="F17" s="71"/>
      <c r="G17" s="71"/>
      <c r="H17" s="71"/>
      <c r="I17" s="73">
        <v>10.0</v>
      </c>
      <c r="J17" s="73">
        <f t="shared" si="1"/>
        <v>82</v>
      </c>
      <c r="K17" s="73"/>
      <c r="L17" s="74" t="s">
        <v>564</v>
      </c>
    </row>
    <row r="18">
      <c r="A18" s="70" t="s">
        <v>565</v>
      </c>
      <c r="B18" s="8" t="s">
        <v>141</v>
      </c>
      <c r="C18" s="99" t="s">
        <v>20</v>
      </c>
      <c r="D18" s="73">
        <v>66.0</v>
      </c>
      <c r="E18" s="71"/>
      <c r="F18" s="71"/>
      <c r="G18" s="71"/>
      <c r="H18" s="71"/>
      <c r="I18" s="71"/>
      <c r="J18" s="73">
        <f t="shared" si="1"/>
        <v>66</v>
      </c>
      <c r="K18" s="73"/>
      <c r="L18" s="74" t="s">
        <v>258</v>
      </c>
    </row>
    <row r="19">
      <c r="A19" s="70" t="s">
        <v>129</v>
      </c>
      <c r="B19" s="8" t="s">
        <v>19</v>
      </c>
      <c r="C19" s="99" t="s">
        <v>20</v>
      </c>
      <c r="D19" s="73">
        <v>45.0</v>
      </c>
      <c r="E19" s="71"/>
      <c r="F19" s="71"/>
      <c r="G19" s="71"/>
      <c r="H19" s="71"/>
      <c r="I19" s="71"/>
      <c r="J19" s="73">
        <f t="shared" si="1"/>
        <v>45</v>
      </c>
      <c r="K19" s="73"/>
      <c r="L19" s="74" t="s">
        <v>130</v>
      </c>
    </row>
    <row r="20">
      <c r="A20" s="70" t="s">
        <v>165</v>
      </c>
      <c r="B20" s="8" t="s">
        <v>8</v>
      </c>
      <c r="C20" s="99" t="s">
        <v>12</v>
      </c>
      <c r="D20" s="73">
        <v>110.0</v>
      </c>
      <c r="E20" s="73">
        <v>365.0</v>
      </c>
      <c r="F20" s="71"/>
      <c r="G20" s="71"/>
      <c r="H20" s="71"/>
      <c r="I20" s="71"/>
      <c r="J20" s="73">
        <f t="shared" si="1"/>
        <v>110</v>
      </c>
      <c r="K20" s="73">
        <f t="shared" ref="K20:K21" si="4">E20+I20</f>
        <v>365</v>
      </c>
      <c r="L20" s="74" t="s">
        <v>566</v>
      </c>
    </row>
    <row r="21">
      <c r="A21" s="70" t="s">
        <v>567</v>
      </c>
      <c r="B21" s="8" t="s">
        <v>8</v>
      </c>
      <c r="C21" s="99" t="s">
        <v>12</v>
      </c>
      <c r="D21" s="73">
        <v>106.0</v>
      </c>
      <c r="E21" s="73">
        <v>362.0</v>
      </c>
      <c r="F21" s="73">
        <v>30.0</v>
      </c>
      <c r="G21" s="71"/>
      <c r="H21" s="71"/>
      <c r="I21" s="71"/>
      <c r="J21" s="73">
        <f t="shared" si="1"/>
        <v>106</v>
      </c>
      <c r="K21" s="73">
        <f t="shared" si="4"/>
        <v>362</v>
      </c>
      <c r="L21" s="74" t="s">
        <v>568</v>
      </c>
    </row>
    <row r="22">
      <c r="A22" s="70" t="s">
        <v>465</v>
      </c>
      <c r="B22" s="8" t="s">
        <v>15</v>
      </c>
      <c r="C22" s="99" t="s">
        <v>12</v>
      </c>
      <c r="D22" s="73">
        <v>75.0</v>
      </c>
      <c r="E22" s="71"/>
      <c r="F22" s="71"/>
      <c r="G22" s="71"/>
      <c r="H22" s="71"/>
      <c r="I22" s="71"/>
      <c r="J22" s="73">
        <f t="shared" si="1"/>
        <v>75</v>
      </c>
      <c r="K22" s="73"/>
      <c r="L22" s="74" t="s">
        <v>312</v>
      </c>
    </row>
    <row r="23">
      <c r="A23" s="70" t="s">
        <v>569</v>
      </c>
      <c r="B23" s="8" t="s">
        <v>15</v>
      </c>
      <c r="C23" s="99" t="s">
        <v>12</v>
      </c>
      <c r="D23" s="73">
        <v>73.0</v>
      </c>
      <c r="E23" s="71"/>
      <c r="F23" s="71"/>
      <c r="G23" s="71"/>
      <c r="H23" s="71"/>
      <c r="I23" s="71"/>
      <c r="J23" s="73">
        <f t="shared" si="1"/>
        <v>73</v>
      </c>
      <c r="K23" s="73"/>
      <c r="L23" s="74" t="s">
        <v>570</v>
      </c>
    </row>
    <row r="24">
      <c r="A24" s="70" t="s">
        <v>571</v>
      </c>
      <c r="B24" s="8" t="s">
        <v>19</v>
      </c>
      <c r="C24" s="99" t="s">
        <v>12</v>
      </c>
      <c r="D24" s="73">
        <v>44.0</v>
      </c>
      <c r="E24" s="71"/>
      <c r="F24" s="71"/>
      <c r="G24" s="71"/>
      <c r="H24" s="71"/>
      <c r="I24" s="71"/>
      <c r="J24" s="73">
        <f t="shared" si="1"/>
        <v>44</v>
      </c>
      <c r="K24" s="73"/>
      <c r="L24" s="74" t="s">
        <v>284</v>
      </c>
    </row>
    <row r="25">
      <c r="A25" s="70" t="s">
        <v>572</v>
      </c>
      <c r="B25" s="8" t="s">
        <v>8</v>
      </c>
      <c r="C25" s="99" t="s">
        <v>40</v>
      </c>
      <c r="D25" s="73">
        <v>109.0</v>
      </c>
      <c r="E25" s="73">
        <v>362.0</v>
      </c>
      <c r="F25" s="71"/>
      <c r="G25" s="71"/>
      <c r="H25" s="71"/>
      <c r="I25" s="73">
        <v>15.0</v>
      </c>
      <c r="J25" s="73">
        <f t="shared" si="1"/>
        <v>124</v>
      </c>
      <c r="K25" s="73">
        <f t="shared" ref="K25:K27" si="5">E25+I25</f>
        <v>377</v>
      </c>
      <c r="L25" s="74" t="s">
        <v>573</v>
      </c>
    </row>
    <row r="26">
      <c r="A26" s="70" t="s">
        <v>574</v>
      </c>
      <c r="B26" s="8" t="s">
        <v>96</v>
      </c>
      <c r="C26" s="99" t="s">
        <v>40</v>
      </c>
      <c r="D26" s="73">
        <v>97.0</v>
      </c>
      <c r="E26" s="73">
        <v>332.0</v>
      </c>
      <c r="F26" s="71"/>
      <c r="G26" s="71"/>
      <c r="H26" s="71"/>
      <c r="I26" s="73">
        <v>15.0</v>
      </c>
      <c r="J26" s="73">
        <f t="shared" si="1"/>
        <v>112</v>
      </c>
      <c r="K26" s="73">
        <f t="shared" si="5"/>
        <v>347</v>
      </c>
      <c r="L26" s="74" t="s">
        <v>367</v>
      </c>
    </row>
    <row r="27">
      <c r="A27" s="70" t="s">
        <v>575</v>
      </c>
      <c r="B27" s="8" t="s">
        <v>8</v>
      </c>
      <c r="C27" s="99" t="s">
        <v>40</v>
      </c>
      <c r="D27" s="73">
        <v>106.0</v>
      </c>
      <c r="E27" s="73">
        <v>362.0</v>
      </c>
      <c r="F27" s="71"/>
      <c r="G27" s="71"/>
      <c r="H27" s="71"/>
      <c r="I27" s="71"/>
      <c r="J27" s="73">
        <f t="shared" si="1"/>
        <v>106</v>
      </c>
      <c r="K27" s="73">
        <f t="shared" si="5"/>
        <v>362</v>
      </c>
      <c r="L27" s="74" t="s">
        <v>576</v>
      </c>
    </row>
    <row r="28">
      <c r="A28" s="75" t="s">
        <v>577</v>
      </c>
      <c r="B28" s="96" t="s">
        <v>19</v>
      </c>
      <c r="C28" s="125" t="s">
        <v>40</v>
      </c>
      <c r="D28" s="77">
        <v>46.0</v>
      </c>
      <c r="E28" s="76"/>
      <c r="F28" s="76"/>
      <c r="G28" s="76"/>
      <c r="H28" s="76"/>
      <c r="I28" s="76"/>
      <c r="J28" s="77">
        <f t="shared" si="1"/>
        <v>46</v>
      </c>
      <c r="K28" s="77"/>
      <c r="L28" s="84" t="s">
        <v>119</v>
      </c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</row>
    <row r="31">
      <c r="A31" s="67" t="s">
        <v>578</v>
      </c>
      <c r="B31" s="82"/>
      <c r="C31" s="68" t="s">
        <v>579</v>
      </c>
      <c r="D31" s="68" t="s">
        <v>580</v>
      </c>
      <c r="E31" s="68" t="s">
        <v>581</v>
      </c>
      <c r="F31" s="68" t="s">
        <v>539</v>
      </c>
      <c r="G31" s="68" t="s">
        <v>540</v>
      </c>
      <c r="H31" s="69" t="s">
        <v>541</v>
      </c>
      <c r="I31" s="80"/>
      <c r="J31" s="80"/>
      <c r="K31" s="80"/>
      <c r="L31" s="80"/>
    </row>
    <row r="32">
      <c r="A32" s="126">
        <v>1.0</v>
      </c>
      <c r="B32" s="99" t="s">
        <v>582</v>
      </c>
      <c r="C32" s="87"/>
      <c r="D32" s="99" t="s">
        <v>583</v>
      </c>
      <c r="E32" s="91">
        <f>K13</f>
        <v>377</v>
      </c>
      <c r="F32" s="87"/>
      <c r="G32" s="87"/>
      <c r="H32" s="127">
        <f>H13</f>
        <v>3000</v>
      </c>
      <c r="I32" s="80"/>
      <c r="J32" s="80"/>
      <c r="K32" s="80"/>
      <c r="L32" s="80"/>
    </row>
    <row r="33">
      <c r="A33" s="126">
        <v>2.0</v>
      </c>
      <c r="B33" s="8" t="s">
        <v>20</v>
      </c>
      <c r="C33" s="99" t="s">
        <v>584</v>
      </c>
      <c r="D33" s="99" t="s">
        <v>584</v>
      </c>
      <c r="E33" s="91">
        <f>J16</f>
        <v>99</v>
      </c>
      <c r="F33" s="87"/>
      <c r="G33" s="91">
        <f>G16</f>
        <v>30</v>
      </c>
      <c r="H33" s="88"/>
      <c r="I33" s="80"/>
      <c r="J33" s="80"/>
      <c r="K33" s="80"/>
      <c r="L33" s="80"/>
    </row>
    <row r="34">
      <c r="A34" s="126">
        <v>3.0</v>
      </c>
      <c r="B34" s="8" t="s">
        <v>9</v>
      </c>
      <c r="C34" s="99" t="s">
        <v>585</v>
      </c>
      <c r="D34" s="99" t="s">
        <v>585</v>
      </c>
      <c r="E34" s="91">
        <f>J11</f>
        <v>45</v>
      </c>
      <c r="F34" s="87"/>
      <c r="G34" s="87"/>
      <c r="H34" s="88"/>
      <c r="I34" s="80"/>
      <c r="J34" s="80"/>
      <c r="K34" s="80"/>
      <c r="L34" s="80"/>
    </row>
    <row r="35">
      <c r="A35" s="126">
        <v>4.0</v>
      </c>
      <c r="B35" s="8" t="s">
        <v>9</v>
      </c>
      <c r="C35" s="99" t="s">
        <v>586</v>
      </c>
      <c r="D35" s="99" t="s">
        <v>586</v>
      </c>
      <c r="E35" s="91">
        <f>J10</f>
        <v>45</v>
      </c>
      <c r="F35" s="87"/>
      <c r="G35" s="87"/>
      <c r="H35" s="88"/>
      <c r="I35" s="80"/>
      <c r="J35" s="80"/>
      <c r="K35" s="80"/>
      <c r="L35" s="80"/>
    </row>
    <row r="36">
      <c r="A36" s="126">
        <v>5.0</v>
      </c>
      <c r="B36" s="8" t="s">
        <v>9</v>
      </c>
      <c r="C36" s="87"/>
      <c r="D36" s="99" t="s">
        <v>587</v>
      </c>
      <c r="E36" s="91">
        <f>J4</f>
        <v>119</v>
      </c>
      <c r="F36" s="91">
        <f>F4</f>
        <v>30</v>
      </c>
      <c r="G36" s="87"/>
      <c r="H36" s="88"/>
      <c r="I36" s="80"/>
      <c r="J36" s="80"/>
      <c r="K36" s="80"/>
      <c r="L36" s="80"/>
    </row>
    <row r="37">
      <c r="A37" s="126">
        <v>6.0</v>
      </c>
      <c r="B37" s="8" t="s">
        <v>16</v>
      </c>
      <c r="C37" s="87"/>
      <c r="D37" s="99" t="s">
        <v>588</v>
      </c>
      <c r="E37" s="91">
        <f>J12</f>
        <v>122</v>
      </c>
      <c r="F37" s="87"/>
      <c r="G37" s="87"/>
      <c r="H37" s="88"/>
      <c r="I37" s="80"/>
      <c r="J37" s="80"/>
      <c r="K37" s="80"/>
      <c r="L37" s="80"/>
    </row>
    <row r="38">
      <c r="A38" s="126">
        <v>7.0</v>
      </c>
      <c r="B38" s="8" t="s">
        <v>16</v>
      </c>
      <c r="C38" s="87"/>
      <c r="D38" s="99" t="s">
        <v>589</v>
      </c>
      <c r="E38" s="91">
        <v>100.0</v>
      </c>
      <c r="F38" s="87"/>
      <c r="G38" s="87"/>
      <c r="H38" s="88"/>
      <c r="I38" s="80"/>
      <c r="J38" s="80"/>
      <c r="K38" s="80"/>
      <c r="L38" s="80"/>
    </row>
    <row r="39">
      <c r="A39" s="126">
        <v>8.0</v>
      </c>
      <c r="B39" s="8" t="s">
        <v>16</v>
      </c>
      <c r="C39" s="87"/>
      <c r="D39" s="99" t="s">
        <v>589</v>
      </c>
      <c r="E39" s="91">
        <v>100.0</v>
      </c>
      <c r="F39" s="87"/>
      <c r="G39" s="87"/>
      <c r="H39" s="88"/>
      <c r="I39" s="80"/>
      <c r="J39" s="80"/>
      <c r="K39" s="80"/>
      <c r="L39" s="80"/>
    </row>
    <row r="40">
      <c r="A40" s="126">
        <v>9.0</v>
      </c>
      <c r="B40" s="8" t="s">
        <v>20</v>
      </c>
      <c r="C40" s="87"/>
      <c r="D40" s="99" t="s">
        <v>589</v>
      </c>
      <c r="E40" s="91">
        <v>100.0</v>
      </c>
      <c r="F40" s="87"/>
      <c r="G40" s="87"/>
      <c r="H40" s="88"/>
      <c r="I40" s="80"/>
      <c r="J40" s="80"/>
      <c r="K40" s="80"/>
      <c r="L40" s="80"/>
    </row>
    <row r="41">
      <c r="A41" s="126">
        <v>10.0</v>
      </c>
      <c r="B41" s="8" t="s">
        <v>20</v>
      </c>
      <c r="C41" s="87"/>
      <c r="D41" s="99" t="s">
        <v>589</v>
      </c>
      <c r="E41" s="91">
        <v>100.0</v>
      </c>
      <c r="F41" s="87"/>
      <c r="G41" s="87"/>
      <c r="H41" s="88"/>
      <c r="I41" s="80"/>
      <c r="J41" s="80"/>
      <c r="K41" s="80"/>
      <c r="L41" s="80"/>
    </row>
    <row r="42">
      <c r="A42" s="126">
        <v>11.0</v>
      </c>
      <c r="B42" s="8" t="s">
        <v>12</v>
      </c>
      <c r="C42" s="87"/>
      <c r="D42" s="99" t="s">
        <v>590</v>
      </c>
      <c r="E42" s="91">
        <f t="shared" ref="E42:E43" si="6">J20</f>
        <v>110</v>
      </c>
      <c r="F42" s="87"/>
      <c r="G42" s="87"/>
      <c r="H42" s="88"/>
      <c r="I42" s="80"/>
      <c r="J42" s="80"/>
      <c r="K42" s="80"/>
      <c r="L42" s="80"/>
    </row>
    <row r="43">
      <c r="A43" s="126">
        <v>12.0</v>
      </c>
      <c r="B43" s="8" t="s">
        <v>12</v>
      </c>
      <c r="C43" s="87"/>
      <c r="D43" s="99" t="s">
        <v>591</v>
      </c>
      <c r="E43" s="91">
        <f t="shared" si="6"/>
        <v>106</v>
      </c>
      <c r="F43" s="91">
        <f>F21</f>
        <v>30</v>
      </c>
      <c r="G43" s="87"/>
      <c r="H43" s="88"/>
      <c r="I43" s="80"/>
      <c r="J43" s="80"/>
      <c r="K43" s="80"/>
      <c r="L43" s="80"/>
    </row>
    <row r="44">
      <c r="A44" s="126">
        <v>13.0</v>
      </c>
      <c r="B44" s="8" t="s">
        <v>12</v>
      </c>
      <c r="C44" s="87"/>
      <c r="D44" s="99" t="s">
        <v>589</v>
      </c>
      <c r="E44" s="91">
        <v>100.0</v>
      </c>
      <c r="F44" s="87"/>
      <c r="G44" s="87"/>
      <c r="H44" s="88"/>
      <c r="I44" s="80"/>
      <c r="J44" s="80"/>
      <c r="K44" s="80"/>
      <c r="L44" s="80"/>
    </row>
    <row r="45">
      <c r="A45" s="126">
        <v>14.0</v>
      </c>
      <c r="B45" s="8" t="s">
        <v>40</v>
      </c>
      <c r="C45" s="87"/>
      <c r="D45" s="99" t="s">
        <v>592</v>
      </c>
      <c r="E45" s="91">
        <f t="shared" ref="E45:E47" si="7">J25</f>
        <v>124</v>
      </c>
      <c r="F45" s="87"/>
      <c r="G45" s="87"/>
      <c r="H45" s="88"/>
      <c r="I45" s="80"/>
      <c r="J45" s="80"/>
      <c r="K45" s="80"/>
      <c r="L45" s="80"/>
    </row>
    <row r="46">
      <c r="A46" s="126">
        <v>15.0</v>
      </c>
      <c r="B46" s="8" t="s">
        <v>40</v>
      </c>
      <c r="C46" s="87"/>
      <c r="D46" s="99" t="s">
        <v>593</v>
      </c>
      <c r="E46" s="91">
        <f t="shared" si="7"/>
        <v>112</v>
      </c>
      <c r="F46" s="87"/>
      <c r="G46" s="87"/>
      <c r="H46" s="88"/>
      <c r="I46" s="80"/>
      <c r="J46" s="80"/>
      <c r="K46" s="80"/>
      <c r="L46" s="80"/>
    </row>
    <row r="47">
      <c r="A47" s="126">
        <v>16.0</v>
      </c>
      <c r="B47" s="8" t="s">
        <v>40</v>
      </c>
      <c r="C47" s="87"/>
      <c r="D47" s="99" t="s">
        <v>594</v>
      </c>
      <c r="E47" s="91">
        <f t="shared" si="7"/>
        <v>106</v>
      </c>
      <c r="F47" s="87"/>
      <c r="G47" s="87"/>
      <c r="H47" s="88"/>
      <c r="I47" s="80"/>
      <c r="J47" s="80"/>
      <c r="K47" s="80"/>
      <c r="L47" s="80"/>
    </row>
    <row r="48">
      <c r="A48" s="128"/>
      <c r="B48" s="93"/>
      <c r="C48" s="93"/>
      <c r="D48" s="125" t="s">
        <v>595</v>
      </c>
      <c r="E48" s="94">
        <f t="shared" ref="E48:H48" si="8">SUM(E32:E47)</f>
        <v>1865</v>
      </c>
      <c r="F48" s="94">
        <f t="shared" si="8"/>
        <v>60</v>
      </c>
      <c r="G48" s="94">
        <f t="shared" si="8"/>
        <v>30</v>
      </c>
      <c r="H48" s="94">
        <f t="shared" si="8"/>
        <v>3000</v>
      </c>
      <c r="I48" s="80"/>
      <c r="J48" s="80"/>
      <c r="K48" s="80"/>
      <c r="L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</row>
    <row r="62">
      <c r="A62" s="123"/>
      <c r="B62" s="89"/>
      <c r="C62" s="89"/>
      <c r="D62" s="68" t="s">
        <v>537</v>
      </c>
      <c r="E62" s="68" t="s">
        <v>538</v>
      </c>
      <c r="F62" s="68" t="s">
        <v>539</v>
      </c>
      <c r="G62" s="68" t="s">
        <v>540</v>
      </c>
      <c r="H62" s="68" t="s">
        <v>541</v>
      </c>
      <c r="I62" s="68" t="s">
        <v>542</v>
      </c>
      <c r="J62" s="68" t="s">
        <v>543</v>
      </c>
      <c r="K62" s="68" t="s">
        <v>544</v>
      </c>
      <c r="L62" s="129" t="s">
        <v>5</v>
      </c>
    </row>
    <row r="63">
      <c r="A63" s="130" t="s">
        <v>169</v>
      </c>
      <c r="B63" s="71"/>
      <c r="C63" s="71"/>
      <c r="D63" s="71"/>
      <c r="E63" s="71"/>
      <c r="F63" s="71"/>
      <c r="G63" s="87"/>
      <c r="H63" s="87"/>
      <c r="I63" s="87"/>
      <c r="J63" s="87"/>
      <c r="K63" s="87"/>
      <c r="L63" s="88"/>
    </row>
    <row r="64">
      <c r="A64" s="70" t="s">
        <v>6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2"/>
    </row>
    <row r="65">
      <c r="A65" s="70" t="s">
        <v>596</v>
      </c>
      <c r="B65" s="8" t="s">
        <v>8</v>
      </c>
      <c r="C65" s="8" t="s">
        <v>9</v>
      </c>
      <c r="D65" s="73">
        <v>107.0</v>
      </c>
      <c r="E65" s="99">
        <v>362.0</v>
      </c>
      <c r="F65" s="99"/>
      <c r="G65" s="71"/>
      <c r="H65" s="99">
        <v>3000.0</v>
      </c>
      <c r="I65" s="99">
        <v>15.0</v>
      </c>
      <c r="J65" s="73">
        <f t="shared" ref="J65:J99" si="9">D65+I65</f>
        <v>122</v>
      </c>
      <c r="K65" s="73">
        <f t="shared" ref="K65:K67" si="10">E65+I65</f>
        <v>377</v>
      </c>
      <c r="L65" s="105" t="s">
        <v>597</v>
      </c>
    </row>
    <row r="66">
      <c r="A66" s="70" t="s">
        <v>598</v>
      </c>
      <c r="B66" s="8" t="s">
        <v>8</v>
      </c>
      <c r="C66" s="8" t="s">
        <v>9</v>
      </c>
      <c r="D66" s="73">
        <v>106.0</v>
      </c>
      <c r="E66" s="99">
        <f>106+62+49+69+76</f>
        <v>362</v>
      </c>
      <c r="F66" s="99">
        <v>30.0</v>
      </c>
      <c r="G66" s="71"/>
      <c r="H66" s="71"/>
      <c r="I66" s="71"/>
      <c r="J66" s="73">
        <f t="shared" si="9"/>
        <v>106</v>
      </c>
      <c r="K66" s="73">
        <f t="shared" si="10"/>
        <v>362</v>
      </c>
      <c r="L66" s="105" t="s">
        <v>599</v>
      </c>
    </row>
    <row r="67">
      <c r="A67" s="70" t="s">
        <v>600</v>
      </c>
      <c r="B67" s="8" t="s">
        <v>54</v>
      </c>
      <c r="C67" s="8" t="s">
        <v>9</v>
      </c>
      <c r="D67" s="73">
        <v>104.0</v>
      </c>
      <c r="E67" s="99">
        <f>104+57+52+68+66</f>
        <v>347</v>
      </c>
      <c r="F67" s="71"/>
      <c r="G67" s="71"/>
      <c r="H67" s="71"/>
      <c r="I67" s="71"/>
      <c r="J67" s="73">
        <f t="shared" si="9"/>
        <v>104</v>
      </c>
      <c r="K67" s="73">
        <f t="shared" si="10"/>
        <v>347</v>
      </c>
      <c r="L67" s="105" t="s">
        <v>601</v>
      </c>
    </row>
    <row r="68">
      <c r="A68" s="70" t="s">
        <v>602</v>
      </c>
      <c r="B68" s="8" t="s">
        <v>19</v>
      </c>
      <c r="C68" s="8" t="s">
        <v>9</v>
      </c>
      <c r="D68" s="73">
        <v>48.0</v>
      </c>
      <c r="E68" s="71"/>
      <c r="F68" s="71"/>
      <c r="G68" s="71"/>
      <c r="H68" s="71"/>
      <c r="I68" s="71"/>
      <c r="J68" s="73">
        <f t="shared" si="9"/>
        <v>48</v>
      </c>
      <c r="K68" s="73"/>
      <c r="L68" s="105" t="s">
        <v>603</v>
      </c>
    </row>
    <row r="69">
      <c r="A69" s="70" t="s">
        <v>170</v>
      </c>
      <c r="B69" s="8" t="s">
        <v>8</v>
      </c>
      <c r="C69" s="8" t="s">
        <v>16</v>
      </c>
      <c r="D69" s="73">
        <v>110.0</v>
      </c>
      <c r="E69" s="73">
        <v>363.0</v>
      </c>
      <c r="F69" s="71"/>
      <c r="G69" s="71"/>
      <c r="H69" s="71"/>
      <c r="I69" s="71"/>
      <c r="J69" s="73">
        <f t="shared" si="9"/>
        <v>110</v>
      </c>
      <c r="K69" s="73">
        <f t="shared" ref="K69:K72" si="11">E69+I69</f>
        <v>363</v>
      </c>
      <c r="L69" s="105" t="s">
        <v>171</v>
      </c>
    </row>
    <row r="70">
      <c r="A70" s="70" t="s">
        <v>604</v>
      </c>
      <c r="B70" s="8" t="s">
        <v>8</v>
      </c>
      <c r="C70" s="8" t="s">
        <v>16</v>
      </c>
      <c r="D70" s="73">
        <v>109.0</v>
      </c>
      <c r="E70" s="73">
        <v>362.0</v>
      </c>
      <c r="F70" s="71"/>
      <c r="G70" s="71"/>
      <c r="H70" s="71"/>
      <c r="I70" s="71"/>
      <c r="J70" s="73">
        <f t="shared" si="9"/>
        <v>109</v>
      </c>
      <c r="K70" s="73">
        <f t="shared" si="11"/>
        <v>362</v>
      </c>
      <c r="L70" s="105" t="s">
        <v>568</v>
      </c>
    </row>
    <row r="71">
      <c r="A71" s="70" t="s">
        <v>605</v>
      </c>
      <c r="B71" s="8" t="s">
        <v>54</v>
      </c>
      <c r="C71" s="8" t="s">
        <v>16</v>
      </c>
      <c r="D71" s="73">
        <v>103.0</v>
      </c>
      <c r="E71" s="71">
        <f>52+103+67+70+55</f>
        <v>347</v>
      </c>
      <c r="F71" s="71"/>
      <c r="G71" s="71"/>
      <c r="H71" s="71"/>
      <c r="I71" s="99">
        <v>15.0</v>
      </c>
      <c r="J71" s="73">
        <f t="shared" si="9"/>
        <v>118</v>
      </c>
      <c r="K71" s="73">
        <f t="shared" si="11"/>
        <v>362</v>
      </c>
      <c r="L71" s="105" t="s">
        <v>606</v>
      </c>
    </row>
    <row r="72">
      <c r="A72" s="70" t="s">
        <v>607</v>
      </c>
      <c r="B72" s="8" t="s">
        <v>15</v>
      </c>
      <c r="C72" s="8" t="s">
        <v>16</v>
      </c>
      <c r="D72" s="73">
        <v>73.0</v>
      </c>
      <c r="E72" s="71"/>
      <c r="F72" s="71"/>
      <c r="G72" s="71"/>
      <c r="H72" s="71"/>
      <c r="I72" s="99">
        <v>10.0</v>
      </c>
      <c r="J72" s="73">
        <f t="shared" si="9"/>
        <v>83</v>
      </c>
      <c r="K72" s="73">
        <f t="shared" si="11"/>
        <v>10</v>
      </c>
      <c r="L72" s="109" t="s">
        <v>608</v>
      </c>
    </row>
    <row r="73">
      <c r="A73" s="70" t="s">
        <v>609</v>
      </c>
      <c r="B73" s="8" t="s">
        <v>141</v>
      </c>
      <c r="C73" s="8" t="s">
        <v>16</v>
      </c>
      <c r="D73" s="73">
        <v>67.0</v>
      </c>
      <c r="E73" s="71"/>
      <c r="F73" s="71"/>
      <c r="G73" s="71"/>
      <c r="H73" s="71"/>
      <c r="I73" s="71"/>
      <c r="J73" s="73">
        <f t="shared" si="9"/>
        <v>67</v>
      </c>
      <c r="K73" s="73"/>
      <c r="L73" s="105" t="s">
        <v>610</v>
      </c>
    </row>
    <row r="74">
      <c r="A74" s="70" t="s">
        <v>103</v>
      </c>
      <c r="B74" s="8" t="s">
        <v>19</v>
      </c>
      <c r="C74" s="8" t="s">
        <v>16</v>
      </c>
      <c r="D74" s="73">
        <v>48.0</v>
      </c>
      <c r="E74" s="71"/>
      <c r="F74" s="71"/>
      <c r="G74" s="71"/>
      <c r="H74" s="71"/>
      <c r="I74" s="71"/>
      <c r="J74" s="73">
        <f t="shared" si="9"/>
        <v>48</v>
      </c>
      <c r="K74" s="73"/>
      <c r="L74" s="105" t="s">
        <v>104</v>
      </c>
    </row>
    <row r="75">
      <c r="A75" s="70" t="s">
        <v>611</v>
      </c>
      <c r="B75" s="8" t="s">
        <v>19</v>
      </c>
      <c r="C75" s="8" t="s">
        <v>16</v>
      </c>
      <c r="D75" s="73">
        <v>48.0</v>
      </c>
      <c r="E75" s="71"/>
      <c r="F75" s="71"/>
      <c r="G75" s="71"/>
      <c r="H75" s="71"/>
      <c r="I75" s="71"/>
      <c r="J75" s="73">
        <f t="shared" si="9"/>
        <v>48</v>
      </c>
      <c r="K75" s="73"/>
      <c r="L75" s="105" t="s">
        <v>612</v>
      </c>
    </row>
    <row r="76">
      <c r="A76" s="70" t="s">
        <v>613</v>
      </c>
      <c r="B76" s="8" t="s">
        <v>19</v>
      </c>
      <c r="C76" s="8" t="s">
        <v>16</v>
      </c>
      <c r="D76" s="73">
        <v>47.0</v>
      </c>
      <c r="E76" s="71"/>
      <c r="F76" s="71"/>
      <c r="G76" s="71"/>
      <c r="H76" s="71"/>
      <c r="I76" s="71"/>
      <c r="J76" s="73">
        <f t="shared" si="9"/>
        <v>47</v>
      </c>
      <c r="K76" s="73"/>
      <c r="L76" s="105" t="s">
        <v>614</v>
      </c>
    </row>
    <row r="77">
      <c r="A77" s="70" t="s">
        <v>615</v>
      </c>
      <c r="B77" s="8" t="s">
        <v>8</v>
      </c>
      <c r="C77" s="99" t="s">
        <v>20</v>
      </c>
      <c r="D77" s="73">
        <v>106.0</v>
      </c>
      <c r="E77" s="73">
        <f>63+74+106+50+69</f>
        <v>362</v>
      </c>
      <c r="F77" s="99">
        <v>30.0</v>
      </c>
      <c r="G77" s="71"/>
      <c r="H77" s="71"/>
      <c r="I77" s="99">
        <v>15.0</v>
      </c>
      <c r="J77" s="73">
        <f t="shared" si="9"/>
        <v>121</v>
      </c>
      <c r="K77" s="73">
        <f t="shared" ref="K77:K79" si="12">E77+I77</f>
        <v>377</v>
      </c>
      <c r="L77" s="105" t="s">
        <v>616</v>
      </c>
    </row>
    <row r="78">
      <c r="A78" s="70" t="s">
        <v>617</v>
      </c>
      <c r="B78" s="8" t="s">
        <v>54</v>
      </c>
      <c r="C78" s="99" t="s">
        <v>20</v>
      </c>
      <c r="D78" s="73">
        <v>103.0</v>
      </c>
      <c r="E78" s="73">
        <f>61+64+103+55+64</f>
        <v>347</v>
      </c>
      <c r="F78" s="71"/>
      <c r="G78" s="71"/>
      <c r="H78" s="71"/>
      <c r="I78" s="71"/>
      <c r="J78" s="73">
        <f t="shared" si="9"/>
        <v>103</v>
      </c>
      <c r="K78" s="73">
        <f t="shared" si="12"/>
        <v>347</v>
      </c>
      <c r="L78" s="105" t="s">
        <v>618</v>
      </c>
    </row>
    <row r="79">
      <c r="A79" s="70" t="s">
        <v>619</v>
      </c>
      <c r="B79" s="8" t="s">
        <v>96</v>
      </c>
      <c r="C79" s="99" t="s">
        <v>20</v>
      </c>
      <c r="D79" s="73">
        <v>100.0</v>
      </c>
      <c r="E79" s="73">
        <v>332.0</v>
      </c>
      <c r="F79" s="71"/>
      <c r="G79" s="71"/>
      <c r="H79" s="71"/>
      <c r="I79" s="71"/>
      <c r="J79" s="73">
        <f t="shared" si="9"/>
        <v>100</v>
      </c>
      <c r="K79" s="73">
        <f t="shared" si="12"/>
        <v>332</v>
      </c>
      <c r="L79" s="105" t="s">
        <v>620</v>
      </c>
    </row>
    <row r="80">
      <c r="A80" s="70" t="s">
        <v>621</v>
      </c>
      <c r="B80" s="8" t="s">
        <v>15</v>
      </c>
      <c r="C80" s="99" t="s">
        <v>20</v>
      </c>
      <c r="D80" s="73">
        <v>75.0</v>
      </c>
      <c r="E80" s="71"/>
      <c r="F80" s="71"/>
      <c r="G80" s="71"/>
      <c r="H80" s="71"/>
      <c r="I80" s="71"/>
      <c r="J80" s="73">
        <f t="shared" si="9"/>
        <v>75</v>
      </c>
      <c r="K80" s="73"/>
      <c r="L80" s="105" t="s">
        <v>139</v>
      </c>
    </row>
    <row r="81">
      <c r="A81" s="70" t="s">
        <v>622</v>
      </c>
      <c r="B81" s="8" t="s">
        <v>141</v>
      </c>
      <c r="C81" s="99" t="s">
        <v>20</v>
      </c>
      <c r="D81" s="73">
        <v>79.0</v>
      </c>
      <c r="E81" s="71"/>
      <c r="F81" s="71"/>
      <c r="G81" s="71"/>
      <c r="H81" s="71"/>
      <c r="I81" s="73">
        <v>10.0</v>
      </c>
      <c r="J81" s="73">
        <f t="shared" si="9"/>
        <v>89</v>
      </c>
      <c r="K81" s="73"/>
      <c r="L81" s="105" t="s">
        <v>623</v>
      </c>
    </row>
    <row r="82">
      <c r="A82" s="70" t="s">
        <v>624</v>
      </c>
      <c r="B82" s="8" t="s">
        <v>141</v>
      </c>
      <c r="C82" s="99" t="s">
        <v>20</v>
      </c>
      <c r="D82" s="73">
        <v>66.0</v>
      </c>
      <c r="E82" s="71"/>
      <c r="F82" s="71"/>
      <c r="G82" s="71"/>
      <c r="H82" s="71"/>
      <c r="I82" s="71"/>
      <c r="J82" s="73">
        <f t="shared" si="9"/>
        <v>66</v>
      </c>
      <c r="K82" s="73"/>
      <c r="L82" s="109" t="s">
        <v>400</v>
      </c>
    </row>
    <row r="83">
      <c r="A83" s="70" t="s">
        <v>467</v>
      </c>
      <c r="B83" s="8" t="s">
        <v>19</v>
      </c>
      <c r="C83" s="99" t="s">
        <v>20</v>
      </c>
      <c r="D83" s="73">
        <v>45.0</v>
      </c>
      <c r="E83" s="71"/>
      <c r="F83" s="71"/>
      <c r="G83" s="71"/>
      <c r="H83" s="71"/>
      <c r="I83" s="71"/>
      <c r="J83" s="73">
        <f t="shared" si="9"/>
        <v>45</v>
      </c>
      <c r="K83" s="73"/>
      <c r="L83" s="105" t="s">
        <v>284</v>
      </c>
    </row>
    <row r="84">
      <c r="A84" s="70" t="s">
        <v>625</v>
      </c>
      <c r="B84" s="8" t="s">
        <v>8</v>
      </c>
      <c r="C84" s="99" t="s">
        <v>12</v>
      </c>
      <c r="D84" s="73">
        <v>109.0</v>
      </c>
      <c r="E84" s="73">
        <v>362.0</v>
      </c>
      <c r="F84" s="73">
        <v>30.0</v>
      </c>
      <c r="G84" s="71"/>
      <c r="H84" s="71"/>
      <c r="I84" s="73">
        <v>15.0</v>
      </c>
      <c r="J84" s="73">
        <f t="shared" si="9"/>
        <v>124</v>
      </c>
      <c r="K84" s="73">
        <f t="shared" ref="K84:K87" si="13">E84+I84</f>
        <v>377</v>
      </c>
      <c r="L84" s="105" t="s">
        <v>626</v>
      </c>
    </row>
    <row r="85">
      <c r="A85" s="70" t="s">
        <v>627</v>
      </c>
      <c r="B85" s="8" t="s">
        <v>54</v>
      </c>
      <c r="C85" s="99" t="s">
        <v>12</v>
      </c>
      <c r="D85" s="73">
        <v>104.0</v>
      </c>
      <c r="E85" s="73">
        <f>64+66+60+104+53</f>
        <v>347</v>
      </c>
      <c r="F85" s="71"/>
      <c r="G85" s="71"/>
      <c r="H85" s="71"/>
      <c r="I85" s="71"/>
      <c r="J85" s="73">
        <f t="shared" si="9"/>
        <v>104</v>
      </c>
      <c r="K85" s="73">
        <f t="shared" si="13"/>
        <v>347</v>
      </c>
      <c r="L85" s="105" t="s">
        <v>601</v>
      </c>
    </row>
    <row r="86">
      <c r="A86" s="70" t="s">
        <v>628</v>
      </c>
      <c r="B86" s="8" t="s">
        <v>96</v>
      </c>
      <c r="C86" s="99" t="s">
        <v>12</v>
      </c>
      <c r="D86" s="73">
        <v>100.0</v>
      </c>
      <c r="E86" s="73">
        <v>332.0</v>
      </c>
      <c r="F86" s="71"/>
      <c r="G86" s="71"/>
      <c r="H86" s="71"/>
      <c r="I86" s="71"/>
      <c r="J86" s="73">
        <f t="shared" si="9"/>
        <v>100</v>
      </c>
      <c r="K86" s="73">
        <f t="shared" si="13"/>
        <v>332</v>
      </c>
      <c r="L86" s="105" t="s">
        <v>629</v>
      </c>
    </row>
    <row r="87">
      <c r="A87" s="70" t="s">
        <v>630</v>
      </c>
      <c r="B87" s="8" t="s">
        <v>96</v>
      </c>
      <c r="C87" s="99" t="s">
        <v>12</v>
      </c>
      <c r="D87" s="73">
        <v>96.0</v>
      </c>
      <c r="E87" s="73">
        <v>332.0</v>
      </c>
      <c r="F87" s="71"/>
      <c r="G87" s="71"/>
      <c r="H87" s="71"/>
      <c r="I87" s="71"/>
      <c r="J87" s="73">
        <f t="shared" si="9"/>
        <v>96</v>
      </c>
      <c r="K87" s="73">
        <f t="shared" si="13"/>
        <v>332</v>
      </c>
      <c r="L87" s="105" t="s">
        <v>631</v>
      </c>
    </row>
    <row r="88">
      <c r="A88" s="70" t="s">
        <v>632</v>
      </c>
      <c r="B88" s="8" t="s">
        <v>15</v>
      </c>
      <c r="C88" s="99" t="s">
        <v>12</v>
      </c>
      <c r="D88" s="73">
        <v>71.0</v>
      </c>
      <c r="E88" s="71"/>
      <c r="F88" s="71"/>
      <c r="G88" s="71"/>
      <c r="H88" s="71"/>
      <c r="I88" s="71"/>
      <c r="J88" s="73">
        <f t="shared" si="9"/>
        <v>71</v>
      </c>
      <c r="K88" s="73"/>
      <c r="L88" s="105" t="s">
        <v>633</v>
      </c>
    </row>
    <row r="89">
      <c r="A89" s="70" t="s">
        <v>634</v>
      </c>
      <c r="B89" s="8" t="s">
        <v>19</v>
      </c>
      <c r="C89" s="99" t="s">
        <v>12</v>
      </c>
      <c r="D89" s="73">
        <v>48.0</v>
      </c>
      <c r="E89" s="71"/>
      <c r="F89" s="71"/>
      <c r="G89" s="71"/>
      <c r="H89" s="71"/>
      <c r="I89" s="71"/>
      <c r="J89" s="73">
        <f t="shared" si="9"/>
        <v>48</v>
      </c>
      <c r="K89" s="73"/>
      <c r="L89" s="105" t="s">
        <v>635</v>
      </c>
    </row>
    <row r="90">
      <c r="A90" s="70" t="s">
        <v>636</v>
      </c>
      <c r="B90" s="8" t="s">
        <v>8</v>
      </c>
      <c r="C90" s="99" t="s">
        <v>40</v>
      </c>
      <c r="D90" s="73">
        <v>109.0</v>
      </c>
      <c r="E90" s="73">
        <v>362.0</v>
      </c>
      <c r="F90" s="71"/>
      <c r="G90" s="71"/>
      <c r="H90" s="73"/>
      <c r="I90" s="73">
        <v>15.0</v>
      </c>
      <c r="J90" s="73">
        <f t="shared" si="9"/>
        <v>124</v>
      </c>
      <c r="K90" s="73">
        <f t="shared" ref="K90:K96" si="14">E90+I90</f>
        <v>377</v>
      </c>
      <c r="L90" s="105" t="s">
        <v>637</v>
      </c>
    </row>
    <row r="91">
      <c r="A91" s="70" t="s">
        <v>638</v>
      </c>
      <c r="B91" s="8" t="s">
        <v>8</v>
      </c>
      <c r="C91" s="99" t="s">
        <v>40</v>
      </c>
      <c r="D91" s="73">
        <v>106.0</v>
      </c>
      <c r="E91" s="73">
        <v>362.0</v>
      </c>
      <c r="F91" s="71"/>
      <c r="G91" s="71"/>
      <c r="H91" s="73">
        <v>3000.0</v>
      </c>
      <c r="I91" s="73">
        <v>15.0</v>
      </c>
      <c r="J91" s="73">
        <f t="shared" si="9"/>
        <v>121</v>
      </c>
      <c r="K91" s="73">
        <f t="shared" si="14"/>
        <v>377</v>
      </c>
      <c r="L91" s="105" t="s">
        <v>558</v>
      </c>
    </row>
    <row r="92">
      <c r="A92" s="70" t="s">
        <v>639</v>
      </c>
      <c r="B92" s="8" t="s">
        <v>54</v>
      </c>
      <c r="C92" s="99" t="s">
        <v>40</v>
      </c>
      <c r="D92" s="73">
        <v>103.0</v>
      </c>
      <c r="E92" s="99">
        <v>347.0</v>
      </c>
      <c r="F92" s="71"/>
      <c r="G92" s="71"/>
      <c r="H92" s="71"/>
      <c r="I92" s="99"/>
      <c r="J92" s="73">
        <f t="shared" si="9"/>
        <v>103</v>
      </c>
      <c r="K92" s="73">
        <f t="shared" si="14"/>
        <v>347</v>
      </c>
      <c r="L92" s="105" t="s">
        <v>618</v>
      </c>
    </row>
    <row r="93">
      <c r="A93" s="70" t="s">
        <v>640</v>
      </c>
      <c r="B93" s="8" t="s">
        <v>54</v>
      </c>
      <c r="C93" s="99" t="s">
        <v>40</v>
      </c>
      <c r="D93" s="73">
        <v>104.0</v>
      </c>
      <c r="E93" s="73">
        <v>347.0</v>
      </c>
      <c r="F93" s="71"/>
      <c r="G93" s="71"/>
      <c r="H93" s="71"/>
      <c r="I93" s="71"/>
      <c r="J93" s="73">
        <f t="shared" si="9"/>
        <v>104</v>
      </c>
      <c r="K93" s="73">
        <f t="shared" si="14"/>
        <v>347</v>
      </c>
      <c r="L93" s="74" t="s">
        <v>641</v>
      </c>
    </row>
    <row r="94">
      <c r="A94" s="70" t="s">
        <v>309</v>
      </c>
      <c r="B94" s="8" t="s">
        <v>54</v>
      </c>
      <c r="C94" s="99" t="s">
        <v>40</v>
      </c>
      <c r="D94" s="73">
        <v>103.0</v>
      </c>
      <c r="E94" s="73">
        <v>347.0</v>
      </c>
      <c r="F94" s="71"/>
      <c r="G94" s="71"/>
      <c r="H94" s="71"/>
      <c r="I94" s="71"/>
      <c r="J94" s="73">
        <f t="shared" si="9"/>
        <v>103</v>
      </c>
      <c r="K94" s="73">
        <f t="shared" si="14"/>
        <v>347</v>
      </c>
      <c r="L94" s="74" t="s">
        <v>310</v>
      </c>
    </row>
    <row r="95">
      <c r="A95" s="70" t="s">
        <v>370</v>
      </c>
      <c r="B95" s="8" t="s">
        <v>54</v>
      </c>
      <c r="C95" s="99" t="s">
        <v>40</v>
      </c>
      <c r="D95" s="73">
        <v>102.0</v>
      </c>
      <c r="E95" s="73">
        <v>347.0</v>
      </c>
      <c r="F95" s="71"/>
      <c r="G95" s="71"/>
      <c r="H95" s="71"/>
      <c r="I95" s="71"/>
      <c r="J95" s="73">
        <f t="shared" si="9"/>
        <v>102</v>
      </c>
      <c r="K95" s="73">
        <f t="shared" si="14"/>
        <v>347</v>
      </c>
      <c r="L95" s="74" t="s">
        <v>371</v>
      </c>
    </row>
    <row r="96">
      <c r="A96" s="70" t="s">
        <v>642</v>
      </c>
      <c r="B96" s="8" t="s">
        <v>96</v>
      </c>
      <c r="C96" s="99" t="s">
        <v>40</v>
      </c>
      <c r="D96" s="73">
        <v>97.0</v>
      </c>
      <c r="E96" s="71">
        <f>63+56+62+54+97</f>
        <v>332</v>
      </c>
      <c r="F96" s="71"/>
      <c r="G96" s="71"/>
      <c r="H96" s="71"/>
      <c r="I96" s="71"/>
      <c r="J96" s="73">
        <f t="shared" si="9"/>
        <v>97</v>
      </c>
      <c r="K96" s="73">
        <f t="shared" si="14"/>
        <v>332</v>
      </c>
      <c r="L96" s="105" t="s">
        <v>560</v>
      </c>
    </row>
    <row r="97">
      <c r="A97" s="70" t="s">
        <v>373</v>
      </c>
      <c r="B97" s="8" t="s">
        <v>15</v>
      </c>
      <c r="C97" s="99" t="s">
        <v>40</v>
      </c>
      <c r="D97" s="73">
        <v>75.0</v>
      </c>
      <c r="E97" s="71"/>
      <c r="F97" s="71"/>
      <c r="G97" s="71"/>
      <c r="H97" s="71"/>
      <c r="I97" s="71"/>
      <c r="J97" s="73">
        <f t="shared" si="9"/>
        <v>75</v>
      </c>
      <c r="K97" s="73"/>
      <c r="L97" s="74" t="s">
        <v>643</v>
      </c>
    </row>
    <row r="98">
      <c r="A98" s="70" t="s">
        <v>398</v>
      </c>
      <c r="B98" s="8" t="s">
        <v>15</v>
      </c>
      <c r="C98" s="99" t="s">
        <v>40</v>
      </c>
      <c r="D98" s="73">
        <v>73.0</v>
      </c>
      <c r="E98" s="71"/>
      <c r="F98" s="71"/>
      <c r="G98" s="71"/>
      <c r="H98" s="71"/>
      <c r="I98" s="71"/>
      <c r="J98" s="73">
        <f t="shared" si="9"/>
        <v>73</v>
      </c>
      <c r="K98" s="73"/>
      <c r="L98" s="74" t="s">
        <v>84</v>
      </c>
    </row>
    <row r="99">
      <c r="A99" s="75" t="s">
        <v>644</v>
      </c>
      <c r="B99" s="96" t="s">
        <v>19</v>
      </c>
      <c r="C99" s="125" t="s">
        <v>40</v>
      </c>
      <c r="D99" s="77">
        <v>48.0</v>
      </c>
      <c r="E99" s="76"/>
      <c r="F99" s="76"/>
      <c r="G99" s="76"/>
      <c r="H99" s="76"/>
      <c r="I99" s="76"/>
      <c r="J99" s="77">
        <f t="shared" si="9"/>
        <v>48</v>
      </c>
      <c r="K99" s="77"/>
      <c r="L99" s="84" t="s">
        <v>279</v>
      </c>
    </row>
    <row r="100">
      <c r="A100" s="121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>
      <c r="A101" s="104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>
      <c r="A102" s="67" t="s">
        <v>578</v>
      </c>
      <c r="B102" s="82"/>
      <c r="C102" s="68" t="s">
        <v>579</v>
      </c>
      <c r="D102" s="68" t="s">
        <v>580</v>
      </c>
      <c r="E102" s="68" t="s">
        <v>581</v>
      </c>
      <c r="F102" s="68" t="s">
        <v>539</v>
      </c>
      <c r="G102" s="68" t="s">
        <v>540</v>
      </c>
      <c r="H102" s="69" t="s">
        <v>541</v>
      </c>
      <c r="I102" s="131"/>
      <c r="J102" s="80"/>
      <c r="K102" s="80"/>
      <c r="L102" s="80"/>
    </row>
    <row r="103">
      <c r="A103" s="126">
        <v>1.0</v>
      </c>
      <c r="B103" s="99" t="s">
        <v>582</v>
      </c>
      <c r="C103" s="87"/>
      <c r="D103" s="99" t="s">
        <v>645</v>
      </c>
      <c r="E103" s="91">
        <f>K91</f>
        <v>377</v>
      </c>
      <c r="F103" s="87"/>
      <c r="G103" s="87"/>
      <c r="H103" s="127">
        <f>H91</f>
        <v>3000</v>
      </c>
      <c r="I103" s="132"/>
      <c r="J103" s="80"/>
      <c r="K103" s="80"/>
      <c r="L103" s="80"/>
    </row>
    <row r="104">
      <c r="A104" s="126">
        <v>2.0</v>
      </c>
      <c r="B104" s="8" t="s">
        <v>12</v>
      </c>
      <c r="C104" s="99" t="s">
        <v>646</v>
      </c>
      <c r="D104" s="99" t="s">
        <v>646</v>
      </c>
      <c r="E104" s="91">
        <f>J86</f>
        <v>100</v>
      </c>
      <c r="F104" s="87"/>
      <c r="G104" s="87"/>
      <c r="H104" s="88"/>
      <c r="I104" s="80"/>
      <c r="J104" s="80"/>
      <c r="K104" s="80"/>
      <c r="L104" s="80"/>
    </row>
    <row r="105">
      <c r="A105" s="126">
        <v>3.0</v>
      </c>
      <c r="B105" s="99" t="s">
        <v>20</v>
      </c>
      <c r="C105" s="99" t="s">
        <v>647</v>
      </c>
      <c r="D105" s="99" t="s">
        <v>647</v>
      </c>
      <c r="E105" s="91">
        <f>J81</f>
        <v>89</v>
      </c>
      <c r="F105" s="87"/>
      <c r="G105" s="87"/>
      <c r="H105" s="88"/>
      <c r="I105" s="80"/>
      <c r="J105" s="104"/>
      <c r="K105" s="104"/>
      <c r="L105" s="104"/>
    </row>
    <row r="106">
      <c r="A106" s="126">
        <v>4.0</v>
      </c>
      <c r="B106" s="8" t="s">
        <v>16</v>
      </c>
      <c r="C106" s="8" t="s">
        <v>648</v>
      </c>
      <c r="D106" s="8" t="s">
        <v>648</v>
      </c>
      <c r="E106" s="91">
        <f>J74</f>
        <v>48</v>
      </c>
      <c r="F106" s="87"/>
      <c r="G106" s="87"/>
      <c r="H106" s="88"/>
      <c r="I106" s="80"/>
      <c r="J106" s="80"/>
      <c r="K106" s="80"/>
      <c r="L106" s="80"/>
    </row>
    <row r="107">
      <c r="A107" s="126">
        <v>5.0</v>
      </c>
      <c r="B107" s="8" t="s">
        <v>9</v>
      </c>
      <c r="C107" s="87"/>
      <c r="D107" s="8" t="s">
        <v>649</v>
      </c>
      <c r="E107" s="91">
        <f>J65</f>
        <v>122</v>
      </c>
      <c r="F107" s="87"/>
      <c r="G107" s="87"/>
      <c r="H107" s="88">
        <f>H65</f>
        <v>3000</v>
      </c>
      <c r="I107" s="80"/>
      <c r="J107" s="104"/>
      <c r="K107" s="104"/>
      <c r="L107" s="104"/>
    </row>
    <row r="108">
      <c r="A108" s="126">
        <v>6.0</v>
      </c>
      <c r="B108" s="8" t="s">
        <v>9</v>
      </c>
      <c r="C108" s="87"/>
      <c r="D108" s="8" t="s">
        <v>650</v>
      </c>
      <c r="E108" s="91">
        <f t="shared" ref="E108:E109" si="15">J67</f>
        <v>104</v>
      </c>
      <c r="F108" s="87">
        <f>F66</f>
        <v>30</v>
      </c>
      <c r="G108" s="87"/>
      <c r="H108" s="88"/>
      <c r="I108" s="80"/>
      <c r="J108" s="104"/>
      <c r="K108" s="104"/>
      <c r="L108" s="104"/>
    </row>
    <row r="109">
      <c r="A109" s="126">
        <v>7.0</v>
      </c>
      <c r="B109" s="8" t="s">
        <v>9</v>
      </c>
      <c r="C109" s="87"/>
      <c r="D109" s="8" t="s">
        <v>651</v>
      </c>
      <c r="E109" s="91">
        <f t="shared" si="15"/>
        <v>48</v>
      </c>
      <c r="F109" s="87"/>
      <c r="G109" s="87"/>
      <c r="H109" s="88"/>
      <c r="I109" s="80"/>
      <c r="J109" s="104"/>
      <c r="K109" s="104"/>
      <c r="L109" s="104"/>
    </row>
    <row r="110">
      <c r="A110" s="126">
        <v>8.0</v>
      </c>
      <c r="B110" s="8" t="s">
        <v>16</v>
      </c>
      <c r="C110" s="87"/>
      <c r="D110" s="133" t="s">
        <v>652</v>
      </c>
      <c r="E110" s="134">
        <f>J71</f>
        <v>118</v>
      </c>
      <c r="F110" s="87"/>
      <c r="G110" s="87"/>
      <c r="H110" s="88"/>
      <c r="I110" s="80"/>
      <c r="J110" s="104"/>
      <c r="K110" s="104"/>
      <c r="L110" s="104"/>
    </row>
    <row r="111">
      <c r="A111" s="126">
        <v>9.0</v>
      </c>
      <c r="B111" s="8" t="s">
        <v>16</v>
      </c>
      <c r="C111" s="87"/>
      <c r="D111" s="8" t="s">
        <v>653</v>
      </c>
      <c r="E111" s="91">
        <f>J69</f>
        <v>110</v>
      </c>
      <c r="F111" s="87"/>
      <c r="G111" s="87"/>
      <c r="H111" s="88"/>
      <c r="I111" s="80"/>
      <c r="J111" s="80"/>
      <c r="K111" s="80"/>
      <c r="L111" s="80"/>
    </row>
    <row r="112">
      <c r="A112" s="126">
        <v>10.0</v>
      </c>
      <c r="B112" s="99" t="s">
        <v>20</v>
      </c>
      <c r="C112" s="87"/>
      <c r="D112" s="8" t="s">
        <v>654</v>
      </c>
      <c r="E112" s="91">
        <f t="shared" ref="E112:E113" si="16">J77</f>
        <v>121</v>
      </c>
      <c r="F112" s="87">
        <f>F77</f>
        <v>30</v>
      </c>
      <c r="G112" s="87"/>
      <c r="H112" s="88"/>
      <c r="I112" s="80"/>
      <c r="J112" s="80"/>
      <c r="K112" s="80"/>
      <c r="L112" s="80"/>
    </row>
    <row r="113">
      <c r="A113" s="126">
        <v>11.0</v>
      </c>
      <c r="B113" s="99" t="s">
        <v>20</v>
      </c>
      <c r="C113" s="87"/>
      <c r="D113" s="8" t="s">
        <v>655</v>
      </c>
      <c r="E113" s="91">
        <f t="shared" si="16"/>
        <v>103</v>
      </c>
      <c r="F113" s="87"/>
      <c r="G113" s="87"/>
      <c r="H113" s="88"/>
      <c r="I113" s="80"/>
      <c r="J113" s="104"/>
      <c r="K113" s="104"/>
      <c r="L113" s="104"/>
    </row>
    <row r="114">
      <c r="A114" s="126">
        <v>12.0</v>
      </c>
      <c r="B114" s="99" t="s">
        <v>12</v>
      </c>
      <c r="C114" s="87"/>
      <c r="D114" s="8" t="s">
        <v>656</v>
      </c>
      <c r="E114" s="91">
        <f t="shared" ref="E114:E115" si="17">J84</f>
        <v>124</v>
      </c>
      <c r="F114" s="91">
        <f>F84</f>
        <v>30</v>
      </c>
      <c r="G114" s="87"/>
      <c r="H114" s="88"/>
      <c r="I114" s="80"/>
      <c r="J114" s="104"/>
      <c r="K114" s="104"/>
      <c r="L114" s="104"/>
    </row>
    <row r="115">
      <c r="A115" s="126">
        <v>13.0</v>
      </c>
      <c r="B115" s="99" t="s">
        <v>12</v>
      </c>
      <c r="C115" s="87"/>
      <c r="D115" s="8" t="s">
        <v>657</v>
      </c>
      <c r="E115" s="91">
        <f t="shared" si="17"/>
        <v>104</v>
      </c>
      <c r="F115" s="87"/>
      <c r="G115" s="87"/>
      <c r="H115" s="88"/>
      <c r="I115" s="80"/>
      <c r="J115" s="104"/>
      <c r="K115" s="104"/>
      <c r="L115" s="104"/>
    </row>
    <row r="116">
      <c r="A116" s="126">
        <v>14.0</v>
      </c>
      <c r="B116" s="99" t="s">
        <v>40</v>
      </c>
      <c r="C116" s="87"/>
      <c r="D116" s="8" t="s">
        <v>658</v>
      </c>
      <c r="E116" s="135">
        <f>J90</f>
        <v>124</v>
      </c>
      <c r="F116" s="87"/>
      <c r="G116" s="87"/>
      <c r="H116" s="88"/>
      <c r="I116" s="80"/>
      <c r="J116" s="104"/>
      <c r="K116" s="104"/>
      <c r="L116" s="104"/>
    </row>
    <row r="117">
      <c r="A117" s="126">
        <v>15.0</v>
      </c>
      <c r="B117" s="99" t="s">
        <v>40</v>
      </c>
      <c r="C117" s="87"/>
      <c r="D117" s="8" t="s">
        <v>659</v>
      </c>
      <c r="E117" s="91">
        <f>J93</f>
        <v>104</v>
      </c>
      <c r="F117" s="87"/>
      <c r="G117" s="87"/>
      <c r="H117" s="88"/>
      <c r="I117" s="80"/>
      <c r="J117" s="104"/>
      <c r="K117" s="104"/>
      <c r="L117" s="104"/>
    </row>
    <row r="118">
      <c r="A118" s="126">
        <v>16.0</v>
      </c>
      <c r="B118" s="99" t="s">
        <v>40</v>
      </c>
      <c r="C118" s="87"/>
      <c r="D118" s="133" t="s">
        <v>660</v>
      </c>
      <c r="E118" s="134">
        <f>J92</f>
        <v>103</v>
      </c>
      <c r="F118" s="87"/>
      <c r="G118" s="87"/>
      <c r="H118" s="88"/>
      <c r="I118" s="136"/>
      <c r="J118" s="104"/>
      <c r="K118" s="104"/>
      <c r="L118" s="104"/>
    </row>
    <row r="119">
      <c r="A119" s="128"/>
      <c r="B119" s="93"/>
      <c r="C119" s="93"/>
      <c r="D119" s="96" t="s">
        <v>595</v>
      </c>
      <c r="E119" s="94">
        <f t="shared" ref="E119:H119" si="18">SUM(E103:E118)</f>
        <v>1899</v>
      </c>
      <c r="F119" s="94">
        <f t="shared" si="18"/>
        <v>90</v>
      </c>
      <c r="G119" s="94">
        <f t="shared" si="18"/>
        <v>0</v>
      </c>
      <c r="H119" s="115">
        <f t="shared" si="18"/>
        <v>6000</v>
      </c>
      <c r="I119" s="132"/>
      <c r="J119" s="104"/>
      <c r="K119" s="104"/>
      <c r="L119" s="104"/>
    </row>
    <row r="129">
      <c r="A129" s="123"/>
      <c r="B129" s="89"/>
      <c r="C129" s="89"/>
      <c r="D129" s="68" t="s">
        <v>537</v>
      </c>
      <c r="E129" s="68" t="s">
        <v>538</v>
      </c>
      <c r="F129" s="68" t="s">
        <v>539</v>
      </c>
      <c r="G129" s="68" t="s">
        <v>540</v>
      </c>
      <c r="H129" s="68" t="s">
        <v>541</v>
      </c>
      <c r="I129" s="68" t="s">
        <v>542</v>
      </c>
      <c r="J129" s="68" t="s">
        <v>543</v>
      </c>
      <c r="K129" s="68" t="s">
        <v>544</v>
      </c>
      <c r="L129" s="90"/>
    </row>
    <row r="130">
      <c r="A130" s="130" t="s">
        <v>174</v>
      </c>
      <c r="B130" s="71"/>
      <c r="C130" s="71"/>
      <c r="D130" s="71"/>
      <c r="E130" s="71"/>
      <c r="F130" s="71"/>
      <c r="G130" s="87"/>
      <c r="H130" s="87"/>
      <c r="I130" s="87"/>
      <c r="J130" s="87"/>
      <c r="K130" s="87"/>
      <c r="L130" s="88"/>
    </row>
    <row r="131">
      <c r="A131" s="70" t="s">
        <v>6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2"/>
    </row>
    <row r="132">
      <c r="A132" s="70" t="s">
        <v>661</v>
      </c>
      <c r="B132" s="8" t="s">
        <v>96</v>
      </c>
      <c r="C132" s="8" t="s">
        <v>9</v>
      </c>
      <c r="D132" s="73">
        <v>99.0</v>
      </c>
      <c r="E132" s="73">
        <v>332.0</v>
      </c>
      <c r="F132" s="71"/>
      <c r="G132" s="71"/>
      <c r="H132" s="71"/>
      <c r="I132" s="73">
        <v>300.0</v>
      </c>
      <c r="J132" s="73">
        <f t="shared" ref="J132:J165" si="19">D132+I132</f>
        <v>399</v>
      </c>
      <c r="K132" s="73">
        <f t="shared" ref="K132:K135" si="20">E132+I132</f>
        <v>632</v>
      </c>
      <c r="L132" s="74" t="s">
        <v>662</v>
      </c>
    </row>
    <row r="133">
      <c r="A133" s="70" t="s">
        <v>663</v>
      </c>
      <c r="B133" s="8" t="s">
        <v>8</v>
      </c>
      <c r="C133" s="8" t="s">
        <v>9</v>
      </c>
      <c r="D133" s="73">
        <v>108.0</v>
      </c>
      <c r="E133" s="73">
        <v>362.0</v>
      </c>
      <c r="F133" s="71"/>
      <c r="G133" s="71"/>
      <c r="H133" s="71"/>
      <c r="I133" s="73">
        <v>15.0</v>
      </c>
      <c r="J133" s="73">
        <f t="shared" si="19"/>
        <v>123</v>
      </c>
      <c r="K133" s="73">
        <f t="shared" si="20"/>
        <v>377</v>
      </c>
      <c r="L133" s="74" t="s">
        <v>664</v>
      </c>
    </row>
    <row r="134">
      <c r="A134" s="70" t="s">
        <v>461</v>
      </c>
      <c r="B134" s="8" t="s">
        <v>54</v>
      </c>
      <c r="C134" s="8" t="s">
        <v>9</v>
      </c>
      <c r="D134" s="73">
        <v>103.0</v>
      </c>
      <c r="E134" s="73">
        <v>347.0</v>
      </c>
      <c r="F134" s="71"/>
      <c r="G134" s="71"/>
      <c r="H134" s="71"/>
      <c r="I134" s="73">
        <v>15.0</v>
      </c>
      <c r="J134" s="73">
        <f t="shared" si="19"/>
        <v>118</v>
      </c>
      <c r="K134" s="73">
        <f t="shared" si="20"/>
        <v>362</v>
      </c>
      <c r="L134" s="74" t="s">
        <v>665</v>
      </c>
    </row>
    <row r="135">
      <c r="A135" s="70" t="s">
        <v>666</v>
      </c>
      <c r="B135" s="8" t="s">
        <v>8</v>
      </c>
      <c r="C135" s="8" t="s">
        <v>9</v>
      </c>
      <c r="D135" s="73">
        <v>108.0</v>
      </c>
      <c r="E135" s="73">
        <v>362.0</v>
      </c>
      <c r="F135" s="71"/>
      <c r="G135" s="71"/>
      <c r="H135" s="71"/>
      <c r="I135" s="71"/>
      <c r="J135" s="73">
        <f t="shared" si="19"/>
        <v>108</v>
      </c>
      <c r="K135" s="73">
        <f t="shared" si="20"/>
        <v>362</v>
      </c>
      <c r="L135" s="105" t="s">
        <v>667</v>
      </c>
    </row>
    <row r="136">
      <c r="A136" s="70" t="s">
        <v>668</v>
      </c>
      <c r="B136" s="8" t="s">
        <v>15</v>
      </c>
      <c r="C136" s="8" t="s">
        <v>9</v>
      </c>
      <c r="D136" s="73">
        <v>71.0</v>
      </c>
      <c r="E136" s="71"/>
      <c r="F136" s="71"/>
      <c r="G136" s="71"/>
      <c r="H136" s="71"/>
      <c r="I136" s="73">
        <v>10.0</v>
      </c>
      <c r="J136" s="73">
        <f t="shared" si="19"/>
        <v>81</v>
      </c>
      <c r="K136" s="73"/>
      <c r="L136" s="105" t="s">
        <v>266</v>
      </c>
    </row>
    <row r="137">
      <c r="A137" s="70" t="s">
        <v>85</v>
      </c>
      <c r="B137" s="8" t="s">
        <v>19</v>
      </c>
      <c r="C137" s="8" t="s">
        <v>9</v>
      </c>
      <c r="D137" s="73">
        <v>44.0</v>
      </c>
      <c r="E137" s="71"/>
      <c r="F137" s="71"/>
      <c r="G137" s="71"/>
      <c r="H137" s="71"/>
      <c r="I137" s="71"/>
      <c r="J137" s="73">
        <f t="shared" si="19"/>
        <v>44</v>
      </c>
      <c r="K137" s="73"/>
      <c r="L137" s="105" t="s">
        <v>86</v>
      </c>
    </row>
    <row r="138">
      <c r="A138" s="70" t="s">
        <v>669</v>
      </c>
      <c r="B138" s="8" t="s">
        <v>8</v>
      </c>
      <c r="C138" s="8" t="s">
        <v>16</v>
      </c>
      <c r="D138" s="73">
        <v>108.0</v>
      </c>
      <c r="E138" s="73">
        <v>362.0</v>
      </c>
      <c r="F138" s="71"/>
      <c r="G138" s="71"/>
      <c r="H138" s="71"/>
      <c r="I138" s="71"/>
      <c r="J138" s="73">
        <f t="shared" si="19"/>
        <v>108</v>
      </c>
      <c r="K138" s="73">
        <f t="shared" ref="K138:K140" si="21">E138+I138</f>
        <v>362</v>
      </c>
      <c r="L138" s="105" t="s">
        <v>670</v>
      </c>
    </row>
    <row r="139">
      <c r="A139" s="70" t="s">
        <v>671</v>
      </c>
      <c r="B139" s="8" t="s">
        <v>8</v>
      </c>
      <c r="C139" s="8" t="s">
        <v>16</v>
      </c>
      <c r="D139" s="73">
        <v>108.0</v>
      </c>
      <c r="E139" s="8">
        <v>362.0</v>
      </c>
      <c r="F139" s="8">
        <v>30.0</v>
      </c>
      <c r="G139" s="87"/>
      <c r="H139" s="87"/>
      <c r="I139" s="87"/>
      <c r="J139" s="73">
        <f t="shared" si="19"/>
        <v>108</v>
      </c>
      <c r="K139" s="73">
        <f t="shared" si="21"/>
        <v>362</v>
      </c>
      <c r="L139" s="105" t="s">
        <v>672</v>
      </c>
    </row>
    <row r="140">
      <c r="A140" s="70" t="s">
        <v>673</v>
      </c>
      <c r="B140" s="8" t="s">
        <v>54</v>
      </c>
      <c r="C140" s="8" t="s">
        <v>16</v>
      </c>
      <c r="D140" s="73">
        <v>102.0</v>
      </c>
      <c r="E140" s="87">
        <f>54+102+66+67+58</f>
        <v>347</v>
      </c>
      <c r="F140" s="87"/>
      <c r="G140" s="87"/>
      <c r="H140" s="87"/>
      <c r="I140" s="87"/>
      <c r="J140" s="73">
        <f t="shared" si="19"/>
        <v>102</v>
      </c>
      <c r="K140" s="73">
        <f t="shared" si="21"/>
        <v>347</v>
      </c>
      <c r="L140" s="105" t="s">
        <v>674</v>
      </c>
    </row>
    <row r="141">
      <c r="A141" s="70" t="s">
        <v>675</v>
      </c>
      <c r="B141" s="8" t="s">
        <v>15</v>
      </c>
      <c r="C141" s="8" t="s">
        <v>16</v>
      </c>
      <c r="D141" s="73">
        <v>71.0</v>
      </c>
      <c r="E141" s="87"/>
      <c r="F141" s="87"/>
      <c r="G141" s="87"/>
      <c r="H141" s="87"/>
      <c r="I141" s="87"/>
      <c r="J141" s="73">
        <f t="shared" si="19"/>
        <v>71</v>
      </c>
      <c r="K141" s="73"/>
      <c r="L141" s="105" t="s">
        <v>266</v>
      </c>
    </row>
    <row r="142">
      <c r="A142" s="70" t="s">
        <v>676</v>
      </c>
      <c r="B142" s="8" t="s">
        <v>15</v>
      </c>
      <c r="C142" s="8" t="s">
        <v>16</v>
      </c>
      <c r="D142" s="73">
        <v>71.0</v>
      </c>
      <c r="E142" s="87"/>
      <c r="F142" s="87"/>
      <c r="G142" s="87"/>
      <c r="H142" s="87"/>
      <c r="I142" s="87"/>
      <c r="J142" s="73">
        <f t="shared" si="19"/>
        <v>71</v>
      </c>
      <c r="K142" s="73"/>
      <c r="L142" s="105" t="s">
        <v>508</v>
      </c>
    </row>
    <row r="143">
      <c r="A143" s="70" t="s">
        <v>677</v>
      </c>
      <c r="B143" s="8" t="s">
        <v>141</v>
      </c>
      <c r="C143" s="8" t="s">
        <v>16</v>
      </c>
      <c r="D143" s="73">
        <v>66.0</v>
      </c>
      <c r="E143" s="71"/>
      <c r="F143" s="71"/>
      <c r="G143" s="71"/>
      <c r="H143" s="71"/>
      <c r="I143" s="71"/>
      <c r="J143" s="73">
        <f t="shared" si="19"/>
        <v>66</v>
      </c>
      <c r="K143" s="73"/>
      <c r="L143" s="105" t="s">
        <v>256</v>
      </c>
    </row>
    <row r="144">
      <c r="A144" s="70" t="s">
        <v>127</v>
      </c>
      <c r="B144" s="8" t="s">
        <v>19</v>
      </c>
      <c r="C144" s="8" t="s">
        <v>16</v>
      </c>
      <c r="D144" s="73">
        <v>45.0</v>
      </c>
      <c r="E144" s="71"/>
      <c r="F144" s="71"/>
      <c r="G144" s="71"/>
      <c r="H144" s="71"/>
      <c r="I144" s="71"/>
      <c r="J144" s="73">
        <f t="shared" si="19"/>
        <v>45</v>
      </c>
      <c r="K144" s="73"/>
      <c r="L144" s="105" t="s">
        <v>678</v>
      </c>
    </row>
    <row r="145">
      <c r="A145" s="70" t="s">
        <v>466</v>
      </c>
      <c r="B145" s="8" t="s">
        <v>19</v>
      </c>
      <c r="C145" s="8" t="s">
        <v>16</v>
      </c>
      <c r="D145" s="73">
        <v>48.0</v>
      </c>
      <c r="E145" s="87"/>
      <c r="F145" s="71"/>
      <c r="G145" s="71"/>
      <c r="H145" s="71"/>
      <c r="I145" s="71"/>
      <c r="J145" s="73">
        <f t="shared" si="19"/>
        <v>48</v>
      </c>
      <c r="K145" s="73"/>
      <c r="L145" s="105" t="s">
        <v>318</v>
      </c>
    </row>
    <row r="146">
      <c r="A146" s="70" t="s">
        <v>175</v>
      </c>
      <c r="B146" s="8" t="s">
        <v>8</v>
      </c>
      <c r="C146" s="99" t="s">
        <v>20</v>
      </c>
      <c r="D146" s="73">
        <v>110.0</v>
      </c>
      <c r="E146" s="91">
        <v>365.0</v>
      </c>
      <c r="F146" s="71"/>
      <c r="G146" s="71"/>
      <c r="H146" s="71"/>
      <c r="I146" s="71"/>
      <c r="J146" s="73">
        <f t="shared" si="19"/>
        <v>110</v>
      </c>
      <c r="K146" s="73">
        <f t="shared" ref="K146:K149" si="22">E146+I146</f>
        <v>365</v>
      </c>
      <c r="L146" s="105" t="s">
        <v>679</v>
      </c>
    </row>
    <row r="147">
      <c r="A147" s="70" t="s">
        <v>79</v>
      </c>
      <c r="B147" s="8" t="s">
        <v>8</v>
      </c>
      <c r="C147" s="99" t="s">
        <v>20</v>
      </c>
      <c r="D147" s="73">
        <v>106.0</v>
      </c>
      <c r="E147" s="73">
        <v>362.0</v>
      </c>
      <c r="F147" s="71"/>
      <c r="G147" s="71"/>
      <c r="H147" s="71"/>
      <c r="I147" s="71"/>
      <c r="J147" s="73">
        <f t="shared" si="19"/>
        <v>106</v>
      </c>
      <c r="K147" s="73">
        <f t="shared" si="22"/>
        <v>362</v>
      </c>
      <c r="L147" s="105" t="s">
        <v>680</v>
      </c>
    </row>
    <row r="148">
      <c r="A148" s="70" t="s">
        <v>681</v>
      </c>
      <c r="B148" s="8" t="s">
        <v>54</v>
      </c>
      <c r="C148" s="99" t="s">
        <v>20</v>
      </c>
      <c r="D148" s="73">
        <v>103.0</v>
      </c>
      <c r="E148" s="73">
        <v>347.0</v>
      </c>
      <c r="F148" s="71"/>
      <c r="G148" s="71"/>
      <c r="H148" s="71"/>
      <c r="I148" s="71"/>
      <c r="J148" s="73">
        <f t="shared" si="19"/>
        <v>103</v>
      </c>
      <c r="K148" s="73">
        <f t="shared" si="22"/>
        <v>347</v>
      </c>
      <c r="L148" s="105" t="s">
        <v>682</v>
      </c>
    </row>
    <row r="149">
      <c r="A149" s="70" t="s">
        <v>683</v>
      </c>
      <c r="B149" s="8" t="s">
        <v>54</v>
      </c>
      <c r="C149" s="99" t="s">
        <v>20</v>
      </c>
      <c r="D149" s="73">
        <v>101.0</v>
      </c>
      <c r="E149" s="73">
        <v>347.0</v>
      </c>
      <c r="F149" s="71"/>
      <c r="G149" s="71"/>
      <c r="H149" s="71"/>
      <c r="I149" s="71"/>
      <c r="J149" s="73">
        <f t="shared" si="19"/>
        <v>101</v>
      </c>
      <c r="K149" s="73">
        <f t="shared" si="22"/>
        <v>347</v>
      </c>
      <c r="L149" s="105" t="s">
        <v>684</v>
      </c>
    </row>
    <row r="150">
      <c r="A150" s="70" t="s">
        <v>685</v>
      </c>
      <c r="B150" s="8" t="s">
        <v>417</v>
      </c>
      <c r="C150" s="99" t="s">
        <v>20</v>
      </c>
      <c r="D150" s="73">
        <v>62.0</v>
      </c>
      <c r="E150" s="71"/>
      <c r="F150" s="71"/>
      <c r="G150" s="71"/>
      <c r="H150" s="71"/>
      <c r="I150" s="71"/>
      <c r="J150" s="73">
        <f t="shared" si="19"/>
        <v>62</v>
      </c>
      <c r="K150" s="73"/>
      <c r="L150" s="105" t="s">
        <v>686</v>
      </c>
    </row>
    <row r="151">
      <c r="A151" s="70" t="s">
        <v>48</v>
      </c>
      <c r="B151" s="8" t="s">
        <v>19</v>
      </c>
      <c r="C151" s="99" t="s">
        <v>20</v>
      </c>
      <c r="D151" s="73">
        <v>46.0</v>
      </c>
      <c r="E151" s="71"/>
      <c r="F151" s="71"/>
      <c r="G151" s="71"/>
      <c r="H151" s="71"/>
      <c r="I151" s="71"/>
      <c r="J151" s="73">
        <f t="shared" si="19"/>
        <v>46</v>
      </c>
      <c r="K151" s="73"/>
      <c r="L151" s="105" t="s">
        <v>49</v>
      </c>
    </row>
    <row r="152">
      <c r="A152" s="70" t="s">
        <v>687</v>
      </c>
      <c r="B152" s="8" t="s">
        <v>19</v>
      </c>
      <c r="C152" s="99" t="s">
        <v>20</v>
      </c>
      <c r="D152" s="73">
        <v>48.0</v>
      </c>
      <c r="E152" s="71"/>
      <c r="F152" s="71"/>
      <c r="G152" s="71"/>
      <c r="H152" s="71"/>
      <c r="I152" s="71"/>
      <c r="J152" s="73">
        <f t="shared" si="19"/>
        <v>48</v>
      </c>
      <c r="K152" s="73"/>
      <c r="L152" s="105" t="s">
        <v>688</v>
      </c>
    </row>
    <row r="153">
      <c r="A153" s="70" t="s">
        <v>689</v>
      </c>
      <c r="B153" s="8" t="s">
        <v>8</v>
      </c>
      <c r="C153" s="99" t="s">
        <v>12</v>
      </c>
      <c r="D153" s="73">
        <v>107.0</v>
      </c>
      <c r="E153" s="73">
        <v>362.0</v>
      </c>
      <c r="F153" s="73">
        <v>30.0</v>
      </c>
      <c r="G153" s="71"/>
      <c r="H153" s="73">
        <v>3000.0</v>
      </c>
      <c r="I153" s="73">
        <v>15.0</v>
      </c>
      <c r="J153" s="73">
        <f t="shared" si="19"/>
        <v>122</v>
      </c>
      <c r="K153" s="73">
        <f t="shared" ref="K153:K157" si="23">E153+I153</f>
        <v>377</v>
      </c>
      <c r="L153" s="105" t="s">
        <v>690</v>
      </c>
    </row>
    <row r="154">
      <c r="A154" s="70" t="s">
        <v>691</v>
      </c>
      <c r="B154" s="8" t="s">
        <v>8</v>
      </c>
      <c r="C154" s="99" t="s">
        <v>12</v>
      </c>
      <c r="D154" s="73">
        <v>109.0</v>
      </c>
      <c r="E154" s="73">
        <v>362.0</v>
      </c>
      <c r="F154" s="73">
        <v>30.0</v>
      </c>
      <c r="G154" s="71"/>
      <c r="H154" s="71"/>
      <c r="I154" s="71"/>
      <c r="J154" s="73">
        <f t="shared" si="19"/>
        <v>109</v>
      </c>
      <c r="K154" s="73">
        <f t="shared" si="23"/>
        <v>362</v>
      </c>
      <c r="L154" s="105" t="s">
        <v>209</v>
      </c>
    </row>
    <row r="155">
      <c r="A155" s="70" t="s">
        <v>11</v>
      </c>
      <c r="B155" s="8" t="s">
        <v>8</v>
      </c>
      <c r="C155" s="99" t="s">
        <v>12</v>
      </c>
      <c r="D155" s="73">
        <v>107.0</v>
      </c>
      <c r="E155" s="73">
        <v>362.0</v>
      </c>
      <c r="F155" s="73">
        <v>30.0</v>
      </c>
      <c r="G155" s="71"/>
      <c r="H155" s="71"/>
      <c r="I155" s="71"/>
      <c r="J155" s="73">
        <f t="shared" si="19"/>
        <v>107</v>
      </c>
      <c r="K155" s="73">
        <f t="shared" si="23"/>
        <v>362</v>
      </c>
      <c r="L155" s="105" t="s">
        <v>13</v>
      </c>
    </row>
    <row r="156">
      <c r="A156" s="70" t="s">
        <v>208</v>
      </c>
      <c r="B156" s="8" t="s">
        <v>8</v>
      </c>
      <c r="C156" s="99" t="s">
        <v>12</v>
      </c>
      <c r="D156" s="73">
        <v>107.0</v>
      </c>
      <c r="E156" s="73">
        <v>362.0</v>
      </c>
      <c r="F156" s="71"/>
      <c r="G156" s="71"/>
      <c r="H156" s="71"/>
      <c r="I156" s="71"/>
      <c r="J156" s="73">
        <f t="shared" si="19"/>
        <v>107</v>
      </c>
      <c r="K156" s="73">
        <f t="shared" si="23"/>
        <v>362</v>
      </c>
      <c r="L156" s="105" t="s">
        <v>209</v>
      </c>
    </row>
    <row r="157">
      <c r="A157" s="70" t="s">
        <v>692</v>
      </c>
      <c r="B157" s="8" t="s">
        <v>54</v>
      </c>
      <c r="C157" s="99" t="s">
        <v>12</v>
      </c>
      <c r="D157" s="73">
        <v>105.0</v>
      </c>
      <c r="E157" s="73">
        <v>347.0</v>
      </c>
      <c r="F157" s="71"/>
      <c r="G157" s="71"/>
      <c r="H157" s="71"/>
      <c r="I157" s="71"/>
      <c r="J157" s="73">
        <f t="shared" si="19"/>
        <v>105</v>
      </c>
      <c r="K157" s="73">
        <f t="shared" si="23"/>
        <v>347</v>
      </c>
      <c r="L157" s="105" t="s">
        <v>693</v>
      </c>
    </row>
    <row r="158">
      <c r="A158" s="70" t="s">
        <v>694</v>
      </c>
      <c r="B158" s="8" t="s">
        <v>15</v>
      </c>
      <c r="C158" s="99" t="s">
        <v>12</v>
      </c>
      <c r="D158" s="73">
        <v>84.0</v>
      </c>
      <c r="E158" s="71"/>
      <c r="F158" s="71"/>
      <c r="G158" s="71"/>
      <c r="H158" s="71"/>
      <c r="I158" s="73">
        <v>10.0</v>
      </c>
      <c r="J158" s="73">
        <f t="shared" si="19"/>
        <v>94</v>
      </c>
      <c r="K158" s="73"/>
      <c r="L158" s="105" t="s">
        <v>292</v>
      </c>
    </row>
    <row r="159">
      <c r="A159" s="70" t="s">
        <v>695</v>
      </c>
      <c r="B159" s="8" t="s">
        <v>19</v>
      </c>
      <c r="C159" s="99" t="s">
        <v>12</v>
      </c>
      <c r="D159" s="73">
        <v>46.0</v>
      </c>
      <c r="E159" s="71"/>
      <c r="F159" s="71"/>
      <c r="G159" s="71"/>
      <c r="H159" s="71"/>
      <c r="I159" s="71"/>
      <c r="J159" s="73">
        <f t="shared" si="19"/>
        <v>46</v>
      </c>
      <c r="K159" s="73"/>
      <c r="L159" s="105" t="s">
        <v>696</v>
      </c>
    </row>
    <row r="160">
      <c r="A160" s="70" t="s">
        <v>697</v>
      </c>
      <c r="B160" s="8" t="s">
        <v>8</v>
      </c>
      <c r="C160" s="99" t="s">
        <v>40</v>
      </c>
      <c r="D160" s="73">
        <v>107.0</v>
      </c>
      <c r="E160" s="73">
        <f>63+54+75+63+107</f>
        <v>362</v>
      </c>
      <c r="F160" s="71"/>
      <c r="G160" s="71"/>
      <c r="H160" s="71"/>
      <c r="I160" s="99">
        <v>15.0</v>
      </c>
      <c r="J160" s="73">
        <f t="shared" si="19"/>
        <v>122</v>
      </c>
      <c r="K160" s="73">
        <f t="shared" ref="K160:K163" si="24">E160+I160</f>
        <v>377</v>
      </c>
      <c r="L160" s="105" t="s">
        <v>698</v>
      </c>
    </row>
    <row r="161">
      <c r="A161" s="70" t="s">
        <v>699</v>
      </c>
      <c r="B161" s="8" t="s">
        <v>8</v>
      </c>
      <c r="C161" s="99" t="s">
        <v>40</v>
      </c>
      <c r="D161" s="73">
        <v>106.0</v>
      </c>
      <c r="E161" s="73">
        <v>362.0</v>
      </c>
      <c r="F161" s="71"/>
      <c r="G161" s="71"/>
      <c r="H161" s="71"/>
      <c r="I161" s="99">
        <v>15.0</v>
      </c>
      <c r="J161" s="73">
        <f t="shared" si="19"/>
        <v>121</v>
      </c>
      <c r="K161" s="73">
        <f t="shared" si="24"/>
        <v>377</v>
      </c>
      <c r="L161" s="105" t="s">
        <v>700</v>
      </c>
    </row>
    <row r="162">
      <c r="A162" s="70" t="s">
        <v>701</v>
      </c>
      <c r="B162" s="8" t="s">
        <v>8</v>
      </c>
      <c r="C162" s="99" t="s">
        <v>40</v>
      </c>
      <c r="D162" s="73">
        <v>106.0</v>
      </c>
      <c r="E162" s="73">
        <v>362.0</v>
      </c>
      <c r="F162" s="71"/>
      <c r="G162" s="71"/>
      <c r="H162" s="71"/>
      <c r="I162" s="71"/>
      <c r="J162" s="73">
        <f t="shared" si="19"/>
        <v>106</v>
      </c>
      <c r="K162" s="73">
        <f t="shared" si="24"/>
        <v>362</v>
      </c>
      <c r="L162" s="105" t="s">
        <v>698</v>
      </c>
    </row>
    <row r="163">
      <c r="A163" s="70" t="s">
        <v>394</v>
      </c>
      <c r="B163" s="8" t="s">
        <v>54</v>
      </c>
      <c r="C163" s="99" t="s">
        <v>40</v>
      </c>
      <c r="D163" s="73">
        <v>105.0</v>
      </c>
      <c r="E163" s="73">
        <v>347.0</v>
      </c>
      <c r="F163" s="71"/>
      <c r="G163" s="71"/>
      <c r="H163" s="71"/>
      <c r="I163" s="71"/>
      <c r="J163" s="73">
        <f t="shared" si="19"/>
        <v>105</v>
      </c>
      <c r="K163" s="73">
        <f t="shared" si="24"/>
        <v>347</v>
      </c>
      <c r="L163" s="74" t="s">
        <v>702</v>
      </c>
    </row>
    <row r="164">
      <c r="A164" s="70" t="s">
        <v>703</v>
      </c>
      <c r="B164" s="8" t="s">
        <v>417</v>
      </c>
      <c r="C164" s="99" t="s">
        <v>40</v>
      </c>
      <c r="D164" s="73">
        <v>62.0</v>
      </c>
      <c r="E164" s="71"/>
      <c r="F164" s="71"/>
      <c r="G164" s="71"/>
      <c r="H164" s="71"/>
      <c r="I164" s="71"/>
      <c r="J164" s="73">
        <f t="shared" si="19"/>
        <v>62</v>
      </c>
      <c r="K164" s="73"/>
      <c r="L164" s="74" t="s">
        <v>704</v>
      </c>
    </row>
    <row r="165">
      <c r="A165" s="75" t="s">
        <v>705</v>
      </c>
      <c r="B165" s="96" t="s">
        <v>19</v>
      </c>
      <c r="C165" s="125" t="s">
        <v>40</v>
      </c>
      <c r="D165" s="77">
        <v>45.0</v>
      </c>
      <c r="E165" s="93"/>
      <c r="F165" s="93"/>
      <c r="G165" s="93"/>
      <c r="H165" s="93"/>
      <c r="I165" s="93"/>
      <c r="J165" s="77">
        <f t="shared" si="19"/>
        <v>45</v>
      </c>
      <c r="K165" s="77"/>
      <c r="L165" s="84" t="s">
        <v>434</v>
      </c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</row>
    <row r="169">
      <c r="A169" s="104"/>
      <c r="B169" s="104"/>
      <c r="C169" s="104"/>
      <c r="D169" s="104"/>
      <c r="E169" s="80"/>
      <c r="F169" s="80"/>
      <c r="G169" s="80"/>
      <c r="H169" s="80"/>
      <c r="I169" s="80"/>
      <c r="J169" s="104"/>
      <c r="K169" s="104"/>
      <c r="L169" s="104"/>
    </row>
    <row r="170">
      <c r="A170" s="104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</row>
    <row r="171">
      <c r="A171" s="67" t="s">
        <v>578</v>
      </c>
      <c r="B171" s="82"/>
      <c r="C171" s="68" t="s">
        <v>579</v>
      </c>
      <c r="D171" s="68" t="s">
        <v>580</v>
      </c>
      <c r="E171" s="68" t="s">
        <v>581</v>
      </c>
      <c r="F171" s="68" t="s">
        <v>539</v>
      </c>
      <c r="G171" s="68" t="s">
        <v>540</v>
      </c>
      <c r="H171" s="69" t="s">
        <v>541</v>
      </c>
      <c r="I171" s="80"/>
      <c r="J171" s="80"/>
      <c r="K171" s="80"/>
      <c r="L171" s="80"/>
    </row>
    <row r="172">
      <c r="A172" s="126">
        <v>1.0</v>
      </c>
      <c r="B172" s="99" t="s">
        <v>582</v>
      </c>
      <c r="C172" s="87"/>
      <c r="D172" s="99" t="s">
        <v>706</v>
      </c>
      <c r="E172" s="91">
        <f>K153</f>
        <v>377</v>
      </c>
      <c r="F172" s="91">
        <f>F153</f>
        <v>30</v>
      </c>
      <c r="G172" s="87"/>
      <c r="H172" s="127">
        <f>H153</f>
        <v>3000</v>
      </c>
      <c r="I172" s="80"/>
      <c r="J172" s="80"/>
      <c r="K172" s="80"/>
      <c r="L172" s="80"/>
    </row>
    <row r="173">
      <c r="A173" s="126">
        <v>2.0</v>
      </c>
      <c r="B173" s="8" t="s">
        <v>9</v>
      </c>
      <c r="C173" s="99" t="s">
        <v>707</v>
      </c>
      <c r="D173" s="99" t="s">
        <v>707</v>
      </c>
      <c r="E173" s="91">
        <f>J132</f>
        <v>399</v>
      </c>
      <c r="F173" s="87"/>
      <c r="G173" s="87"/>
      <c r="H173" s="88"/>
      <c r="I173" s="80"/>
      <c r="J173" s="80"/>
      <c r="K173" s="80"/>
      <c r="L173" s="80"/>
    </row>
    <row r="174">
      <c r="A174" s="126">
        <v>3.0</v>
      </c>
      <c r="B174" s="99" t="s">
        <v>12</v>
      </c>
      <c r="C174" s="99" t="s">
        <v>708</v>
      </c>
      <c r="D174" s="99" t="s">
        <v>708</v>
      </c>
      <c r="E174" s="91">
        <f>J158</f>
        <v>94</v>
      </c>
      <c r="F174" s="87"/>
      <c r="G174" s="87"/>
      <c r="H174" s="88"/>
      <c r="I174" s="104"/>
      <c r="J174" s="104"/>
      <c r="K174" s="104"/>
      <c r="L174" s="104"/>
    </row>
    <row r="175">
      <c r="A175" s="126">
        <v>4.0</v>
      </c>
      <c r="B175" s="8" t="s">
        <v>9</v>
      </c>
      <c r="C175" s="99" t="s">
        <v>709</v>
      </c>
      <c r="D175" s="99" t="s">
        <v>709</v>
      </c>
      <c r="E175" s="91">
        <f>J137</f>
        <v>44</v>
      </c>
      <c r="F175" s="87"/>
      <c r="G175" s="87"/>
      <c r="H175" s="88"/>
      <c r="I175" s="80"/>
      <c r="J175" s="80"/>
      <c r="K175" s="80"/>
      <c r="L175" s="80"/>
    </row>
    <row r="176">
      <c r="A176" s="126">
        <v>5.0</v>
      </c>
      <c r="B176" s="8" t="s">
        <v>9</v>
      </c>
      <c r="C176" s="87"/>
      <c r="D176" s="99" t="s">
        <v>710</v>
      </c>
      <c r="E176" s="91">
        <f>J133</f>
        <v>123</v>
      </c>
      <c r="F176" s="87"/>
      <c r="G176" s="87"/>
      <c r="H176" s="88"/>
      <c r="I176" s="104"/>
      <c r="J176" s="104"/>
      <c r="K176" s="104"/>
      <c r="L176" s="104"/>
    </row>
    <row r="177">
      <c r="A177" s="126">
        <v>6.0</v>
      </c>
      <c r="B177" s="8" t="s">
        <v>16</v>
      </c>
      <c r="C177" s="87"/>
      <c r="D177" s="99" t="s">
        <v>711</v>
      </c>
      <c r="E177" s="91">
        <f>J139</f>
        <v>108</v>
      </c>
      <c r="F177" s="87">
        <f>F139</f>
        <v>30</v>
      </c>
      <c r="G177" s="87"/>
      <c r="H177" s="88"/>
      <c r="I177" s="104"/>
      <c r="J177" s="104"/>
      <c r="K177" s="104"/>
      <c r="L177" s="104"/>
    </row>
    <row r="178">
      <c r="A178" s="126">
        <v>7.0</v>
      </c>
      <c r="B178" s="8" t="s">
        <v>16</v>
      </c>
      <c r="C178" s="87"/>
      <c r="D178" s="99" t="s">
        <v>712</v>
      </c>
      <c r="E178" s="91">
        <f t="shared" ref="E178:E179" si="25">J139</f>
        <v>108</v>
      </c>
      <c r="F178" s="87"/>
      <c r="G178" s="87"/>
      <c r="H178" s="88"/>
      <c r="I178" s="104"/>
      <c r="J178" s="104"/>
      <c r="K178" s="104"/>
      <c r="L178" s="104"/>
    </row>
    <row r="179">
      <c r="A179" s="126">
        <v>8.0</v>
      </c>
      <c r="B179" s="8" t="s">
        <v>16</v>
      </c>
      <c r="C179" s="87"/>
      <c r="D179" s="99" t="s">
        <v>713</v>
      </c>
      <c r="E179" s="91">
        <f t="shared" si="25"/>
        <v>102</v>
      </c>
      <c r="F179" s="87"/>
      <c r="G179" s="87"/>
      <c r="H179" s="88"/>
      <c r="I179" s="104"/>
      <c r="J179" s="104"/>
      <c r="K179" s="104"/>
      <c r="L179" s="104"/>
    </row>
    <row r="180">
      <c r="A180" s="126">
        <v>9.0</v>
      </c>
      <c r="B180" s="99" t="s">
        <v>20</v>
      </c>
      <c r="C180" s="87"/>
      <c r="D180" s="99" t="s">
        <v>714</v>
      </c>
      <c r="E180" s="91">
        <f t="shared" ref="E180:E182" si="26">J146</f>
        <v>110</v>
      </c>
      <c r="F180" s="87"/>
      <c r="G180" s="87"/>
      <c r="H180" s="88"/>
      <c r="I180" s="80"/>
      <c r="J180" s="80"/>
      <c r="K180" s="80"/>
      <c r="L180" s="80"/>
    </row>
    <row r="181">
      <c r="A181" s="126">
        <v>10.0</v>
      </c>
      <c r="B181" s="99" t="s">
        <v>20</v>
      </c>
      <c r="C181" s="87"/>
      <c r="D181" s="99" t="s">
        <v>715</v>
      </c>
      <c r="E181" s="91">
        <f t="shared" si="26"/>
        <v>106</v>
      </c>
      <c r="F181" s="87"/>
      <c r="G181" s="87"/>
      <c r="H181" s="88"/>
      <c r="I181" s="80"/>
      <c r="J181" s="80"/>
      <c r="K181" s="80"/>
      <c r="L181" s="80"/>
    </row>
    <row r="182">
      <c r="A182" s="126">
        <v>11.0</v>
      </c>
      <c r="B182" s="99" t="s">
        <v>20</v>
      </c>
      <c r="C182" s="87"/>
      <c r="D182" s="99" t="s">
        <v>716</v>
      </c>
      <c r="E182" s="91">
        <f t="shared" si="26"/>
        <v>103</v>
      </c>
      <c r="F182" s="87"/>
      <c r="G182" s="87"/>
      <c r="H182" s="88"/>
      <c r="I182" s="104"/>
      <c r="J182" s="104"/>
      <c r="K182" s="104"/>
      <c r="L182" s="104"/>
    </row>
    <row r="183">
      <c r="A183" s="126">
        <v>12.0</v>
      </c>
      <c r="B183" s="99" t="s">
        <v>12</v>
      </c>
      <c r="C183" s="87"/>
      <c r="D183" s="99" t="s">
        <v>717</v>
      </c>
      <c r="E183" s="91">
        <f t="shared" ref="E183:E184" si="27">J154</f>
        <v>109</v>
      </c>
      <c r="F183" s="91">
        <f t="shared" ref="F183:F184" si="28">F154</f>
        <v>30</v>
      </c>
      <c r="G183" s="87"/>
      <c r="H183" s="88"/>
      <c r="I183" s="104"/>
      <c r="J183" s="104"/>
      <c r="K183" s="104"/>
      <c r="L183" s="104"/>
    </row>
    <row r="184">
      <c r="A184" s="126">
        <v>13.0</v>
      </c>
      <c r="B184" s="99" t="s">
        <v>12</v>
      </c>
      <c r="C184" s="87"/>
      <c r="D184" s="8" t="s">
        <v>718</v>
      </c>
      <c r="E184" s="91">
        <f t="shared" si="27"/>
        <v>107</v>
      </c>
      <c r="F184" s="91">
        <f t="shared" si="28"/>
        <v>30</v>
      </c>
      <c r="G184" s="87"/>
      <c r="H184" s="88"/>
      <c r="I184" s="104"/>
      <c r="J184" s="104"/>
      <c r="K184" s="104"/>
      <c r="L184" s="104"/>
    </row>
    <row r="185">
      <c r="A185" s="126">
        <v>14.0</v>
      </c>
      <c r="B185" s="99" t="s">
        <v>40</v>
      </c>
      <c r="C185" s="87"/>
      <c r="D185" s="133" t="s">
        <v>719</v>
      </c>
      <c r="E185" s="134">
        <f t="shared" ref="E185:E186" si="29">J160</f>
        <v>122</v>
      </c>
      <c r="F185" s="87"/>
      <c r="G185" s="87"/>
      <c r="H185" s="88"/>
      <c r="I185" s="104"/>
      <c r="J185" s="104"/>
      <c r="K185" s="104"/>
      <c r="L185" s="104"/>
    </row>
    <row r="186">
      <c r="A186" s="126">
        <v>15.0</v>
      </c>
      <c r="B186" s="99" t="s">
        <v>40</v>
      </c>
      <c r="C186" s="87"/>
      <c r="D186" s="133" t="s">
        <v>720</v>
      </c>
      <c r="E186" s="134">
        <f t="shared" si="29"/>
        <v>121</v>
      </c>
      <c r="F186" s="87"/>
      <c r="G186" s="87"/>
      <c r="H186" s="88"/>
      <c r="I186" s="104"/>
      <c r="J186" s="104"/>
      <c r="K186" s="104"/>
      <c r="L186" s="104"/>
    </row>
    <row r="187">
      <c r="A187" s="126">
        <v>16.0</v>
      </c>
      <c r="B187" s="99" t="s">
        <v>40</v>
      </c>
      <c r="C187" s="87"/>
      <c r="D187" s="8" t="s">
        <v>721</v>
      </c>
      <c r="E187" s="91">
        <f>D162</f>
        <v>106</v>
      </c>
      <c r="F187" s="87"/>
      <c r="G187" s="87"/>
      <c r="H187" s="88"/>
      <c r="I187" s="104"/>
      <c r="J187" s="104"/>
      <c r="K187" s="104"/>
      <c r="L187" s="104"/>
    </row>
    <row r="188">
      <c r="A188" s="128"/>
      <c r="B188" s="93"/>
      <c r="C188" s="93"/>
      <c r="D188" s="125" t="s">
        <v>595</v>
      </c>
      <c r="E188" s="94">
        <f t="shared" ref="E188:H188" si="30">SUM(E172:E187)</f>
        <v>2239</v>
      </c>
      <c r="F188" s="94">
        <f t="shared" si="30"/>
        <v>120</v>
      </c>
      <c r="G188" s="94">
        <f t="shared" si="30"/>
        <v>0</v>
      </c>
      <c r="H188" s="94">
        <f t="shared" si="30"/>
        <v>3000</v>
      </c>
      <c r="I188" s="104"/>
      <c r="J188" s="104"/>
      <c r="K188" s="104"/>
      <c r="L188" s="104"/>
    </row>
    <row r="192">
      <c r="A192" s="123"/>
      <c r="B192" s="89"/>
      <c r="C192" s="89"/>
      <c r="D192" s="68" t="s">
        <v>537</v>
      </c>
      <c r="E192" s="68" t="s">
        <v>538</v>
      </c>
      <c r="F192" s="68" t="s">
        <v>539</v>
      </c>
      <c r="G192" s="68" t="s">
        <v>540</v>
      </c>
      <c r="H192" s="68" t="s">
        <v>541</v>
      </c>
      <c r="I192" s="68" t="s">
        <v>542</v>
      </c>
      <c r="J192" s="68" t="s">
        <v>543</v>
      </c>
      <c r="K192" s="68" t="s">
        <v>544</v>
      </c>
      <c r="L192" s="90"/>
    </row>
    <row r="193">
      <c r="A193" s="130" t="s">
        <v>179</v>
      </c>
      <c r="B193" s="71"/>
      <c r="C193" s="71"/>
      <c r="D193" s="71"/>
      <c r="E193" s="71"/>
      <c r="F193" s="71"/>
      <c r="G193" s="87"/>
      <c r="H193" s="87"/>
      <c r="I193" s="87"/>
      <c r="J193" s="87"/>
      <c r="K193" s="87"/>
      <c r="L193" s="88"/>
    </row>
    <row r="194">
      <c r="A194" s="70" t="s">
        <v>6</v>
      </c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2"/>
    </row>
    <row r="195">
      <c r="A195" s="70" t="s">
        <v>722</v>
      </c>
      <c r="B195" s="8" t="s">
        <v>54</v>
      </c>
      <c r="C195" s="8" t="s">
        <v>9</v>
      </c>
      <c r="D195" s="73">
        <v>109.0</v>
      </c>
      <c r="E195" s="73">
        <v>347.0</v>
      </c>
      <c r="F195" s="71"/>
      <c r="G195" s="71"/>
      <c r="H195" s="71"/>
      <c r="I195" s="73">
        <v>15.0</v>
      </c>
      <c r="J195" s="73">
        <f t="shared" ref="J195:J240" si="31">D195+I195</f>
        <v>124</v>
      </c>
      <c r="K195" s="73">
        <f t="shared" ref="K195:K206" si="32">E195+I195</f>
        <v>362</v>
      </c>
      <c r="L195" s="74" t="s">
        <v>723</v>
      </c>
    </row>
    <row r="196">
      <c r="A196" s="70" t="s">
        <v>724</v>
      </c>
      <c r="B196" s="8" t="s">
        <v>8</v>
      </c>
      <c r="C196" s="8" t="s">
        <v>9</v>
      </c>
      <c r="D196" s="73">
        <v>106.0</v>
      </c>
      <c r="E196" s="73">
        <v>362.0</v>
      </c>
      <c r="F196" s="71"/>
      <c r="G196" s="71"/>
      <c r="H196" s="71"/>
      <c r="I196" s="73">
        <v>15.0</v>
      </c>
      <c r="J196" s="73">
        <f t="shared" si="31"/>
        <v>121</v>
      </c>
      <c r="K196" s="73">
        <f t="shared" si="32"/>
        <v>377</v>
      </c>
      <c r="L196" s="74" t="s">
        <v>725</v>
      </c>
    </row>
    <row r="197">
      <c r="A197" s="70" t="s">
        <v>726</v>
      </c>
      <c r="B197" s="8" t="s">
        <v>54</v>
      </c>
      <c r="C197" s="8" t="s">
        <v>9</v>
      </c>
      <c r="D197" s="73">
        <v>108.0</v>
      </c>
      <c r="E197" s="73">
        <v>362.0</v>
      </c>
      <c r="F197" s="99">
        <v>30.0</v>
      </c>
      <c r="G197" s="71"/>
      <c r="H197" s="71"/>
      <c r="I197" s="73"/>
      <c r="J197" s="73">
        <f t="shared" si="31"/>
        <v>108</v>
      </c>
      <c r="K197" s="73">
        <f t="shared" si="32"/>
        <v>362</v>
      </c>
      <c r="L197" s="74" t="s">
        <v>55</v>
      </c>
    </row>
    <row r="198">
      <c r="A198" s="70" t="s">
        <v>727</v>
      </c>
      <c r="B198" s="8" t="s">
        <v>8</v>
      </c>
      <c r="C198" s="8" t="s">
        <v>9</v>
      </c>
      <c r="D198" s="73">
        <v>106.0</v>
      </c>
      <c r="E198" s="73">
        <v>362.0</v>
      </c>
      <c r="F198" s="71"/>
      <c r="G198" s="71"/>
      <c r="H198" s="71"/>
      <c r="I198" s="73"/>
      <c r="J198" s="73">
        <f t="shared" si="31"/>
        <v>106</v>
      </c>
      <c r="K198" s="73">
        <f t="shared" si="32"/>
        <v>362</v>
      </c>
      <c r="L198" s="74" t="s">
        <v>156</v>
      </c>
    </row>
    <row r="199">
      <c r="A199" s="70" t="s">
        <v>728</v>
      </c>
      <c r="B199" s="8" t="s">
        <v>8</v>
      </c>
      <c r="C199" s="8" t="s">
        <v>9</v>
      </c>
      <c r="D199" s="73">
        <v>106.0</v>
      </c>
      <c r="E199" s="73">
        <v>362.0</v>
      </c>
      <c r="F199" s="99">
        <v>30.0</v>
      </c>
      <c r="G199" s="71"/>
      <c r="H199" s="71"/>
      <c r="I199" s="73"/>
      <c r="J199" s="73">
        <f t="shared" si="31"/>
        <v>106</v>
      </c>
      <c r="K199" s="73">
        <f t="shared" si="32"/>
        <v>362</v>
      </c>
      <c r="L199" s="74" t="s">
        <v>729</v>
      </c>
    </row>
    <row r="200">
      <c r="A200" s="70" t="s">
        <v>730</v>
      </c>
      <c r="B200" s="8" t="s">
        <v>54</v>
      </c>
      <c r="C200" s="8" t="s">
        <v>9</v>
      </c>
      <c r="D200" s="73">
        <v>105.0</v>
      </c>
      <c r="E200" s="73">
        <v>347.0</v>
      </c>
      <c r="F200" s="71"/>
      <c r="G200" s="71"/>
      <c r="H200" s="71"/>
      <c r="I200" s="73"/>
      <c r="J200" s="73">
        <f t="shared" si="31"/>
        <v>105</v>
      </c>
      <c r="K200" s="73">
        <f t="shared" si="32"/>
        <v>347</v>
      </c>
      <c r="L200" s="74" t="s">
        <v>305</v>
      </c>
    </row>
    <row r="201">
      <c r="A201" s="70" t="s">
        <v>731</v>
      </c>
      <c r="B201" s="8" t="s">
        <v>54</v>
      </c>
      <c r="C201" s="8" t="s">
        <v>9</v>
      </c>
      <c r="D201" s="73">
        <v>104.0</v>
      </c>
      <c r="E201" s="73">
        <v>347.0</v>
      </c>
      <c r="F201" s="71"/>
      <c r="G201" s="71"/>
      <c r="H201" s="71"/>
      <c r="I201" s="73"/>
      <c r="J201" s="73">
        <f t="shared" si="31"/>
        <v>104</v>
      </c>
      <c r="K201" s="73">
        <f t="shared" si="32"/>
        <v>347</v>
      </c>
      <c r="L201" s="105" t="s">
        <v>674</v>
      </c>
    </row>
    <row r="202">
      <c r="A202" s="70" t="s">
        <v>732</v>
      </c>
      <c r="B202" s="8" t="s">
        <v>54</v>
      </c>
      <c r="C202" s="8" t="s">
        <v>9</v>
      </c>
      <c r="D202" s="73">
        <v>104.0</v>
      </c>
      <c r="E202" s="73">
        <v>347.0</v>
      </c>
      <c r="F202" s="71"/>
      <c r="G202" s="71"/>
      <c r="H202" s="71"/>
      <c r="I202" s="73"/>
      <c r="J202" s="73">
        <f t="shared" si="31"/>
        <v>104</v>
      </c>
      <c r="K202" s="73">
        <f t="shared" si="32"/>
        <v>347</v>
      </c>
      <c r="L202" s="105" t="s">
        <v>733</v>
      </c>
    </row>
    <row r="203">
      <c r="A203" s="70" t="s">
        <v>734</v>
      </c>
      <c r="B203" s="8" t="s">
        <v>54</v>
      </c>
      <c r="C203" s="8" t="s">
        <v>9</v>
      </c>
      <c r="D203" s="73">
        <v>104.0</v>
      </c>
      <c r="E203" s="73">
        <v>347.0</v>
      </c>
      <c r="F203" s="71"/>
      <c r="G203" s="71"/>
      <c r="H203" s="71"/>
      <c r="I203" s="73"/>
      <c r="J203" s="73">
        <f t="shared" si="31"/>
        <v>104</v>
      </c>
      <c r="K203" s="73">
        <f t="shared" si="32"/>
        <v>347</v>
      </c>
      <c r="L203" s="105" t="s">
        <v>735</v>
      </c>
    </row>
    <row r="204">
      <c r="A204" s="70" t="s">
        <v>736</v>
      </c>
      <c r="B204" s="8" t="s">
        <v>54</v>
      </c>
      <c r="C204" s="8" t="s">
        <v>9</v>
      </c>
      <c r="D204" s="73">
        <v>103.0</v>
      </c>
      <c r="E204" s="73">
        <v>347.0</v>
      </c>
      <c r="F204" s="71"/>
      <c r="G204" s="71"/>
      <c r="H204" s="71"/>
      <c r="I204" s="73"/>
      <c r="J204" s="73">
        <f t="shared" si="31"/>
        <v>103</v>
      </c>
      <c r="K204" s="73">
        <f t="shared" si="32"/>
        <v>347</v>
      </c>
      <c r="L204" s="105" t="s">
        <v>737</v>
      </c>
    </row>
    <row r="205">
      <c r="A205" s="70" t="s">
        <v>738</v>
      </c>
      <c r="B205" s="8" t="s">
        <v>96</v>
      </c>
      <c r="C205" s="8" t="s">
        <v>9</v>
      </c>
      <c r="D205" s="73">
        <v>98.0</v>
      </c>
      <c r="E205" s="73">
        <v>332.0</v>
      </c>
      <c r="F205" s="71"/>
      <c r="G205" s="71"/>
      <c r="H205" s="71"/>
      <c r="I205" s="99"/>
      <c r="J205" s="73">
        <f t="shared" si="31"/>
        <v>98</v>
      </c>
      <c r="K205" s="73">
        <f t="shared" si="32"/>
        <v>332</v>
      </c>
      <c r="L205" s="105" t="s">
        <v>560</v>
      </c>
    </row>
    <row r="206">
      <c r="A206" s="70" t="s">
        <v>739</v>
      </c>
      <c r="B206" s="8" t="s">
        <v>96</v>
      </c>
      <c r="C206" s="8" t="s">
        <v>9</v>
      </c>
      <c r="D206" s="73">
        <v>97.0</v>
      </c>
      <c r="E206" s="73">
        <v>332.0</v>
      </c>
      <c r="F206" s="71"/>
      <c r="G206" s="71"/>
      <c r="H206" s="71"/>
      <c r="I206" s="99"/>
      <c r="J206" s="73">
        <f t="shared" si="31"/>
        <v>97</v>
      </c>
      <c r="K206" s="73">
        <f t="shared" si="32"/>
        <v>332</v>
      </c>
      <c r="L206" s="105" t="s">
        <v>560</v>
      </c>
    </row>
    <row r="207">
      <c r="A207" s="70" t="s">
        <v>740</v>
      </c>
      <c r="B207" s="8" t="s">
        <v>15</v>
      </c>
      <c r="C207" s="8" t="s">
        <v>9</v>
      </c>
      <c r="D207" s="73">
        <v>73.0</v>
      </c>
      <c r="E207" s="71"/>
      <c r="F207" s="71"/>
      <c r="G207" s="71"/>
      <c r="H207" s="71"/>
      <c r="I207" s="73">
        <v>10.0</v>
      </c>
      <c r="J207" s="73">
        <f t="shared" si="31"/>
        <v>83</v>
      </c>
      <c r="K207" s="73"/>
      <c r="L207" s="105" t="s">
        <v>741</v>
      </c>
    </row>
    <row r="208">
      <c r="A208" s="70" t="s">
        <v>742</v>
      </c>
      <c r="B208" s="8" t="s">
        <v>15</v>
      </c>
      <c r="C208" s="8" t="s">
        <v>9</v>
      </c>
      <c r="D208" s="73">
        <v>74.0</v>
      </c>
      <c r="E208" s="71"/>
      <c r="F208" s="71"/>
      <c r="G208" s="71"/>
      <c r="H208" s="71"/>
      <c r="I208" s="71"/>
      <c r="J208" s="73">
        <f t="shared" si="31"/>
        <v>74</v>
      </c>
      <c r="K208" s="73"/>
      <c r="L208" s="105" t="s">
        <v>266</v>
      </c>
    </row>
    <row r="209">
      <c r="A209" s="70" t="s">
        <v>743</v>
      </c>
      <c r="B209" s="8" t="s">
        <v>15</v>
      </c>
      <c r="C209" s="8" t="s">
        <v>9</v>
      </c>
      <c r="D209" s="73">
        <v>71.0</v>
      </c>
      <c r="E209" s="73"/>
      <c r="F209" s="71"/>
      <c r="G209" s="71"/>
      <c r="H209" s="71"/>
      <c r="I209" s="99"/>
      <c r="J209" s="73">
        <f t="shared" si="31"/>
        <v>71</v>
      </c>
      <c r="K209" s="73"/>
      <c r="L209" s="105" t="s">
        <v>744</v>
      </c>
    </row>
    <row r="210">
      <c r="A210" s="70" t="s">
        <v>745</v>
      </c>
      <c r="B210" s="8" t="s">
        <v>19</v>
      </c>
      <c r="C210" s="8" t="s">
        <v>9</v>
      </c>
      <c r="D210" s="73">
        <v>48.0</v>
      </c>
      <c r="E210" s="73"/>
      <c r="F210" s="71"/>
      <c r="G210" s="71"/>
      <c r="H210" s="71"/>
      <c r="I210" s="71"/>
      <c r="J210" s="73">
        <f t="shared" si="31"/>
        <v>48</v>
      </c>
      <c r="K210" s="73"/>
      <c r="L210" s="105" t="s">
        <v>746</v>
      </c>
    </row>
    <row r="211">
      <c r="A211" s="70" t="s">
        <v>747</v>
      </c>
      <c r="B211" s="8" t="s">
        <v>8</v>
      </c>
      <c r="C211" s="8" t="s">
        <v>16</v>
      </c>
      <c r="D211" s="73">
        <v>106.0</v>
      </c>
      <c r="E211" s="8">
        <f>52+106+69+74+61</f>
        <v>362</v>
      </c>
      <c r="F211" s="87"/>
      <c r="G211" s="87"/>
      <c r="H211" s="87"/>
      <c r="I211" s="8">
        <v>15.0</v>
      </c>
      <c r="J211" s="73">
        <f t="shared" si="31"/>
        <v>121</v>
      </c>
      <c r="K211" s="73">
        <f t="shared" ref="K211:K214" si="33">E211+I211</f>
        <v>377</v>
      </c>
      <c r="L211" s="105" t="s">
        <v>748</v>
      </c>
    </row>
    <row r="212">
      <c r="A212" s="70" t="s">
        <v>749</v>
      </c>
      <c r="B212" s="8" t="s">
        <v>8</v>
      </c>
      <c r="C212" s="8" t="s">
        <v>16</v>
      </c>
      <c r="D212" s="73">
        <v>110.0</v>
      </c>
      <c r="E212" s="8">
        <v>362.0</v>
      </c>
      <c r="F212" s="87"/>
      <c r="G212" s="87"/>
      <c r="H212" s="87"/>
      <c r="I212" s="87"/>
      <c r="J212" s="73">
        <f t="shared" si="31"/>
        <v>110</v>
      </c>
      <c r="K212" s="73">
        <f t="shared" si="33"/>
        <v>362</v>
      </c>
      <c r="L212" s="105" t="s">
        <v>750</v>
      </c>
    </row>
    <row r="213">
      <c r="A213" s="70" t="s">
        <v>751</v>
      </c>
      <c r="B213" s="8" t="s">
        <v>54</v>
      </c>
      <c r="C213" s="8" t="s">
        <v>16</v>
      </c>
      <c r="D213" s="73">
        <v>103.0</v>
      </c>
      <c r="E213" s="8">
        <v>347.0</v>
      </c>
      <c r="F213" s="87"/>
      <c r="G213" s="87"/>
      <c r="H213" s="87"/>
      <c r="I213" s="87"/>
      <c r="J213" s="73">
        <f t="shared" si="31"/>
        <v>103</v>
      </c>
      <c r="K213" s="73">
        <f t="shared" si="33"/>
        <v>347</v>
      </c>
      <c r="L213" s="105" t="s">
        <v>752</v>
      </c>
    </row>
    <row r="214">
      <c r="A214" s="70" t="s">
        <v>753</v>
      </c>
      <c r="B214" s="8" t="s">
        <v>54</v>
      </c>
      <c r="C214" s="8" t="s">
        <v>16</v>
      </c>
      <c r="D214" s="73">
        <v>101.0</v>
      </c>
      <c r="E214" s="8">
        <v>347.0</v>
      </c>
      <c r="F214" s="87"/>
      <c r="G214" s="87"/>
      <c r="H214" s="87"/>
      <c r="I214" s="87"/>
      <c r="J214" s="73">
        <f t="shared" si="31"/>
        <v>101</v>
      </c>
      <c r="K214" s="73">
        <f t="shared" si="33"/>
        <v>347</v>
      </c>
      <c r="L214" s="105" t="s">
        <v>754</v>
      </c>
    </row>
    <row r="215">
      <c r="A215" s="70" t="s">
        <v>755</v>
      </c>
      <c r="B215" s="8" t="s">
        <v>15</v>
      </c>
      <c r="C215" s="8" t="s">
        <v>16</v>
      </c>
      <c r="D215" s="73">
        <v>75.0</v>
      </c>
      <c r="E215" s="87"/>
      <c r="F215" s="71"/>
      <c r="G215" s="71"/>
      <c r="H215" s="71"/>
      <c r="I215" s="99">
        <v>10.0</v>
      </c>
      <c r="J215" s="73">
        <f t="shared" si="31"/>
        <v>85</v>
      </c>
      <c r="K215" s="73"/>
      <c r="L215" s="109" t="s">
        <v>756</v>
      </c>
    </row>
    <row r="216">
      <c r="A216" s="70" t="s">
        <v>757</v>
      </c>
      <c r="B216" s="8" t="s">
        <v>141</v>
      </c>
      <c r="C216" s="8" t="s">
        <v>16</v>
      </c>
      <c r="D216" s="73">
        <v>72.0</v>
      </c>
      <c r="E216" s="87"/>
      <c r="F216" s="71"/>
      <c r="G216" s="71"/>
      <c r="H216" s="71"/>
      <c r="I216" s="99">
        <v>10.0</v>
      </c>
      <c r="J216" s="73">
        <f t="shared" si="31"/>
        <v>82</v>
      </c>
      <c r="K216" s="73"/>
      <c r="L216" s="105" t="s">
        <v>758</v>
      </c>
    </row>
    <row r="217">
      <c r="A217" s="70" t="s">
        <v>759</v>
      </c>
      <c r="B217" s="8" t="s">
        <v>15</v>
      </c>
      <c r="C217" s="8" t="s">
        <v>16</v>
      </c>
      <c r="D217" s="73">
        <v>73.0</v>
      </c>
      <c r="E217" s="87"/>
      <c r="F217" s="71"/>
      <c r="G217" s="71"/>
      <c r="H217" s="71"/>
      <c r="I217" s="99"/>
      <c r="J217" s="73">
        <f t="shared" si="31"/>
        <v>73</v>
      </c>
      <c r="K217" s="73"/>
      <c r="L217" s="105" t="s">
        <v>760</v>
      </c>
    </row>
    <row r="218">
      <c r="A218" s="70" t="s">
        <v>761</v>
      </c>
      <c r="B218" s="8" t="s">
        <v>19</v>
      </c>
      <c r="C218" s="8" t="s">
        <v>16</v>
      </c>
      <c r="D218" s="73">
        <v>46.0</v>
      </c>
      <c r="E218" s="87"/>
      <c r="F218" s="71"/>
      <c r="G218" s="71"/>
      <c r="H218" s="71"/>
      <c r="I218" s="71"/>
      <c r="J218" s="73">
        <f t="shared" si="31"/>
        <v>46</v>
      </c>
      <c r="K218" s="73"/>
      <c r="L218" s="105" t="s">
        <v>45</v>
      </c>
    </row>
    <row r="219">
      <c r="A219" s="70" t="s">
        <v>762</v>
      </c>
      <c r="B219" s="8" t="s">
        <v>8</v>
      </c>
      <c r="C219" s="99" t="s">
        <v>20</v>
      </c>
      <c r="D219" s="73">
        <v>106.0</v>
      </c>
      <c r="E219" s="99">
        <v>362.0</v>
      </c>
      <c r="F219" s="71"/>
      <c r="G219" s="71"/>
      <c r="H219" s="71"/>
      <c r="I219" s="99">
        <v>15.0</v>
      </c>
      <c r="J219" s="73">
        <f t="shared" si="31"/>
        <v>121</v>
      </c>
      <c r="K219" s="73">
        <f t="shared" ref="K219:K221" si="34">E219+I219</f>
        <v>377</v>
      </c>
      <c r="L219" s="105" t="s">
        <v>763</v>
      </c>
    </row>
    <row r="220">
      <c r="A220" s="70" t="s">
        <v>764</v>
      </c>
      <c r="B220" s="8" t="s">
        <v>54</v>
      </c>
      <c r="C220" s="99" t="s">
        <v>20</v>
      </c>
      <c r="D220" s="73">
        <v>103.0</v>
      </c>
      <c r="E220" s="99">
        <v>347.0</v>
      </c>
      <c r="F220" s="71"/>
      <c r="G220" s="71"/>
      <c r="H220" s="71"/>
      <c r="I220" s="99">
        <v>15.0</v>
      </c>
      <c r="J220" s="73">
        <f t="shared" si="31"/>
        <v>118</v>
      </c>
      <c r="K220" s="73">
        <f t="shared" si="34"/>
        <v>362</v>
      </c>
      <c r="L220" s="105" t="s">
        <v>102</v>
      </c>
    </row>
    <row r="221">
      <c r="A221" s="70" t="s">
        <v>765</v>
      </c>
      <c r="B221" s="8" t="s">
        <v>54</v>
      </c>
      <c r="C221" s="99" t="s">
        <v>20</v>
      </c>
      <c r="D221" s="73">
        <v>104.0</v>
      </c>
      <c r="E221" s="99">
        <v>347.0</v>
      </c>
      <c r="F221" s="71"/>
      <c r="G221" s="71"/>
      <c r="H221" s="71"/>
      <c r="I221" s="71"/>
      <c r="J221" s="73">
        <f t="shared" si="31"/>
        <v>104</v>
      </c>
      <c r="K221" s="73">
        <f t="shared" si="34"/>
        <v>347</v>
      </c>
      <c r="L221" s="105" t="s">
        <v>766</v>
      </c>
    </row>
    <row r="222">
      <c r="A222" s="70" t="s">
        <v>767</v>
      </c>
      <c r="B222" s="8" t="s">
        <v>19</v>
      </c>
      <c r="C222" s="99" t="s">
        <v>20</v>
      </c>
      <c r="D222" s="73">
        <v>47.0</v>
      </c>
      <c r="E222" s="71"/>
      <c r="F222" s="71"/>
      <c r="G222" s="71"/>
      <c r="H222" s="71"/>
      <c r="I222" s="71"/>
      <c r="J222" s="73">
        <f t="shared" si="31"/>
        <v>47</v>
      </c>
      <c r="K222" s="73"/>
      <c r="L222" s="105" t="s">
        <v>768</v>
      </c>
    </row>
    <row r="223">
      <c r="A223" s="70" t="s">
        <v>769</v>
      </c>
      <c r="B223" s="8" t="s">
        <v>8</v>
      </c>
      <c r="C223" s="99" t="s">
        <v>12</v>
      </c>
      <c r="D223" s="73">
        <v>108.0</v>
      </c>
      <c r="E223" s="73">
        <v>362.0</v>
      </c>
      <c r="F223" s="73">
        <v>30.0</v>
      </c>
      <c r="G223" s="71"/>
      <c r="H223" s="71"/>
      <c r="I223" s="99">
        <v>15.0</v>
      </c>
      <c r="J223" s="73">
        <f t="shared" si="31"/>
        <v>123</v>
      </c>
      <c r="K223" s="73">
        <f t="shared" ref="K223:K225" si="35">E223+I223</f>
        <v>377</v>
      </c>
      <c r="L223" s="105" t="s">
        <v>770</v>
      </c>
    </row>
    <row r="224">
      <c r="A224" s="70" t="s">
        <v>771</v>
      </c>
      <c r="B224" s="8" t="s">
        <v>8</v>
      </c>
      <c r="C224" s="99" t="s">
        <v>12</v>
      </c>
      <c r="D224" s="73">
        <v>108.0</v>
      </c>
      <c r="E224" s="73">
        <v>362.0</v>
      </c>
      <c r="F224" s="73">
        <v>30.0</v>
      </c>
      <c r="G224" s="71"/>
      <c r="H224" s="73">
        <v>3000.0</v>
      </c>
      <c r="I224" s="73">
        <v>15.0</v>
      </c>
      <c r="J224" s="73">
        <f t="shared" si="31"/>
        <v>123</v>
      </c>
      <c r="K224" s="73">
        <f t="shared" si="35"/>
        <v>377</v>
      </c>
      <c r="L224" s="105" t="s">
        <v>772</v>
      </c>
    </row>
    <row r="225">
      <c r="A225" s="70" t="s">
        <v>773</v>
      </c>
      <c r="B225" s="8" t="s">
        <v>54</v>
      </c>
      <c r="C225" s="99" t="s">
        <v>12</v>
      </c>
      <c r="D225" s="73">
        <v>103.0</v>
      </c>
      <c r="E225" s="73">
        <v>347.0</v>
      </c>
      <c r="F225" s="73"/>
      <c r="G225" s="71"/>
      <c r="H225" s="71"/>
      <c r="I225" s="71"/>
      <c r="J225" s="73">
        <f t="shared" si="31"/>
        <v>103</v>
      </c>
      <c r="K225" s="73">
        <f t="shared" si="35"/>
        <v>347</v>
      </c>
      <c r="L225" s="105" t="s">
        <v>774</v>
      </c>
    </row>
    <row r="226">
      <c r="A226" s="70" t="s">
        <v>775</v>
      </c>
      <c r="B226" s="8" t="s">
        <v>141</v>
      </c>
      <c r="C226" s="99" t="s">
        <v>12</v>
      </c>
      <c r="D226" s="73">
        <v>75.0</v>
      </c>
      <c r="E226" s="71"/>
      <c r="F226" s="71"/>
      <c r="G226" s="71"/>
      <c r="H226" s="71"/>
      <c r="I226" s="73">
        <v>10.0</v>
      </c>
      <c r="J226" s="73">
        <f t="shared" si="31"/>
        <v>85</v>
      </c>
      <c r="K226" s="73"/>
      <c r="L226" s="105" t="s">
        <v>633</v>
      </c>
    </row>
    <row r="227">
      <c r="A227" s="70" t="s">
        <v>776</v>
      </c>
      <c r="B227" s="8" t="s">
        <v>15</v>
      </c>
      <c r="C227" s="99" t="s">
        <v>12</v>
      </c>
      <c r="D227" s="73">
        <v>71.0</v>
      </c>
      <c r="E227" s="73"/>
      <c r="F227" s="71"/>
      <c r="G227" s="71"/>
      <c r="H227" s="71"/>
      <c r="I227" s="99">
        <v>10.0</v>
      </c>
      <c r="J227" s="73">
        <f t="shared" si="31"/>
        <v>81</v>
      </c>
      <c r="K227" s="73"/>
      <c r="L227" s="105" t="s">
        <v>777</v>
      </c>
    </row>
    <row r="228">
      <c r="A228" s="70" t="s">
        <v>778</v>
      </c>
      <c r="B228" s="8" t="s">
        <v>15</v>
      </c>
      <c r="C228" s="99" t="s">
        <v>12</v>
      </c>
      <c r="D228" s="73">
        <v>71.0</v>
      </c>
      <c r="E228" s="73"/>
      <c r="F228" s="71"/>
      <c r="G228" s="71"/>
      <c r="H228" s="71"/>
      <c r="I228" s="99">
        <v>10.0</v>
      </c>
      <c r="J228" s="73">
        <f t="shared" si="31"/>
        <v>81</v>
      </c>
      <c r="K228" s="73"/>
      <c r="L228" s="105" t="s">
        <v>779</v>
      </c>
    </row>
    <row r="229">
      <c r="A229" s="70" t="s">
        <v>780</v>
      </c>
      <c r="B229" s="8" t="s">
        <v>15</v>
      </c>
      <c r="C229" s="99" t="s">
        <v>12</v>
      </c>
      <c r="D229" s="73">
        <v>72.0</v>
      </c>
      <c r="E229" s="71"/>
      <c r="F229" s="71"/>
      <c r="G229" s="71"/>
      <c r="H229" s="71"/>
      <c r="I229" s="73"/>
      <c r="J229" s="73">
        <f t="shared" si="31"/>
        <v>72</v>
      </c>
      <c r="K229" s="73"/>
      <c r="L229" s="105" t="s">
        <v>139</v>
      </c>
    </row>
    <row r="230">
      <c r="A230" s="70" t="s">
        <v>781</v>
      </c>
      <c r="B230" s="8" t="s">
        <v>19</v>
      </c>
      <c r="C230" s="99" t="s">
        <v>12</v>
      </c>
      <c r="D230" s="73">
        <v>45.0</v>
      </c>
      <c r="E230" s="71"/>
      <c r="F230" s="71"/>
      <c r="G230" s="71"/>
      <c r="H230" s="71"/>
      <c r="I230" s="71"/>
      <c r="J230" s="73">
        <f t="shared" si="31"/>
        <v>45</v>
      </c>
      <c r="K230" s="73"/>
      <c r="L230" s="137" t="s">
        <v>249</v>
      </c>
    </row>
    <row r="231">
      <c r="A231" s="70" t="s">
        <v>782</v>
      </c>
      <c r="B231" s="8" t="s">
        <v>19</v>
      </c>
      <c r="C231" s="99" t="s">
        <v>12</v>
      </c>
      <c r="D231" s="73">
        <v>45.0</v>
      </c>
      <c r="E231" s="71"/>
      <c r="F231" s="71"/>
      <c r="G231" s="71"/>
      <c r="H231" s="71"/>
      <c r="I231" s="71"/>
      <c r="J231" s="73">
        <f t="shared" si="31"/>
        <v>45</v>
      </c>
      <c r="K231" s="73"/>
      <c r="L231" s="137" t="s">
        <v>249</v>
      </c>
    </row>
    <row r="232">
      <c r="A232" s="70" t="s">
        <v>783</v>
      </c>
      <c r="B232" s="8" t="s">
        <v>19</v>
      </c>
      <c r="C232" s="99" t="s">
        <v>12</v>
      </c>
      <c r="D232" s="73">
        <v>44.0</v>
      </c>
      <c r="E232" s="71"/>
      <c r="F232" s="71"/>
      <c r="G232" s="71"/>
      <c r="H232" s="71"/>
      <c r="I232" s="71"/>
      <c r="J232" s="73">
        <f t="shared" si="31"/>
        <v>44</v>
      </c>
      <c r="K232" s="73"/>
      <c r="L232" s="137" t="s">
        <v>132</v>
      </c>
    </row>
    <row r="233">
      <c r="A233" s="70" t="s">
        <v>784</v>
      </c>
      <c r="B233" s="8" t="s">
        <v>8</v>
      </c>
      <c r="C233" s="99" t="s">
        <v>40</v>
      </c>
      <c r="D233" s="73">
        <v>109.0</v>
      </c>
      <c r="E233" s="73">
        <v>362.0</v>
      </c>
      <c r="F233" s="99">
        <v>30.0</v>
      </c>
      <c r="G233" s="71"/>
      <c r="H233" s="71"/>
      <c r="I233" s="99">
        <v>15.0</v>
      </c>
      <c r="J233" s="73">
        <f t="shared" si="31"/>
        <v>124</v>
      </c>
      <c r="K233" s="73">
        <f t="shared" ref="K233:K236" si="36">E233+I233</f>
        <v>377</v>
      </c>
      <c r="L233" s="109" t="s">
        <v>785</v>
      </c>
    </row>
    <row r="234">
      <c r="A234" s="70" t="s">
        <v>786</v>
      </c>
      <c r="B234" s="8" t="s">
        <v>8</v>
      </c>
      <c r="C234" s="99" t="s">
        <v>40</v>
      </c>
      <c r="D234" s="73">
        <v>106.0</v>
      </c>
      <c r="E234" s="73">
        <v>362.0</v>
      </c>
      <c r="F234" s="71"/>
      <c r="G234" s="71"/>
      <c r="H234" s="71"/>
      <c r="I234" s="99">
        <v>15.0</v>
      </c>
      <c r="J234" s="73">
        <f t="shared" si="31"/>
        <v>121</v>
      </c>
      <c r="K234" s="73">
        <f t="shared" si="36"/>
        <v>377</v>
      </c>
      <c r="L234" s="92" t="s">
        <v>787</v>
      </c>
    </row>
    <row r="235">
      <c r="A235" s="70" t="s">
        <v>788</v>
      </c>
      <c r="B235" s="8" t="s">
        <v>8</v>
      </c>
      <c r="C235" s="99" t="s">
        <v>40</v>
      </c>
      <c r="D235" s="73">
        <v>106.0</v>
      </c>
      <c r="E235" s="73">
        <v>362.0</v>
      </c>
      <c r="F235" s="71"/>
      <c r="G235" s="71"/>
      <c r="H235" s="71"/>
      <c r="I235" s="99"/>
      <c r="J235" s="73">
        <f t="shared" si="31"/>
        <v>106</v>
      </c>
      <c r="K235" s="73">
        <f t="shared" si="36"/>
        <v>362</v>
      </c>
      <c r="L235" s="74" t="s">
        <v>789</v>
      </c>
    </row>
    <row r="236">
      <c r="A236" s="70" t="s">
        <v>790</v>
      </c>
      <c r="B236" s="8" t="s">
        <v>96</v>
      </c>
      <c r="C236" s="99" t="s">
        <v>40</v>
      </c>
      <c r="D236" s="73">
        <v>99.0</v>
      </c>
      <c r="E236" s="99">
        <v>332.0</v>
      </c>
      <c r="F236" s="71"/>
      <c r="G236" s="71"/>
      <c r="H236" s="71"/>
      <c r="I236" s="71"/>
      <c r="J236" s="73">
        <f t="shared" si="31"/>
        <v>99</v>
      </c>
      <c r="K236" s="73">
        <f t="shared" si="36"/>
        <v>332</v>
      </c>
      <c r="L236" s="74" t="s">
        <v>336</v>
      </c>
    </row>
    <row r="237">
      <c r="A237" s="70" t="s">
        <v>791</v>
      </c>
      <c r="B237" s="8" t="s">
        <v>15</v>
      </c>
      <c r="C237" s="99" t="s">
        <v>40</v>
      </c>
      <c r="D237" s="73">
        <v>75.0</v>
      </c>
      <c r="E237" s="87"/>
      <c r="F237" s="87"/>
      <c r="G237" s="87"/>
      <c r="H237" s="87"/>
      <c r="I237" s="8">
        <v>10.0</v>
      </c>
      <c r="J237" s="73">
        <f t="shared" si="31"/>
        <v>85</v>
      </c>
      <c r="K237" s="73"/>
      <c r="L237" s="74" t="s">
        <v>792</v>
      </c>
    </row>
    <row r="238">
      <c r="A238" s="70" t="s">
        <v>793</v>
      </c>
      <c r="B238" s="8" t="s">
        <v>15</v>
      </c>
      <c r="C238" s="99" t="s">
        <v>40</v>
      </c>
      <c r="D238" s="73">
        <v>72.0</v>
      </c>
      <c r="E238" s="87"/>
      <c r="F238" s="87"/>
      <c r="G238" s="87"/>
      <c r="H238" s="87"/>
      <c r="I238" s="8">
        <v>10.0</v>
      </c>
      <c r="J238" s="73">
        <f t="shared" si="31"/>
        <v>82</v>
      </c>
      <c r="K238" s="73"/>
      <c r="L238" s="109" t="s">
        <v>400</v>
      </c>
    </row>
    <row r="239">
      <c r="A239" s="70" t="s">
        <v>794</v>
      </c>
      <c r="B239" s="8" t="s">
        <v>141</v>
      </c>
      <c r="C239" s="99" t="s">
        <v>40</v>
      </c>
      <c r="D239" s="73">
        <v>70.0</v>
      </c>
      <c r="E239" s="87"/>
      <c r="F239" s="87"/>
      <c r="G239" s="87"/>
      <c r="H239" s="87"/>
      <c r="I239" s="8">
        <v>10.0</v>
      </c>
      <c r="J239" s="73">
        <f t="shared" si="31"/>
        <v>80</v>
      </c>
      <c r="K239" s="73"/>
      <c r="L239" s="74" t="s">
        <v>353</v>
      </c>
    </row>
    <row r="240">
      <c r="A240" s="75" t="s">
        <v>795</v>
      </c>
      <c r="B240" s="96" t="s">
        <v>19</v>
      </c>
      <c r="C240" s="125" t="s">
        <v>40</v>
      </c>
      <c r="D240" s="77">
        <v>48.0</v>
      </c>
      <c r="E240" s="93"/>
      <c r="F240" s="93"/>
      <c r="G240" s="93"/>
      <c r="H240" s="93"/>
      <c r="I240" s="93"/>
      <c r="J240" s="77">
        <f t="shared" si="31"/>
        <v>48</v>
      </c>
      <c r="K240" s="77"/>
      <c r="L240" s="84" t="s">
        <v>126</v>
      </c>
    </row>
    <row r="243">
      <c r="A243" s="138" t="s">
        <v>796</v>
      </c>
    </row>
    <row r="244">
      <c r="A244" s="67" t="s">
        <v>578</v>
      </c>
      <c r="B244" s="82"/>
      <c r="C244" s="68" t="s">
        <v>579</v>
      </c>
      <c r="D244" s="68" t="s">
        <v>580</v>
      </c>
      <c r="E244" s="68" t="s">
        <v>581</v>
      </c>
      <c r="F244" s="68" t="s">
        <v>539</v>
      </c>
      <c r="G244" s="68" t="s">
        <v>540</v>
      </c>
      <c r="H244" s="69" t="s">
        <v>541</v>
      </c>
    </row>
    <row r="245">
      <c r="A245" s="126">
        <v>1.0</v>
      </c>
      <c r="B245" s="99" t="s">
        <v>582</v>
      </c>
      <c r="C245" s="87"/>
      <c r="D245" s="99" t="str">
        <f>A196</f>
        <v>Hugo Award</v>
      </c>
      <c r="E245" s="91">
        <f>K196</f>
        <v>377</v>
      </c>
      <c r="F245" s="91"/>
      <c r="G245" s="87"/>
      <c r="H245" s="127"/>
    </row>
    <row r="246">
      <c r="A246" s="126">
        <v>2.0</v>
      </c>
      <c r="B246" s="8" t="s">
        <v>9</v>
      </c>
      <c r="C246" s="8" t="str">
        <f>A202</f>
        <v>Mayflower</v>
      </c>
      <c r="D246" s="8" t="str">
        <f>A202</f>
        <v>Mayflower</v>
      </c>
      <c r="E246" s="91">
        <f>J202</f>
        <v>104</v>
      </c>
      <c r="F246" s="87"/>
      <c r="G246" s="87"/>
      <c r="H246" s="88"/>
    </row>
    <row r="247">
      <c r="A247" s="126">
        <v>3.0</v>
      </c>
      <c r="B247" s="8" t="s">
        <v>40</v>
      </c>
      <c r="C247" s="8" t="str">
        <f>A239</f>
        <v>ENIAC Prototype</v>
      </c>
      <c r="D247" s="134" t="str">
        <f>A239</f>
        <v>ENIAC Prototype</v>
      </c>
      <c r="E247" s="134">
        <f>J239</f>
        <v>80</v>
      </c>
      <c r="F247" s="87"/>
      <c r="G247" s="87"/>
      <c r="H247" s="88"/>
      <c r="I247" s="80"/>
      <c r="J247" s="80"/>
      <c r="K247" s="80"/>
      <c r="L247" s="80"/>
    </row>
    <row r="248">
      <c r="A248" s="126">
        <v>4.0</v>
      </c>
      <c r="B248" s="8" t="s">
        <v>12</v>
      </c>
      <c r="C248" s="8" t="str">
        <f>A232</f>
        <v>Gone with the Wind</v>
      </c>
      <c r="D248" s="8" t="str">
        <f>A232</f>
        <v>Gone with the Wind</v>
      </c>
      <c r="E248" s="91">
        <f>J232</f>
        <v>44</v>
      </c>
      <c r="F248" s="87"/>
      <c r="G248" s="87"/>
      <c r="H248" s="88"/>
      <c r="I248" s="80"/>
      <c r="J248" s="80"/>
      <c r="K248" s="80"/>
      <c r="L248" s="80"/>
    </row>
    <row r="249">
      <c r="A249" s="126">
        <v>5.0</v>
      </c>
      <c r="B249" s="8" t="s">
        <v>9</v>
      </c>
      <c r="C249" s="87"/>
      <c r="D249" s="8" t="str">
        <f>A197</f>
        <v>Pandora's Box</v>
      </c>
      <c r="E249" s="91">
        <f>J197</f>
        <v>108</v>
      </c>
      <c r="F249" s="87">
        <f>F197</f>
        <v>30</v>
      </c>
      <c r="G249" s="87"/>
      <c r="H249" s="88"/>
      <c r="I249" s="80"/>
      <c r="J249" s="80"/>
      <c r="K249" s="80"/>
      <c r="L249" s="80"/>
    </row>
    <row r="250">
      <c r="A250" s="126">
        <v>6.0</v>
      </c>
      <c r="B250" s="8" t="s">
        <v>9</v>
      </c>
      <c r="C250" s="134"/>
      <c r="D250" s="8" t="str">
        <f>A199</f>
        <v>Medal of Honor</v>
      </c>
      <c r="E250" s="91">
        <f>J199</f>
        <v>106</v>
      </c>
      <c r="F250" s="87">
        <f>F199</f>
        <v>30</v>
      </c>
      <c r="G250" s="87"/>
      <c r="H250" s="88"/>
      <c r="I250" s="80"/>
      <c r="J250" s="80"/>
      <c r="K250" s="80"/>
      <c r="L250" s="80"/>
    </row>
    <row r="251">
      <c r="A251" s="126">
        <v>7.0</v>
      </c>
      <c r="B251" s="8" t="s">
        <v>16</v>
      </c>
      <c r="C251" s="134"/>
      <c r="D251" s="134" t="str">
        <f t="shared" ref="D251:D253" si="37">A211</f>
        <v>Mystic Mountain</v>
      </c>
      <c r="E251" s="134">
        <f t="shared" ref="E251:E253" si="38">J211</f>
        <v>121</v>
      </c>
      <c r="F251" s="8"/>
      <c r="G251" s="87"/>
      <c r="H251" s="88"/>
      <c r="I251" s="80"/>
      <c r="J251" s="104"/>
      <c r="K251" s="104"/>
      <c r="L251" s="104"/>
    </row>
    <row r="252">
      <c r="A252" s="126">
        <v>8.0</v>
      </c>
      <c r="B252" s="8" t="s">
        <v>16</v>
      </c>
      <c r="C252" s="87"/>
      <c r="D252" s="139" t="str">
        <f t="shared" si="37"/>
        <v>Cancer</v>
      </c>
      <c r="E252" s="140">
        <f t="shared" si="38"/>
        <v>110</v>
      </c>
      <c r="F252" s="87"/>
      <c r="G252" s="87"/>
      <c r="H252" s="88"/>
      <c r="I252" s="80"/>
      <c r="J252" s="80"/>
      <c r="K252" s="80"/>
      <c r="L252" s="80"/>
    </row>
    <row r="253">
      <c r="A253" s="126">
        <v>9.0</v>
      </c>
      <c r="B253" s="8" t="s">
        <v>16</v>
      </c>
      <c r="C253" s="87"/>
      <c r="D253" s="8" t="str">
        <f t="shared" si="37"/>
        <v>David</v>
      </c>
      <c r="E253" s="91">
        <f t="shared" si="38"/>
        <v>103</v>
      </c>
      <c r="F253" s="87"/>
      <c r="G253" s="87"/>
      <c r="H253" s="88"/>
      <c r="I253" s="80"/>
      <c r="J253" s="80"/>
      <c r="K253" s="80"/>
      <c r="L253" s="80"/>
    </row>
    <row r="254">
      <c r="A254" s="126">
        <v>10.0</v>
      </c>
      <c r="B254" s="8" t="s">
        <v>20</v>
      </c>
      <c r="C254" s="87"/>
      <c r="D254" s="8" t="str">
        <f t="shared" ref="D254:D256" si="39">A219</f>
        <v>Cthaat Aquadingen</v>
      </c>
      <c r="E254" s="91">
        <f t="shared" ref="E254:E256" si="40">J219</f>
        <v>121</v>
      </c>
      <c r="F254" s="87"/>
      <c r="G254" s="87"/>
      <c r="H254" s="88"/>
      <c r="I254" s="80"/>
      <c r="J254" s="80"/>
      <c r="K254" s="80"/>
      <c r="L254" s="80"/>
    </row>
    <row r="255">
      <c r="A255" s="126">
        <v>11.0</v>
      </c>
      <c r="B255" s="8" t="s">
        <v>20</v>
      </c>
      <c r="C255" s="87"/>
      <c r="D255" s="8" t="str">
        <f t="shared" si="39"/>
        <v>Eye of Akamoddo</v>
      </c>
      <c r="E255" s="91">
        <f t="shared" si="40"/>
        <v>118</v>
      </c>
      <c r="F255" s="87"/>
      <c r="G255" s="87"/>
      <c r="H255" s="88"/>
      <c r="I255" s="80"/>
      <c r="J255" s="80"/>
      <c r="K255" s="80"/>
      <c r="L255" s="80"/>
    </row>
    <row r="256">
      <c r="A256" s="126">
        <v>12.0</v>
      </c>
      <c r="B256" s="99" t="s">
        <v>20</v>
      </c>
      <c r="C256" s="87"/>
      <c r="D256" s="8" t="str">
        <f t="shared" si="39"/>
        <v>Forbidden Fruit</v>
      </c>
      <c r="E256" s="91">
        <f t="shared" si="40"/>
        <v>104</v>
      </c>
      <c r="F256" s="91"/>
      <c r="G256" s="87"/>
      <c r="H256" s="88"/>
      <c r="I256" s="104"/>
      <c r="J256" s="104"/>
      <c r="K256" s="104"/>
      <c r="L256" s="104"/>
    </row>
    <row r="257">
      <c r="A257" s="126">
        <v>13.0</v>
      </c>
      <c r="B257" s="8" t="s">
        <v>12</v>
      </c>
      <c r="C257" s="87"/>
      <c r="D257" s="8" t="str">
        <f t="shared" ref="D257:D258" si="41">A223</f>
        <v>Don Quixote</v>
      </c>
      <c r="E257" s="91">
        <f t="shared" ref="E257:E258" si="42">J223</f>
        <v>123</v>
      </c>
      <c r="F257" s="91">
        <f t="shared" ref="F257:F258" si="43">F223</f>
        <v>30</v>
      </c>
      <c r="G257" s="87"/>
      <c r="H257" s="88"/>
      <c r="I257" s="80"/>
      <c r="J257" s="80"/>
      <c r="K257" s="80"/>
      <c r="L257" s="80"/>
    </row>
    <row r="258">
      <c r="A258" s="126">
        <v>14.0</v>
      </c>
      <c r="B258" s="99" t="s">
        <v>12</v>
      </c>
      <c r="C258" s="87"/>
      <c r="D258" s="8" t="str">
        <f t="shared" si="41"/>
        <v>MUSE Award</v>
      </c>
      <c r="E258" s="91">
        <f t="shared" si="42"/>
        <v>123</v>
      </c>
      <c r="F258" s="87">
        <f t="shared" si="43"/>
        <v>30</v>
      </c>
      <c r="G258" s="87"/>
      <c r="H258" s="88">
        <f>H224</f>
        <v>3000</v>
      </c>
      <c r="I258" s="104"/>
      <c r="J258" s="104"/>
      <c r="K258" s="104"/>
      <c r="L258" s="104"/>
    </row>
    <row r="259">
      <c r="A259" s="126">
        <v>15.0</v>
      </c>
      <c r="B259" s="99" t="s">
        <v>40</v>
      </c>
      <c r="C259" s="87"/>
      <c r="D259" s="134" t="str">
        <f t="shared" ref="D259:D260" si="44">A233</f>
        <v>Chemical Bond Theory</v>
      </c>
      <c r="E259" s="134">
        <f t="shared" ref="E259:E260" si="45">J233</f>
        <v>124</v>
      </c>
      <c r="F259" s="87">
        <f>F233</f>
        <v>30</v>
      </c>
      <c r="G259" s="87"/>
      <c r="H259" s="88"/>
      <c r="I259" s="104"/>
      <c r="J259" s="104"/>
      <c r="K259" s="104"/>
      <c r="L259" s="104"/>
    </row>
    <row r="260">
      <c r="A260" s="126">
        <v>16.0</v>
      </c>
      <c r="B260" s="8" t="s">
        <v>40</v>
      </c>
      <c r="C260" s="87"/>
      <c r="D260" s="141" t="str">
        <f t="shared" si="44"/>
        <v>Aegis System</v>
      </c>
      <c r="E260" s="91">
        <f t="shared" si="45"/>
        <v>121</v>
      </c>
      <c r="F260" s="87"/>
      <c r="G260" s="87"/>
      <c r="H260" s="88"/>
      <c r="I260" s="104"/>
      <c r="J260" s="104"/>
      <c r="K260" s="104"/>
      <c r="L260" s="104"/>
    </row>
    <row r="261">
      <c r="A261" s="128"/>
      <c r="B261" s="142"/>
      <c r="C261" s="93"/>
      <c r="D261" s="125" t="s">
        <v>595</v>
      </c>
      <c r="E261" s="94">
        <f t="shared" ref="E261:H261" si="46">SUM(E245:E260)</f>
        <v>1987</v>
      </c>
      <c r="F261" s="94">
        <f t="shared" si="46"/>
        <v>150</v>
      </c>
      <c r="G261" s="94">
        <f t="shared" si="46"/>
        <v>0</v>
      </c>
      <c r="H261" s="115">
        <f t="shared" si="46"/>
        <v>3000</v>
      </c>
      <c r="I261" s="104"/>
      <c r="J261" s="104"/>
      <c r="K261" s="104"/>
      <c r="L261" s="104"/>
    </row>
    <row r="265">
      <c r="A265" s="123"/>
      <c r="B265" s="89"/>
      <c r="C265" s="89"/>
      <c r="D265" s="68" t="s">
        <v>537</v>
      </c>
      <c r="E265" s="68" t="s">
        <v>538</v>
      </c>
      <c r="F265" s="68" t="s">
        <v>539</v>
      </c>
      <c r="G265" s="68" t="s">
        <v>540</v>
      </c>
      <c r="H265" s="68" t="s">
        <v>541</v>
      </c>
      <c r="I265" s="68" t="s">
        <v>542</v>
      </c>
      <c r="J265" s="68" t="s">
        <v>543</v>
      </c>
      <c r="K265" s="68" t="s">
        <v>544</v>
      </c>
      <c r="L265" s="90"/>
    </row>
    <row r="266">
      <c r="A266" s="130" t="s">
        <v>185</v>
      </c>
      <c r="B266" s="71"/>
      <c r="C266" s="71"/>
      <c r="D266" s="71"/>
      <c r="E266" s="71"/>
      <c r="F266" s="71"/>
      <c r="G266" s="87"/>
      <c r="H266" s="87"/>
      <c r="I266" s="87"/>
      <c r="J266" s="87"/>
      <c r="K266" s="87"/>
      <c r="L266" s="88"/>
    </row>
    <row r="267">
      <c r="A267" s="70" t="s">
        <v>6</v>
      </c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2"/>
    </row>
    <row r="268">
      <c r="A268" s="70" t="s">
        <v>797</v>
      </c>
      <c r="B268" s="8" t="s">
        <v>8</v>
      </c>
      <c r="C268" s="8" t="s">
        <v>9</v>
      </c>
      <c r="D268" s="73">
        <v>110.0</v>
      </c>
      <c r="E268" s="73">
        <v>365.0</v>
      </c>
      <c r="F268" s="71"/>
      <c r="G268" s="71"/>
      <c r="H268" s="71"/>
      <c r="I268" s="73"/>
      <c r="J268" s="73">
        <f t="shared" ref="J268:J309" si="47">D268+I268</f>
        <v>110</v>
      </c>
      <c r="K268" s="73">
        <f t="shared" ref="K268:K270" si="48">E268+I268</f>
        <v>365</v>
      </c>
      <c r="L268" s="74" t="s">
        <v>798</v>
      </c>
    </row>
    <row r="269">
      <c r="A269" s="70" t="s">
        <v>799</v>
      </c>
      <c r="B269" s="8" t="s">
        <v>8</v>
      </c>
      <c r="C269" s="8" t="s">
        <v>9</v>
      </c>
      <c r="D269" s="73">
        <v>106.0</v>
      </c>
      <c r="E269" s="73">
        <v>362.0</v>
      </c>
      <c r="F269" s="71"/>
      <c r="G269" s="71"/>
      <c r="H269" s="71"/>
      <c r="I269" s="73"/>
      <c r="J269" s="73">
        <f t="shared" si="47"/>
        <v>106</v>
      </c>
      <c r="K269" s="73">
        <f t="shared" si="48"/>
        <v>362</v>
      </c>
      <c r="L269" s="74" t="s">
        <v>729</v>
      </c>
    </row>
    <row r="270">
      <c r="A270" s="70" t="s">
        <v>800</v>
      </c>
      <c r="B270" s="8" t="s">
        <v>54</v>
      </c>
      <c r="C270" s="8" t="s">
        <v>9</v>
      </c>
      <c r="D270" s="73">
        <v>105.0</v>
      </c>
      <c r="E270" s="73">
        <v>347.0</v>
      </c>
      <c r="F270" s="71"/>
      <c r="G270" s="71"/>
      <c r="H270" s="71"/>
      <c r="I270" s="73"/>
      <c r="J270" s="73">
        <f t="shared" si="47"/>
        <v>105</v>
      </c>
      <c r="K270" s="73">
        <f t="shared" si="48"/>
        <v>347</v>
      </c>
      <c r="L270" s="74" t="s">
        <v>82</v>
      </c>
    </row>
    <row r="271">
      <c r="A271" s="70" t="s">
        <v>801</v>
      </c>
      <c r="B271" s="8" t="s">
        <v>15</v>
      </c>
      <c r="C271" s="8" t="s">
        <v>9</v>
      </c>
      <c r="D271" s="73">
        <v>73.0</v>
      </c>
      <c r="E271" s="73"/>
      <c r="F271" s="71"/>
      <c r="G271" s="71"/>
      <c r="H271" s="71"/>
      <c r="I271" s="99">
        <v>10.0</v>
      </c>
      <c r="J271" s="73">
        <f t="shared" si="47"/>
        <v>83</v>
      </c>
      <c r="K271" s="73"/>
      <c r="L271" s="74" t="s">
        <v>266</v>
      </c>
    </row>
    <row r="272">
      <c r="A272" s="70" t="s">
        <v>802</v>
      </c>
      <c r="B272" s="8" t="s">
        <v>15</v>
      </c>
      <c r="C272" s="8" t="s">
        <v>9</v>
      </c>
      <c r="D272" s="73">
        <v>71.0</v>
      </c>
      <c r="E272" s="71"/>
      <c r="F272" s="71"/>
      <c r="G272" s="71"/>
      <c r="H272" s="71"/>
      <c r="I272" s="73"/>
      <c r="J272" s="73">
        <f t="shared" si="47"/>
        <v>71</v>
      </c>
      <c r="K272" s="73"/>
      <c r="L272" s="74" t="s">
        <v>266</v>
      </c>
    </row>
    <row r="273">
      <c r="A273" s="70" t="s">
        <v>803</v>
      </c>
      <c r="B273" s="8" t="s">
        <v>141</v>
      </c>
      <c r="C273" s="8" t="s">
        <v>9</v>
      </c>
      <c r="D273" s="73">
        <v>69.0</v>
      </c>
      <c r="E273" s="71"/>
      <c r="F273" s="71"/>
      <c r="G273" s="71"/>
      <c r="H273" s="71"/>
      <c r="I273" s="71"/>
      <c r="J273" s="73">
        <f t="shared" si="47"/>
        <v>69</v>
      </c>
      <c r="K273" s="73"/>
      <c r="L273" s="105" t="s">
        <v>804</v>
      </c>
    </row>
    <row r="274">
      <c r="A274" s="70" t="s">
        <v>805</v>
      </c>
      <c r="B274" s="8" t="s">
        <v>417</v>
      </c>
      <c r="C274" s="8" t="s">
        <v>9</v>
      </c>
      <c r="D274" s="73">
        <v>63.0</v>
      </c>
      <c r="E274" s="73"/>
      <c r="F274" s="71"/>
      <c r="G274" s="71"/>
      <c r="H274" s="71"/>
      <c r="I274" s="71"/>
      <c r="J274" s="73">
        <f t="shared" si="47"/>
        <v>63</v>
      </c>
      <c r="K274" s="73"/>
      <c r="L274" s="105" t="s">
        <v>551</v>
      </c>
    </row>
    <row r="275">
      <c r="A275" s="70" t="s">
        <v>806</v>
      </c>
      <c r="B275" s="8" t="s">
        <v>19</v>
      </c>
      <c r="C275" s="8" t="s">
        <v>9</v>
      </c>
      <c r="D275" s="73">
        <v>46.0</v>
      </c>
      <c r="E275" s="73"/>
      <c r="F275" s="71"/>
      <c r="G275" s="71"/>
      <c r="H275" s="71"/>
      <c r="I275" s="71"/>
      <c r="J275" s="73">
        <f t="shared" si="47"/>
        <v>46</v>
      </c>
      <c r="K275" s="73"/>
      <c r="L275" s="105" t="s">
        <v>807</v>
      </c>
    </row>
    <row r="276">
      <c r="A276" s="70" t="s">
        <v>808</v>
      </c>
      <c r="B276" s="8" t="s">
        <v>8</v>
      </c>
      <c r="C276" s="8" t="s">
        <v>16</v>
      </c>
      <c r="D276" s="73">
        <v>109.0</v>
      </c>
      <c r="E276" s="8">
        <f>49+109+65+77+62</f>
        <v>362</v>
      </c>
      <c r="F276" s="8">
        <v>30.0</v>
      </c>
      <c r="G276" s="87"/>
      <c r="H276" s="87"/>
      <c r="I276" s="8">
        <v>15.0</v>
      </c>
      <c r="J276" s="73">
        <f t="shared" si="47"/>
        <v>124</v>
      </c>
      <c r="K276" s="73">
        <f t="shared" ref="K276:K283" si="49">E276+I276</f>
        <v>377</v>
      </c>
      <c r="L276" s="105" t="s">
        <v>809</v>
      </c>
    </row>
    <row r="277">
      <c r="A277" s="70" t="s">
        <v>810</v>
      </c>
      <c r="B277" s="8" t="s">
        <v>8</v>
      </c>
      <c r="C277" s="8" t="s">
        <v>16</v>
      </c>
      <c r="D277" s="73">
        <v>106.0</v>
      </c>
      <c r="E277" s="8">
        <v>362.0</v>
      </c>
      <c r="F277" s="87"/>
      <c r="G277" s="87"/>
      <c r="H277" s="8">
        <v>3000.0</v>
      </c>
      <c r="I277" s="8">
        <v>15.0</v>
      </c>
      <c r="J277" s="73">
        <f t="shared" si="47"/>
        <v>121</v>
      </c>
      <c r="K277" s="73">
        <f t="shared" si="49"/>
        <v>377</v>
      </c>
      <c r="L277" s="105" t="s">
        <v>811</v>
      </c>
    </row>
    <row r="278">
      <c r="A278" s="70" t="s">
        <v>812</v>
      </c>
      <c r="B278" s="8" t="s">
        <v>8</v>
      </c>
      <c r="C278" s="8" t="s">
        <v>16</v>
      </c>
      <c r="D278" s="73">
        <v>108.0</v>
      </c>
      <c r="E278" s="8">
        <v>362.0</v>
      </c>
      <c r="F278" s="87"/>
      <c r="G278" s="87"/>
      <c r="H278" s="87"/>
      <c r="I278" s="87"/>
      <c r="J278" s="73">
        <f t="shared" si="47"/>
        <v>108</v>
      </c>
      <c r="K278" s="73">
        <f t="shared" si="49"/>
        <v>362</v>
      </c>
      <c r="L278" s="105" t="s">
        <v>813</v>
      </c>
    </row>
    <row r="279">
      <c r="A279" s="70" t="s">
        <v>814</v>
      </c>
      <c r="B279" s="8" t="s">
        <v>8</v>
      </c>
      <c r="C279" s="8" t="s">
        <v>16</v>
      </c>
      <c r="D279" s="73">
        <v>108.0</v>
      </c>
      <c r="E279" s="73">
        <v>361.0</v>
      </c>
      <c r="F279" s="71"/>
      <c r="G279" s="71"/>
      <c r="H279" s="71"/>
      <c r="I279" s="71"/>
      <c r="J279" s="73">
        <f t="shared" si="47"/>
        <v>108</v>
      </c>
      <c r="K279" s="73">
        <f t="shared" si="49"/>
        <v>361</v>
      </c>
      <c r="L279" s="105" t="s">
        <v>815</v>
      </c>
    </row>
    <row r="280">
      <c r="A280" s="70" t="s">
        <v>816</v>
      </c>
      <c r="B280" s="8" t="s">
        <v>54</v>
      </c>
      <c r="C280" s="8" t="s">
        <v>16</v>
      </c>
      <c r="D280" s="73">
        <v>105.0</v>
      </c>
      <c r="E280" s="8">
        <v>347.0</v>
      </c>
      <c r="F280" s="87"/>
      <c r="G280" s="87"/>
      <c r="H280" s="87"/>
      <c r="I280" s="87"/>
      <c r="J280" s="73">
        <f t="shared" si="47"/>
        <v>105</v>
      </c>
      <c r="K280" s="73">
        <f t="shared" si="49"/>
        <v>347</v>
      </c>
      <c r="L280" s="105" t="s">
        <v>754</v>
      </c>
    </row>
    <row r="281">
      <c r="A281" s="70" t="s">
        <v>817</v>
      </c>
      <c r="B281" s="8" t="s">
        <v>54</v>
      </c>
      <c r="C281" s="8" t="s">
        <v>16</v>
      </c>
      <c r="D281" s="73">
        <v>101.0</v>
      </c>
      <c r="E281" s="8">
        <f>49+101+64+69+64</f>
        <v>347</v>
      </c>
      <c r="F281" s="87"/>
      <c r="G281" s="87"/>
      <c r="H281" s="87"/>
      <c r="I281" s="87"/>
      <c r="J281" s="73">
        <f t="shared" si="47"/>
        <v>101</v>
      </c>
      <c r="K281" s="73">
        <f t="shared" si="49"/>
        <v>347</v>
      </c>
      <c r="L281" s="105" t="s">
        <v>601</v>
      </c>
    </row>
    <row r="282">
      <c r="A282" s="70" t="s">
        <v>818</v>
      </c>
      <c r="B282" s="8" t="s">
        <v>96</v>
      </c>
      <c r="C282" s="8" t="s">
        <v>16</v>
      </c>
      <c r="D282" s="73">
        <v>98.0</v>
      </c>
      <c r="E282" s="99">
        <v>332.0</v>
      </c>
      <c r="F282" s="71"/>
      <c r="G282" s="71"/>
      <c r="H282" s="71"/>
      <c r="I282" s="71"/>
      <c r="J282" s="73">
        <f t="shared" si="47"/>
        <v>98</v>
      </c>
      <c r="K282" s="73">
        <f t="shared" si="49"/>
        <v>332</v>
      </c>
      <c r="L282" s="105" t="s">
        <v>819</v>
      </c>
    </row>
    <row r="283">
      <c r="A283" s="70" t="s">
        <v>820</v>
      </c>
      <c r="B283" s="8" t="s">
        <v>417</v>
      </c>
      <c r="C283" s="8" t="s">
        <v>16</v>
      </c>
      <c r="D283" s="73">
        <v>65.0</v>
      </c>
      <c r="E283" s="87"/>
      <c r="F283" s="71"/>
      <c r="G283" s="71"/>
      <c r="H283" s="71"/>
      <c r="I283" s="71"/>
      <c r="J283" s="73">
        <f t="shared" si="47"/>
        <v>65</v>
      </c>
      <c r="K283" s="73">
        <f t="shared" si="49"/>
        <v>0</v>
      </c>
      <c r="L283" s="105" t="s">
        <v>551</v>
      </c>
    </row>
    <row r="284">
      <c r="A284" s="70" t="s">
        <v>821</v>
      </c>
      <c r="B284" s="8" t="s">
        <v>19</v>
      </c>
      <c r="C284" s="8" t="s">
        <v>16</v>
      </c>
      <c r="D284" s="73">
        <v>46.0</v>
      </c>
      <c r="E284" s="87"/>
      <c r="F284" s="71"/>
      <c r="G284" s="71"/>
      <c r="H284" s="71"/>
      <c r="I284" s="71"/>
      <c r="J284" s="73">
        <f t="shared" si="47"/>
        <v>46</v>
      </c>
      <c r="K284" s="73"/>
      <c r="L284" s="105" t="s">
        <v>45</v>
      </c>
    </row>
    <row r="285">
      <c r="A285" s="70" t="s">
        <v>822</v>
      </c>
      <c r="B285" s="8" t="s">
        <v>8</v>
      </c>
      <c r="C285" s="99" t="s">
        <v>20</v>
      </c>
      <c r="D285" s="73">
        <v>107.0</v>
      </c>
      <c r="E285" s="73">
        <v>362.0</v>
      </c>
      <c r="F285" s="99">
        <v>30.0</v>
      </c>
      <c r="G285" s="71"/>
      <c r="H285" s="71"/>
      <c r="I285" s="99">
        <v>15.0</v>
      </c>
      <c r="J285" s="73">
        <f t="shared" si="47"/>
        <v>122</v>
      </c>
      <c r="K285" s="73">
        <f t="shared" ref="K285:K288" si="50">E285+I285</f>
        <v>377</v>
      </c>
      <c r="L285" s="105" t="s">
        <v>823</v>
      </c>
    </row>
    <row r="286">
      <c r="A286" s="70" t="s">
        <v>824</v>
      </c>
      <c r="B286" s="8" t="s">
        <v>8</v>
      </c>
      <c r="C286" s="99" t="s">
        <v>20</v>
      </c>
      <c r="D286" s="73">
        <v>108.0</v>
      </c>
      <c r="E286" s="91">
        <v>362.0</v>
      </c>
      <c r="F286" s="71"/>
      <c r="G286" s="71"/>
      <c r="H286" s="71"/>
      <c r="I286" s="71"/>
      <c r="J286" s="73">
        <f t="shared" si="47"/>
        <v>108</v>
      </c>
      <c r="K286" s="73">
        <f t="shared" si="50"/>
        <v>362</v>
      </c>
      <c r="L286" s="105" t="s">
        <v>332</v>
      </c>
    </row>
    <row r="287">
      <c r="A287" s="70" t="s">
        <v>825</v>
      </c>
      <c r="B287" s="8" t="s">
        <v>54</v>
      </c>
      <c r="C287" s="99" t="s">
        <v>20</v>
      </c>
      <c r="D287" s="73">
        <v>101.0</v>
      </c>
      <c r="E287" s="71">
        <f>55+70+101+56+65</f>
        <v>347</v>
      </c>
      <c r="F287" s="71"/>
      <c r="G287" s="71"/>
      <c r="H287" s="71"/>
      <c r="I287" s="71"/>
      <c r="J287" s="73">
        <f t="shared" si="47"/>
        <v>101</v>
      </c>
      <c r="K287" s="73">
        <f t="shared" si="50"/>
        <v>347</v>
      </c>
      <c r="L287" s="105" t="s">
        <v>674</v>
      </c>
    </row>
    <row r="288">
      <c r="A288" s="70" t="s">
        <v>826</v>
      </c>
      <c r="B288" s="8" t="s">
        <v>96</v>
      </c>
      <c r="C288" s="99" t="s">
        <v>20</v>
      </c>
      <c r="D288" s="73">
        <v>100.0</v>
      </c>
      <c r="E288" s="71">
        <f>56+69+100+49+58</f>
        <v>332</v>
      </c>
      <c r="F288" s="71"/>
      <c r="G288" s="71"/>
      <c r="H288" s="71"/>
      <c r="I288" s="71"/>
      <c r="J288" s="73">
        <f t="shared" si="47"/>
        <v>100</v>
      </c>
      <c r="K288" s="73">
        <f t="shared" si="50"/>
        <v>332</v>
      </c>
      <c r="L288" s="105" t="s">
        <v>560</v>
      </c>
    </row>
    <row r="289">
      <c r="A289" s="70" t="s">
        <v>827</v>
      </c>
      <c r="B289" s="8" t="s">
        <v>15</v>
      </c>
      <c r="C289" s="99" t="s">
        <v>20</v>
      </c>
      <c r="D289" s="73">
        <v>74.0</v>
      </c>
      <c r="E289" s="71"/>
      <c r="F289" s="71"/>
      <c r="G289" s="71"/>
      <c r="H289" s="71"/>
      <c r="I289" s="99">
        <v>10.0</v>
      </c>
      <c r="J289" s="73">
        <f t="shared" si="47"/>
        <v>84</v>
      </c>
      <c r="K289" s="73"/>
      <c r="L289" s="109" t="s">
        <v>828</v>
      </c>
    </row>
    <row r="290">
      <c r="A290" s="70" t="s">
        <v>829</v>
      </c>
      <c r="B290" s="8" t="s">
        <v>15</v>
      </c>
      <c r="C290" s="99" t="s">
        <v>20</v>
      </c>
      <c r="D290" s="73">
        <v>75.0</v>
      </c>
      <c r="E290" s="71"/>
      <c r="F290" s="71"/>
      <c r="G290" s="71"/>
      <c r="H290" s="71"/>
      <c r="I290" s="71"/>
      <c r="J290" s="73">
        <f t="shared" si="47"/>
        <v>75</v>
      </c>
      <c r="K290" s="73"/>
      <c r="L290" s="105" t="s">
        <v>139</v>
      </c>
    </row>
    <row r="291">
      <c r="A291" s="70" t="s">
        <v>830</v>
      </c>
      <c r="B291" s="8" t="s">
        <v>417</v>
      </c>
      <c r="C291" s="99" t="s">
        <v>20</v>
      </c>
      <c r="D291" s="73">
        <v>64.0</v>
      </c>
      <c r="E291" s="71"/>
      <c r="F291" s="71"/>
      <c r="G291" s="71"/>
      <c r="H291" s="71"/>
      <c r="I291" s="71"/>
      <c r="J291" s="73">
        <f t="shared" si="47"/>
        <v>64</v>
      </c>
      <c r="K291" s="73"/>
      <c r="L291" s="105" t="s">
        <v>551</v>
      </c>
    </row>
    <row r="292">
      <c r="A292" s="70" t="s">
        <v>831</v>
      </c>
      <c r="B292" s="8" t="s">
        <v>19</v>
      </c>
      <c r="C292" s="99" t="s">
        <v>20</v>
      </c>
      <c r="D292" s="73">
        <v>47.0</v>
      </c>
      <c r="E292" s="71"/>
      <c r="F292" s="71"/>
      <c r="G292" s="71"/>
      <c r="H292" s="71"/>
      <c r="I292" s="71"/>
      <c r="J292" s="73">
        <f t="shared" si="47"/>
        <v>47</v>
      </c>
      <c r="K292" s="73"/>
      <c r="L292" s="105" t="s">
        <v>249</v>
      </c>
    </row>
    <row r="293">
      <c r="A293" s="70" t="s">
        <v>832</v>
      </c>
      <c r="B293" s="8" t="s">
        <v>19</v>
      </c>
      <c r="C293" s="99" t="s">
        <v>20</v>
      </c>
      <c r="D293" s="73">
        <v>46.0</v>
      </c>
      <c r="E293" s="71"/>
      <c r="F293" s="71"/>
      <c r="G293" s="71"/>
      <c r="H293" s="71"/>
      <c r="I293" s="71"/>
      <c r="J293" s="73">
        <f t="shared" si="47"/>
        <v>46</v>
      </c>
      <c r="K293" s="73"/>
      <c r="L293" s="105" t="s">
        <v>49</v>
      </c>
    </row>
    <row r="294">
      <c r="A294" s="70" t="s">
        <v>833</v>
      </c>
      <c r="B294" s="8" t="s">
        <v>8</v>
      </c>
      <c r="C294" s="99" t="s">
        <v>12</v>
      </c>
      <c r="D294" s="73">
        <v>107.0</v>
      </c>
      <c r="E294" s="73">
        <v>362.0</v>
      </c>
      <c r="F294" s="73"/>
      <c r="G294" s="71"/>
      <c r="H294" s="71"/>
      <c r="I294" s="99">
        <v>15.0</v>
      </c>
      <c r="J294" s="73">
        <f t="shared" si="47"/>
        <v>122</v>
      </c>
      <c r="K294" s="73">
        <f t="shared" ref="K294:K296" si="51">E294+I294</f>
        <v>377</v>
      </c>
      <c r="L294" s="105" t="s">
        <v>834</v>
      </c>
    </row>
    <row r="295">
      <c r="A295" s="70" t="s">
        <v>835</v>
      </c>
      <c r="B295" s="8" t="s">
        <v>8</v>
      </c>
      <c r="C295" s="99" t="s">
        <v>12</v>
      </c>
      <c r="D295" s="73">
        <v>108.0</v>
      </c>
      <c r="E295" s="73">
        <v>362.0</v>
      </c>
      <c r="F295" s="73">
        <v>30.0</v>
      </c>
      <c r="G295" s="71"/>
      <c r="H295" s="73"/>
      <c r="I295" s="73"/>
      <c r="J295" s="73">
        <f t="shared" si="47"/>
        <v>108</v>
      </c>
      <c r="K295" s="73">
        <f t="shared" si="51"/>
        <v>362</v>
      </c>
      <c r="L295" s="105" t="s">
        <v>209</v>
      </c>
    </row>
    <row r="296">
      <c r="A296" s="70" t="s">
        <v>836</v>
      </c>
      <c r="B296" s="8" t="s">
        <v>54</v>
      </c>
      <c r="C296" s="99" t="s">
        <v>12</v>
      </c>
      <c r="D296" s="73">
        <v>102.0</v>
      </c>
      <c r="E296" s="73">
        <v>347.0</v>
      </c>
      <c r="F296" s="73"/>
      <c r="G296" s="71"/>
      <c r="H296" s="71"/>
      <c r="I296" s="71"/>
      <c r="J296" s="73">
        <f t="shared" si="47"/>
        <v>102</v>
      </c>
      <c r="K296" s="73">
        <f t="shared" si="51"/>
        <v>347</v>
      </c>
      <c r="L296" s="105" t="s">
        <v>837</v>
      </c>
    </row>
    <row r="297">
      <c r="A297" s="70" t="s">
        <v>838</v>
      </c>
      <c r="B297" s="8" t="s">
        <v>417</v>
      </c>
      <c r="C297" s="99" t="s">
        <v>12</v>
      </c>
      <c r="D297" s="73">
        <v>64.0</v>
      </c>
      <c r="E297" s="73"/>
      <c r="F297" s="71"/>
      <c r="G297" s="71"/>
      <c r="H297" s="71"/>
      <c r="I297" s="99">
        <v>10.0</v>
      </c>
      <c r="J297" s="73">
        <f t="shared" si="47"/>
        <v>74</v>
      </c>
      <c r="K297" s="73"/>
      <c r="L297" s="105" t="s">
        <v>418</v>
      </c>
    </row>
    <row r="298">
      <c r="A298" s="70" t="s">
        <v>839</v>
      </c>
      <c r="B298" s="8" t="s">
        <v>141</v>
      </c>
      <c r="C298" s="99" t="s">
        <v>12</v>
      </c>
      <c r="D298" s="73">
        <v>68.0</v>
      </c>
      <c r="E298" s="71"/>
      <c r="F298" s="71"/>
      <c r="G298" s="71"/>
      <c r="H298" s="71"/>
      <c r="I298" s="73"/>
      <c r="J298" s="73">
        <f t="shared" si="47"/>
        <v>68</v>
      </c>
      <c r="K298" s="73"/>
      <c r="L298" s="105" t="s">
        <v>840</v>
      </c>
    </row>
    <row r="299">
      <c r="A299" s="70" t="s">
        <v>841</v>
      </c>
      <c r="B299" s="8" t="s">
        <v>19</v>
      </c>
      <c r="C299" s="99" t="s">
        <v>12</v>
      </c>
      <c r="D299" s="73">
        <v>45.0</v>
      </c>
      <c r="E299" s="71"/>
      <c r="F299" s="71"/>
      <c r="G299" s="71"/>
      <c r="H299" s="71"/>
      <c r="I299" s="71"/>
      <c r="J299" s="73">
        <f t="shared" si="47"/>
        <v>45</v>
      </c>
      <c r="K299" s="73"/>
      <c r="L299" s="105" t="s">
        <v>406</v>
      </c>
    </row>
    <row r="300">
      <c r="A300" s="70" t="s">
        <v>842</v>
      </c>
      <c r="B300" s="8" t="s">
        <v>8</v>
      </c>
      <c r="C300" s="99" t="s">
        <v>40</v>
      </c>
      <c r="D300" s="73">
        <v>109.0</v>
      </c>
      <c r="E300" s="73">
        <v>362.0</v>
      </c>
      <c r="F300" s="71"/>
      <c r="G300" s="71"/>
      <c r="H300" s="71"/>
      <c r="I300" s="99">
        <v>15.0</v>
      </c>
      <c r="J300" s="73">
        <f t="shared" si="47"/>
        <v>124</v>
      </c>
      <c r="K300" s="73">
        <f t="shared" ref="K300:K304" si="52">E300+I300</f>
        <v>377</v>
      </c>
      <c r="L300" s="105" t="s">
        <v>843</v>
      </c>
    </row>
    <row r="301">
      <c r="A301" s="70" t="s">
        <v>844</v>
      </c>
      <c r="B301" s="8" t="s">
        <v>8</v>
      </c>
      <c r="C301" s="99" t="s">
        <v>40</v>
      </c>
      <c r="D301" s="73">
        <v>108.0</v>
      </c>
      <c r="E301" s="73">
        <v>362.0</v>
      </c>
      <c r="F301" s="71"/>
      <c r="G301" s="71"/>
      <c r="H301" s="71"/>
      <c r="I301" s="99">
        <v>15.0</v>
      </c>
      <c r="J301" s="73">
        <f t="shared" si="47"/>
        <v>123</v>
      </c>
      <c r="K301" s="73">
        <f t="shared" si="52"/>
        <v>377</v>
      </c>
      <c r="L301" s="74" t="s">
        <v>845</v>
      </c>
    </row>
    <row r="302">
      <c r="A302" s="70" t="s">
        <v>846</v>
      </c>
      <c r="B302" s="8" t="s">
        <v>8</v>
      </c>
      <c r="C302" s="99" t="s">
        <v>40</v>
      </c>
      <c r="D302" s="73">
        <v>108.0</v>
      </c>
      <c r="E302" s="73">
        <v>362.0</v>
      </c>
      <c r="F302" s="71"/>
      <c r="G302" s="71"/>
      <c r="H302" s="71"/>
      <c r="I302" s="71"/>
      <c r="J302" s="73">
        <f t="shared" si="47"/>
        <v>108</v>
      </c>
      <c r="K302" s="73">
        <f t="shared" si="52"/>
        <v>362</v>
      </c>
      <c r="L302" s="74" t="s">
        <v>207</v>
      </c>
    </row>
    <row r="303">
      <c r="A303" s="70" t="s">
        <v>847</v>
      </c>
      <c r="B303" s="8" t="s">
        <v>54</v>
      </c>
      <c r="C303" s="99" t="s">
        <v>40</v>
      </c>
      <c r="D303" s="73">
        <v>103.0</v>
      </c>
      <c r="E303" s="73">
        <v>347.0</v>
      </c>
      <c r="F303" s="71"/>
      <c r="G303" s="71"/>
      <c r="H303" s="71"/>
      <c r="I303" s="71"/>
      <c r="J303" s="73">
        <f t="shared" si="47"/>
        <v>103</v>
      </c>
      <c r="K303" s="73">
        <f t="shared" si="52"/>
        <v>347</v>
      </c>
      <c r="L303" s="74" t="s">
        <v>848</v>
      </c>
    </row>
    <row r="304">
      <c r="A304" s="70" t="s">
        <v>849</v>
      </c>
      <c r="B304" s="8" t="s">
        <v>54</v>
      </c>
      <c r="C304" s="99" t="s">
        <v>40</v>
      </c>
      <c r="D304" s="73">
        <v>101.0</v>
      </c>
      <c r="E304" s="99">
        <v>347.0</v>
      </c>
      <c r="F304" s="71"/>
      <c r="G304" s="71"/>
      <c r="H304" s="71"/>
      <c r="I304" s="71"/>
      <c r="J304" s="73">
        <f t="shared" si="47"/>
        <v>101</v>
      </c>
      <c r="K304" s="73">
        <f t="shared" si="52"/>
        <v>347</v>
      </c>
      <c r="L304" s="74" t="s">
        <v>848</v>
      </c>
    </row>
    <row r="305">
      <c r="A305" s="70" t="s">
        <v>850</v>
      </c>
      <c r="B305" s="8" t="s">
        <v>15</v>
      </c>
      <c r="C305" s="99" t="s">
        <v>40</v>
      </c>
      <c r="D305" s="73">
        <v>72.0</v>
      </c>
      <c r="E305" s="87"/>
      <c r="F305" s="87"/>
      <c r="G305" s="87"/>
      <c r="H305" s="87"/>
      <c r="I305" s="8">
        <v>10.0</v>
      </c>
      <c r="J305" s="73">
        <f t="shared" si="47"/>
        <v>82</v>
      </c>
      <c r="K305" s="73"/>
      <c r="L305" s="109" t="s">
        <v>851</v>
      </c>
    </row>
    <row r="306">
      <c r="A306" s="70" t="s">
        <v>852</v>
      </c>
      <c r="B306" s="8" t="s">
        <v>15</v>
      </c>
      <c r="C306" s="99" t="s">
        <v>40</v>
      </c>
      <c r="D306" s="73">
        <v>73.0</v>
      </c>
      <c r="E306" s="87"/>
      <c r="F306" s="87"/>
      <c r="G306" s="87"/>
      <c r="H306" s="87"/>
      <c r="I306" s="87"/>
      <c r="J306" s="73">
        <f t="shared" si="47"/>
        <v>73</v>
      </c>
      <c r="K306" s="73"/>
      <c r="L306" s="74" t="s">
        <v>266</v>
      </c>
    </row>
    <row r="307">
      <c r="A307" s="70" t="s">
        <v>853</v>
      </c>
      <c r="B307" s="8" t="s">
        <v>417</v>
      </c>
      <c r="C307" s="99" t="s">
        <v>40</v>
      </c>
      <c r="D307" s="73">
        <v>61.0</v>
      </c>
      <c r="E307" s="87"/>
      <c r="F307" s="87"/>
      <c r="G307" s="87"/>
      <c r="H307" s="87"/>
      <c r="I307" s="8">
        <v>10.0</v>
      </c>
      <c r="J307" s="73">
        <f t="shared" si="47"/>
        <v>71</v>
      </c>
      <c r="K307" s="73"/>
      <c r="L307" s="74" t="s">
        <v>512</v>
      </c>
    </row>
    <row r="308">
      <c r="A308" s="70" t="s">
        <v>854</v>
      </c>
      <c r="B308" s="8" t="s">
        <v>19</v>
      </c>
      <c r="C308" s="99" t="s">
        <v>40</v>
      </c>
      <c r="D308" s="73">
        <v>45.0</v>
      </c>
      <c r="E308" s="87"/>
      <c r="F308" s="87"/>
      <c r="G308" s="87"/>
      <c r="H308" s="87"/>
      <c r="I308" s="87"/>
      <c r="J308" s="73">
        <f t="shared" si="47"/>
        <v>45</v>
      </c>
      <c r="K308" s="73"/>
      <c r="L308" s="74" t="s">
        <v>855</v>
      </c>
    </row>
    <row r="309">
      <c r="A309" s="75" t="s">
        <v>856</v>
      </c>
      <c r="B309" s="96" t="s">
        <v>19</v>
      </c>
      <c r="C309" s="125" t="s">
        <v>40</v>
      </c>
      <c r="D309" s="77">
        <v>46.0</v>
      </c>
      <c r="E309" s="93"/>
      <c r="F309" s="93"/>
      <c r="G309" s="93"/>
      <c r="H309" s="93"/>
      <c r="I309" s="93"/>
      <c r="J309" s="77">
        <f t="shared" si="47"/>
        <v>46</v>
      </c>
      <c r="K309" s="77"/>
      <c r="L309" s="84" t="s">
        <v>857</v>
      </c>
    </row>
    <row r="312">
      <c r="A312" s="67" t="s">
        <v>578</v>
      </c>
      <c r="B312" s="82"/>
      <c r="C312" s="68" t="s">
        <v>579</v>
      </c>
      <c r="D312" s="68" t="s">
        <v>580</v>
      </c>
      <c r="E312" s="68" t="s">
        <v>581</v>
      </c>
      <c r="F312" s="68" t="s">
        <v>539</v>
      </c>
      <c r="G312" s="68" t="s">
        <v>540</v>
      </c>
      <c r="H312" s="69" t="s">
        <v>541</v>
      </c>
    </row>
    <row r="313">
      <c r="A313" s="126">
        <v>1.0</v>
      </c>
      <c r="B313" s="99" t="s">
        <v>582</v>
      </c>
      <c r="C313" s="87"/>
      <c r="D313" s="99" t="s">
        <v>844</v>
      </c>
      <c r="E313" s="91">
        <f>K300</f>
        <v>377</v>
      </c>
      <c r="F313" s="91"/>
      <c r="G313" s="87"/>
      <c r="H313" s="127"/>
    </row>
    <row r="314">
      <c r="A314" s="126">
        <v>2.0</v>
      </c>
      <c r="B314" s="8" t="s">
        <v>16</v>
      </c>
      <c r="C314" s="99" t="s">
        <v>814</v>
      </c>
      <c r="D314" s="99" t="s">
        <v>814</v>
      </c>
      <c r="E314" s="91">
        <f>J279</f>
        <v>108</v>
      </c>
      <c r="F314" s="87"/>
      <c r="G314" s="87"/>
      <c r="H314" s="88"/>
    </row>
    <row r="315">
      <c r="A315" s="126">
        <v>3.0</v>
      </c>
      <c r="B315" s="8" t="s">
        <v>9</v>
      </c>
      <c r="C315" s="8" t="s">
        <v>803</v>
      </c>
      <c r="D315" s="8" t="s">
        <v>803</v>
      </c>
      <c r="E315" s="91">
        <f>J273</f>
        <v>69</v>
      </c>
      <c r="F315" s="87"/>
      <c r="G315" s="87"/>
      <c r="H315" s="88"/>
      <c r="I315" s="80"/>
      <c r="J315" s="80"/>
      <c r="K315" s="80"/>
      <c r="L315" s="80"/>
    </row>
    <row r="316">
      <c r="A316" s="126">
        <v>4.0</v>
      </c>
      <c r="B316" s="8" t="s">
        <v>9</v>
      </c>
      <c r="C316" s="8" t="s">
        <v>858</v>
      </c>
      <c r="D316" s="8" t="s">
        <v>858</v>
      </c>
      <c r="E316" s="91">
        <f>J275</f>
        <v>46</v>
      </c>
      <c r="F316" s="87"/>
      <c r="G316" s="87"/>
      <c r="H316" s="88"/>
      <c r="I316" s="80"/>
      <c r="J316" s="80"/>
      <c r="K316" s="80"/>
      <c r="L316" s="80"/>
    </row>
    <row r="317">
      <c r="A317" s="126">
        <v>5.0</v>
      </c>
      <c r="B317" s="8" t="s">
        <v>9</v>
      </c>
      <c r="C317" s="87"/>
      <c r="D317" s="8" t="s">
        <v>797</v>
      </c>
      <c r="E317" s="91">
        <f t="shared" ref="E317:E318" si="53">J268</f>
        <v>110</v>
      </c>
      <c r="F317" s="87"/>
      <c r="G317" s="87"/>
      <c r="H317" s="88"/>
      <c r="I317" s="80"/>
      <c r="J317" s="80"/>
      <c r="K317" s="80"/>
      <c r="L317" s="80"/>
    </row>
    <row r="318">
      <c r="A318" s="126">
        <v>6.0</v>
      </c>
      <c r="B318" s="8" t="s">
        <v>9</v>
      </c>
      <c r="C318" s="87"/>
      <c r="D318" s="8" t="s">
        <v>799</v>
      </c>
      <c r="E318" s="91">
        <f t="shared" si="53"/>
        <v>106</v>
      </c>
      <c r="F318" s="87"/>
      <c r="G318" s="87"/>
      <c r="H318" s="88"/>
      <c r="I318" s="80"/>
      <c r="J318" s="80"/>
      <c r="K318" s="80"/>
      <c r="L318" s="80"/>
    </row>
    <row r="319">
      <c r="A319" s="126">
        <v>7.0</v>
      </c>
      <c r="B319" s="8" t="s">
        <v>16</v>
      </c>
      <c r="C319" s="87"/>
      <c r="D319" s="139" t="s">
        <v>808</v>
      </c>
      <c r="E319" s="140">
        <f t="shared" ref="E319:E321" si="54">J276</f>
        <v>124</v>
      </c>
      <c r="F319" s="8">
        <v>30.0</v>
      </c>
      <c r="G319" s="87"/>
      <c r="H319" s="88"/>
      <c r="I319" s="80"/>
      <c r="J319" s="104"/>
      <c r="K319" s="104"/>
      <c r="L319" s="104"/>
    </row>
    <row r="320">
      <c r="A320" s="126">
        <v>8.0</v>
      </c>
      <c r="B320" s="8" t="s">
        <v>16</v>
      </c>
      <c r="C320" s="87"/>
      <c r="D320" s="8" t="str">
        <f>A277</f>
        <v>Pearl Earring Girl</v>
      </c>
      <c r="E320" s="91">
        <f t="shared" si="54"/>
        <v>121</v>
      </c>
      <c r="F320" s="87"/>
      <c r="G320" s="87"/>
      <c r="H320" s="88">
        <f>H277</f>
        <v>3000</v>
      </c>
      <c r="I320" s="80"/>
      <c r="J320" s="80"/>
      <c r="K320" s="80"/>
      <c r="L320" s="80"/>
    </row>
    <row r="321">
      <c r="A321" s="126">
        <v>9.0</v>
      </c>
      <c r="B321" s="8" t="s">
        <v>16</v>
      </c>
      <c r="C321" s="87"/>
      <c r="D321" s="8" t="s">
        <v>812</v>
      </c>
      <c r="E321" s="91">
        <f t="shared" si="54"/>
        <v>108</v>
      </c>
      <c r="F321" s="87"/>
      <c r="G321" s="87"/>
      <c r="H321" s="88"/>
      <c r="I321" s="80"/>
      <c r="J321" s="80"/>
      <c r="K321" s="80"/>
      <c r="L321" s="80"/>
    </row>
    <row r="322">
      <c r="A322" s="126">
        <v>10.0</v>
      </c>
      <c r="B322" s="99" t="s">
        <v>20</v>
      </c>
      <c r="C322" s="87"/>
      <c r="D322" s="99" t="s">
        <v>822</v>
      </c>
      <c r="E322" s="91">
        <f t="shared" ref="E322:E324" si="55">J285</f>
        <v>122</v>
      </c>
      <c r="F322" s="87">
        <f>F285</f>
        <v>30</v>
      </c>
      <c r="G322" s="87"/>
      <c r="H322" s="88"/>
      <c r="I322" s="80"/>
      <c r="J322" s="80"/>
      <c r="K322" s="80"/>
      <c r="L322" s="80"/>
    </row>
    <row r="323">
      <c r="A323" s="126">
        <v>11.0</v>
      </c>
      <c r="B323" s="99" t="s">
        <v>20</v>
      </c>
      <c r="C323" s="87"/>
      <c r="D323" s="99" t="s">
        <v>824</v>
      </c>
      <c r="E323" s="91">
        <f t="shared" si="55"/>
        <v>108</v>
      </c>
      <c r="F323" s="87"/>
      <c r="G323" s="87"/>
      <c r="H323" s="88"/>
      <c r="I323" s="80"/>
      <c r="J323" s="80"/>
      <c r="K323" s="80"/>
      <c r="L323" s="80"/>
    </row>
    <row r="324">
      <c r="A324" s="126">
        <v>12.0</v>
      </c>
      <c r="B324" s="99" t="s">
        <v>20</v>
      </c>
      <c r="C324" s="87"/>
      <c r="D324" s="99" t="str">
        <f>A287</f>
        <v>Silmarils</v>
      </c>
      <c r="E324" s="91">
        <f t="shared" si="55"/>
        <v>101</v>
      </c>
      <c r="F324" s="91"/>
      <c r="G324" s="87"/>
      <c r="H324" s="88"/>
      <c r="I324" s="104"/>
      <c r="J324" s="104"/>
      <c r="K324" s="104"/>
      <c r="L324" s="104"/>
    </row>
    <row r="325">
      <c r="A325" s="126">
        <v>13.0</v>
      </c>
      <c r="B325" s="99" t="s">
        <v>12</v>
      </c>
      <c r="C325" s="87"/>
      <c r="D325" s="99" t="s">
        <v>833</v>
      </c>
      <c r="E325" s="91">
        <f t="shared" ref="E325:E326" si="56">J294</f>
        <v>122</v>
      </c>
      <c r="F325" s="91"/>
      <c r="G325" s="87"/>
      <c r="H325" s="88"/>
      <c r="I325" s="80"/>
      <c r="J325" s="80"/>
      <c r="K325" s="80"/>
      <c r="L325" s="80"/>
    </row>
    <row r="326">
      <c r="A326" s="126">
        <v>14.0</v>
      </c>
      <c r="B326" s="99" t="s">
        <v>12</v>
      </c>
      <c r="C326" s="87"/>
      <c r="D326" s="99" t="s">
        <v>835</v>
      </c>
      <c r="E326" s="91">
        <f t="shared" si="56"/>
        <v>108</v>
      </c>
      <c r="F326" s="87">
        <f>F295</f>
        <v>30</v>
      </c>
      <c r="G326" s="87"/>
      <c r="H326" s="88"/>
      <c r="I326" s="104"/>
      <c r="J326" s="104"/>
      <c r="K326" s="104"/>
      <c r="L326" s="104"/>
    </row>
    <row r="327">
      <c r="A327" s="126">
        <v>15.0</v>
      </c>
      <c r="B327" s="99" t="s">
        <v>40</v>
      </c>
      <c r="C327" s="87"/>
      <c r="D327" s="143" t="s">
        <v>842</v>
      </c>
      <c r="E327" s="91">
        <f>J300</f>
        <v>124</v>
      </c>
      <c r="F327" s="87"/>
      <c r="G327" s="87"/>
      <c r="H327" s="88"/>
      <c r="I327" s="104"/>
      <c r="J327" s="104"/>
      <c r="K327" s="104"/>
      <c r="L327" s="104"/>
    </row>
    <row r="328">
      <c r="A328" s="126">
        <v>16.0</v>
      </c>
      <c r="B328" s="99" t="s">
        <v>40</v>
      </c>
      <c r="C328" s="87"/>
      <c r="D328" s="99" t="s">
        <v>846</v>
      </c>
      <c r="E328" s="91">
        <f>J302</f>
        <v>108</v>
      </c>
      <c r="F328" s="87"/>
      <c r="G328" s="87"/>
      <c r="H328" s="88"/>
      <c r="I328" s="104"/>
      <c r="J328" s="104"/>
      <c r="K328" s="104"/>
      <c r="L328" s="104"/>
    </row>
    <row r="329">
      <c r="A329" s="128"/>
      <c r="B329" s="142"/>
      <c r="C329" s="93"/>
      <c r="D329" s="125" t="s">
        <v>595</v>
      </c>
      <c r="E329" s="94">
        <f t="shared" ref="E329:H329" si="57">SUM(E313:E328)</f>
        <v>1962</v>
      </c>
      <c r="F329" s="94">
        <f t="shared" si="57"/>
        <v>90</v>
      </c>
      <c r="G329" s="94">
        <f t="shared" si="57"/>
        <v>0</v>
      </c>
      <c r="H329" s="115">
        <f t="shared" si="57"/>
        <v>3000</v>
      </c>
      <c r="I329" s="104"/>
      <c r="J329" s="104"/>
      <c r="K329" s="104"/>
      <c r="L329" s="104"/>
    </row>
    <row r="334">
      <c r="A334" s="123"/>
      <c r="B334" s="89"/>
      <c r="C334" s="89"/>
      <c r="D334" s="68" t="s">
        <v>537</v>
      </c>
      <c r="E334" s="68" t="s">
        <v>538</v>
      </c>
      <c r="F334" s="68" t="s">
        <v>539</v>
      </c>
      <c r="G334" s="68" t="s">
        <v>540</v>
      </c>
      <c r="H334" s="68" t="s">
        <v>541</v>
      </c>
      <c r="I334" s="68" t="s">
        <v>542</v>
      </c>
      <c r="J334" s="68" t="s">
        <v>543</v>
      </c>
      <c r="K334" s="68" t="s">
        <v>544</v>
      </c>
      <c r="L334" s="90"/>
    </row>
    <row r="335">
      <c r="A335" s="130" t="s">
        <v>192</v>
      </c>
      <c r="B335" s="71"/>
      <c r="C335" s="71"/>
      <c r="D335" s="71"/>
      <c r="E335" s="71"/>
      <c r="F335" s="71"/>
      <c r="G335" s="87"/>
      <c r="H335" s="87"/>
      <c r="I335" s="87"/>
      <c r="J335" s="87"/>
      <c r="K335" s="87"/>
      <c r="L335" s="88"/>
    </row>
    <row r="336">
      <c r="A336" s="70" t="s">
        <v>6</v>
      </c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2"/>
    </row>
    <row r="337">
      <c r="A337" s="70" t="s">
        <v>859</v>
      </c>
      <c r="B337" s="8" t="s">
        <v>8</v>
      </c>
      <c r="C337" s="8" t="s">
        <v>9</v>
      </c>
      <c r="D337" s="73">
        <v>108.0</v>
      </c>
      <c r="E337" s="73">
        <v>362.0</v>
      </c>
      <c r="F337" s="71"/>
      <c r="G337" s="71"/>
      <c r="H337" s="71"/>
      <c r="I337" s="73">
        <v>15.0</v>
      </c>
      <c r="J337" s="73">
        <f t="shared" ref="J337:J367" si="58">D337+I337</f>
        <v>123</v>
      </c>
      <c r="K337" s="73">
        <f t="shared" ref="K337:K367" si="59">E337+I337</f>
        <v>377</v>
      </c>
      <c r="L337" s="74" t="s">
        <v>558</v>
      </c>
    </row>
    <row r="338">
      <c r="A338" s="70" t="s">
        <v>860</v>
      </c>
      <c r="B338" s="8" t="s">
        <v>54</v>
      </c>
      <c r="C338" s="8" t="s">
        <v>9</v>
      </c>
      <c r="D338" s="73">
        <v>103.0</v>
      </c>
      <c r="E338" s="73">
        <v>347.0</v>
      </c>
      <c r="F338" s="71"/>
      <c r="G338" s="71"/>
      <c r="H338" s="71"/>
      <c r="I338" s="73">
        <v>15.0</v>
      </c>
      <c r="J338" s="73">
        <f t="shared" si="58"/>
        <v>118</v>
      </c>
      <c r="K338" s="73">
        <f t="shared" si="59"/>
        <v>362</v>
      </c>
      <c r="L338" s="74" t="s">
        <v>861</v>
      </c>
    </row>
    <row r="339">
      <c r="A339" s="70" t="s">
        <v>862</v>
      </c>
      <c r="B339" s="8" t="s">
        <v>15</v>
      </c>
      <c r="C339" s="8" t="s">
        <v>9</v>
      </c>
      <c r="D339" s="73">
        <v>74.0</v>
      </c>
      <c r="E339" s="73"/>
      <c r="F339" s="71"/>
      <c r="G339" s="71"/>
      <c r="H339" s="71"/>
      <c r="I339" s="99">
        <v>10.0</v>
      </c>
      <c r="J339" s="73">
        <f t="shared" si="58"/>
        <v>84</v>
      </c>
      <c r="K339" s="73">
        <f t="shared" si="59"/>
        <v>10</v>
      </c>
      <c r="L339" s="109" t="s">
        <v>863</v>
      </c>
    </row>
    <row r="340">
      <c r="A340" s="70" t="s">
        <v>864</v>
      </c>
      <c r="B340" s="8" t="s">
        <v>19</v>
      </c>
      <c r="C340" s="8" t="s">
        <v>9</v>
      </c>
      <c r="D340" s="73">
        <v>47.0</v>
      </c>
      <c r="E340" s="73"/>
      <c r="F340" s="71"/>
      <c r="G340" s="71"/>
      <c r="H340" s="71"/>
      <c r="I340" s="71"/>
      <c r="J340" s="73">
        <f t="shared" si="58"/>
        <v>47</v>
      </c>
      <c r="K340" s="73">
        <f t="shared" si="59"/>
        <v>0</v>
      </c>
      <c r="L340" s="74" t="s">
        <v>45</v>
      </c>
    </row>
    <row r="341">
      <c r="A341" s="70" t="s">
        <v>865</v>
      </c>
      <c r="B341" s="8" t="s">
        <v>19</v>
      </c>
      <c r="C341" s="8" t="s">
        <v>9</v>
      </c>
      <c r="D341" s="73">
        <v>45.0</v>
      </c>
      <c r="E341" s="71"/>
      <c r="F341" s="71"/>
      <c r="G341" s="71"/>
      <c r="H341" s="71"/>
      <c r="I341" s="71"/>
      <c r="J341" s="73">
        <f t="shared" si="58"/>
        <v>45</v>
      </c>
      <c r="K341" s="73">
        <f t="shared" si="59"/>
        <v>0</v>
      </c>
      <c r="L341" s="74" t="s">
        <v>807</v>
      </c>
    </row>
    <row r="342">
      <c r="A342" s="70" t="s">
        <v>866</v>
      </c>
      <c r="B342" s="8" t="s">
        <v>8</v>
      </c>
      <c r="C342" s="8" t="s">
        <v>16</v>
      </c>
      <c r="D342" s="73">
        <v>109.0</v>
      </c>
      <c r="E342" s="8">
        <v>362.0</v>
      </c>
      <c r="F342" s="8">
        <v>30.0</v>
      </c>
      <c r="G342" s="87"/>
      <c r="H342" s="87"/>
      <c r="I342" s="8"/>
      <c r="J342" s="73">
        <f t="shared" si="58"/>
        <v>109</v>
      </c>
      <c r="K342" s="73">
        <f t="shared" si="59"/>
        <v>362</v>
      </c>
      <c r="L342" s="74" t="s">
        <v>521</v>
      </c>
    </row>
    <row r="343">
      <c r="A343" s="70" t="s">
        <v>816</v>
      </c>
      <c r="B343" s="8" t="s">
        <v>54</v>
      </c>
      <c r="C343" s="8" t="s">
        <v>16</v>
      </c>
      <c r="D343" s="73">
        <v>105.0</v>
      </c>
      <c r="E343" s="8">
        <v>347.0</v>
      </c>
      <c r="F343" s="87"/>
      <c r="G343" s="87"/>
      <c r="H343" s="87"/>
      <c r="I343" s="87"/>
      <c r="J343" s="73">
        <f t="shared" si="58"/>
        <v>105</v>
      </c>
      <c r="K343" s="73">
        <f t="shared" si="59"/>
        <v>347</v>
      </c>
      <c r="L343" s="74" t="s">
        <v>754</v>
      </c>
    </row>
    <row r="344">
      <c r="A344" s="70" t="s">
        <v>867</v>
      </c>
      <c r="B344" s="8" t="s">
        <v>96</v>
      </c>
      <c r="C344" s="8" t="s">
        <v>16</v>
      </c>
      <c r="D344" s="73">
        <v>96.0</v>
      </c>
      <c r="E344" s="8"/>
      <c r="F344" s="87"/>
      <c r="G344" s="87"/>
      <c r="H344" s="87"/>
      <c r="I344" s="87"/>
      <c r="J344" s="73">
        <f t="shared" si="58"/>
        <v>96</v>
      </c>
      <c r="K344" s="73">
        <f t="shared" si="59"/>
        <v>0</v>
      </c>
      <c r="L344" s="74" t="s">
        <v>424</v>
      </c>
    </row>
    <row r="345">
      <c r="A345" s="70" t="s">
        <v>868</v>
      </c>
      <c r="B345" s="8" t="s">
        <v>141</v>
      </c>
      <c r="C345" s="8" t="s">
        <v>16</v>
      </c>
      <c r="D345" s="73">
        <v>73.0</v>
      </c>
      <c r="E345" s="99"/>
      <c r="F345" s="71"/>
      <c r="G345" s="71"/>
      <c r="H345" s="71"/>
      <c r="I345" s="71"/>
      <c r="J345" s="73">
        <f t="shared" si="58"/>
        <v>73</v>
      </c>
      <c r="K345" s="73">
        <f t="shared" si="59"/>
        <v>0</v>
      </c>
      <c r="L345" s="74" t="s">
        <v>146</v>
      </c>
    </row>
    <row r="346">
      <c r="A346" s="70" t="s">
        <v>869</v>
      </c>
      <c r="B346" s="8" t="s">
        <v>417</v>
      </c>
      <c r="C346" s="8" t="s">
        <v>16</v>
      </c>
      <c r="D346" s="73">
        <v>61.0</v>
      </c>
      <c r="E346" s="87"/>
      <c r="F346" s="71"/>
      <c r="G346" s="71"/>
      <c r="H346" s="71"/>
      <c r="I346" s="99">
        <v>10.0</v>
      </c>
      <c r="J346" s="73">
        <f t="shared" si="58"/>
        <v>71</v>
      </c>
      <c r="K346" s="73">
        <f t="shared" si="59"/>
        <v>10</v>
      </c>
      <c r="L346" s="74" t="s">
        <v>870</v>
      </c>
    </row>
    <row r="347">
      <c r="A347" s="70" t="s">
        <v>871</v>
      </c>
      <c r="B347" s="8" t="s">
        <v>19</v>
      </c>
      <c r="C347" s="8" t="s">
        <v>16</v>
      </c>
      <c r="D347" s="73">
        <v>47.0</v>
      </c>
      <c r="E347" s="87"/>
      <c r="F347" s="71"/>
      <c r="G347" s="71"/>
      <c r="H347" s="71"/>
      <c r="I347" s="71"/>
      <c r="J347" s="73">
        <f t="shared" si="58"/>
        <v>47</v>
      </c>
      <c r="K347" s="73">
        <f t="shared" si="59"/>
        <v>0</v>
      </c>
      <c r="L347" s="74" t="s">
        <v>45</v>
      </c>
    </row>
    <row r="348">
      <c r="A348" s="70" t="s">
        <v>872</v>
      </c>
      <c r="B348" s="8" t="s">
        <v>8</v>
      </c>
      <c r="C348" s="99" t="s">
        <v>20</v>
      </c>
      <c r="D348" s="73">
        <v>109.0</v>
      </c>
      <c r="E348" s="73">
        <f>59+75+109+52+67</f>
        <v>362</v>
      </c>
      <c r="F348" s="99"/>
      <c r="G348" s="71"/>
      <c r="H348" s="71"/>
      <c r="I348" s="99">
        <v>15.0</v>
      </c>
      <c r="J348" s="73">
        <f t="shared" si="58"/>
        <v>124</v>
      </c>
      <c r="K348" s="73">
        <f t="shared" si="59"/>
        <v>377</v>
      </c>
      <c r="L348" s="74" t="s">
        <v>873</v>
      </c>
    </row>
    <row r="349">
      <c r="A349" s="70" t="s">
        <v>874</v>
      </c>
      <c r="B349" s="8" t="s">
        <v>8</v>
      </c>
      <c r="C349" s="99" t="s">
        <v>20</v>
      </c>
      <c r="D349" s="73">
        <v>108.0</v>
      </c>
      <c r="E349" s="73">
        <v>362.0</v>
      </c>
      <c r="F349" s="99"/>
      <c r="G349" s="71"/>
      <c r="H349" s="71"/>
      <c r="I349" s="99">
        <v>15.0</v>
      </c>
      <c r="J349" s="73">
        <f t="shared" si="58"/>
        <v>123</v>
      </c>
      <c r="K349" s="73">
        <f t="shared" si="59"/>
        <v>377</v>
      </c>
      <c r="L349" s="74" t="s">
        <v>442</v>
      </c>
    </row>
    <row r="350">
      <c r="A350" s="70" t="s">
        <v>875</v>
      </c>
      <c r="B350" s="8" t="s">
        <v>8</v>
      </c>
      <c r="C350" s="99" t="s">
        <v>20</v>
      </c>
      <c r="D350" s="73">
        <v>110.0</v>
      </c>
      <c r="E350" s="71">
        <f>58+66+110+77+51</f>
        <v>362</v>
      </c>
      <c r="F350" s="71"/>
      <c r="G350" s="71"/>
      <c r="H350" s="71"/>
      <c r="I350" s="71"/>
      <c r="J350" s="73">
        <f t="shared" si="58"/>
        <v>110</v>
      </c>
      <c r="K350" s="73">
        <f t="shared" si="59"/>
        <v>362</v>
      </c>
      <c r="L350" s="74" t="s">
        <v>798</v>
      </c>
    </row>
    <row r="351">
      <c r="A351" s="70" t="s">
        <v>876</v>
      </c>
      <c r="B351" s="8" t="s">
        <v>54</v>
      </c>
      <c r="C351" s="99" t="s">
        <v>20</v>
      </c>
      <c r="D351" s="73">
        <v>104.0</v>
      </c>
      <c r="E351" s="91">
        <v>347.0</v>
      </c>
      <c r="F351" s="71"/>
      <c r="G351" s="71"/>
      <c r="H351" s="71"/>
      <c r="I351" s="71"/>
      <c r="J351" s="73">
        <f t="shared" si="58"/>
        <v>104</v>
      </c>
      <c r="K351" s="73">
        <f t="shared" si="59"/>
        <v>347</v>
      </c>
      <c r="L351" s="74" t="s">
        <v>877</v>
      </c>
    </row>
    <row r="352">
      <c r="A352" s="70" t="s">
        <v>878</v>
      </c>
      <c r="B352" s="8" t="s">
        <v>54</v>
      </c>
      <c r="C352" s="99" t="s">
        <v>20</v>
      </c>
      <c r="D352" s="73">
        <v>102.0</v>
      </c>
      <c r="E352" s="99">
        <f>61+64+102+51+69</f>
        <v>347</v>
      </c>
      <c r="F352" s="71"/>
      <c r="G352" s="71"/>
      <c r="H352" s="71"/>
      <c r="I352" s="99"/>
      <c r="J352" s="73">
        <f t="shared" si="58"/>
        <v>102</v>
      </c>
      <c r="K352" s="73">
        <f t="shared" si="59"/>
        <v>347</v>
      </c>
      <c r="L352" s="105" t="s">
        <v>618</v>
      </c>
    </row>
    <row r="353">
      <c r="A353" s="70" t="s">
        <v>879</v>
      </c>
      <c r="B353" s="8" t="s">
        <v>96</v>
      </c>
      <c r="C353" s="99" t="s">
        <v>20</v>
      </c>
      <c r="D353" s="73">
        <v>98.0</v>
      </c>
      <c r="E353" s="99">
        <v>332.0</v>
      </c>
      <c r="F353" s="71"/>
      <c r="G353" s="71"/>
      <c r="H353" s="71"/>
      <c r="I353" s="99"/>
      <c r="J353" s="73">
        <f t="shared" si="58"/>
        <v>98</v>
      </c>
      <c r="K353" s="73">
        <f t="shared" si="59"/>
        <v>332</v>
      </c>
      <c r="L353" s="105" t="s">
        <v>97</v>
      </c>
    </row>
    <row r="354">
      <c r="A354" s="70" t="s">
        <v>880</v>
      </c>
      <c r="B354" s="8" t="s">
        <v>141</v>
      </c>
      <c r="C354" s="99" t="s">
        <v>20</v>
      </c>
      <c r="D354" s="73">
        <v>69.0</v>
      </c>
      <c r="E354" s="71"/>
      <c r="F354" s="71"/>
      <c r="G354" s="71"/>
      <c r="H354" s="71"/>
      <c r="I354" s="99">
        <v>10.0</v>
      </c>
      <c r="J354" s="73">
        <f t="shared" si="58"/>
        <v>79</v>
      </c>
      <c r="K354" s="73">
        <f t="shared" si="59"/>
        <v>10</v>
      </c>
      <c r="L354" s="105" t="s">
        <v>388</v>
      </c>
    </row>
    <row r="355">
      <c r="A355" s="70" t="s">
        <v>881</v>
      </c>
      <c r="B355" s="8" t="s">
        <v>141</v>
      </c>
      <c r="C355" s="99" t="s">
        <v>20</v>
      </c>
      <c r="D355" s="73">
        <v>69.0</v>
      </c>
      <c r="E355" s="71"/>
      <c r="F355" s="71"/>
      <c r="G355" s="71"/>
      <c r="H355" s="71"/>
      <c r="I355" s="71"/>
      <c r="J355" s="73">
        <f t="shared" si="58"/>
        <v>69</v>
      </c>
      <c r="K355" s="73">
        <f t="shared" si="59"/>
        <v>0</v>
      </c>
      <c r="L355" s="105" t="s">
        <v>882</v>
      </c>
    </row>
    <row r="356">
      <c r="A356" s="70" t="s">
        <v>883</v>
      </c>
      <c r="B356" s="8" t="s">
        <v>19</v>
      </c>
      <c r="C356" s="99" t="s">
        <v>20</v>
      </c>
      <c r="D356" s="73">
        <v>48.0</v>
      </c>
      <c r="E356" s="73"/>
      <c r="F356" s="73"/>
      <c r="G356" s="71"/>
      <c r="H356" s="99"/>
      <c r="I356" s="99"/>
      <c r="J356" s="73">
        <f t="shared" si="58"/>
        <v>48</v>
      </c>
      <c r="K356" s="73">
        <f t="shared" si="59"/>
        <v>0</v>
      </c>
      <c r="L356" s="105" t="s">
        <v>884</v>
      </c>
    </row>
    <row r="357">
      <c r="A357" s="70" t="s">
        <v>885</v>
      </c>
      <c r="B357" s="8" t="s">
        <v>8</v>
      </c>
      <c r="C357" s="99" t="s">
        <v>12</v>
      </c>
      <c r="D357" s="73">
        <v>109.0</v>
      </c>
      <c r="E357" s="73">
        <v>362.0</v>
      </c>
      <c r="F357" s="73"/>
      <c r="G357" s="71"/>
      <c r="H357" s="73"/>
      <c r="I357" s="73">
        <v>15.0</v>
      </c>
      <c r="J357" s="73">
        <f t="shared" si="58"/>
        <v>124</v>
      </c>
      <c r="K357" s="73">
        <f t="shared" si="59"/>
        <v>377</v>
      </c>
      <c r="L357" s="109" t="s">
        <v>369</v>
      </c>
    </row>
    <row r="358">
      <c r="A358" s="70" t="s">
        <v>886</v>
      </c>
      <c r="B358" s="8" t="s">
        <v>8</v>
      </c>
      <c r="C358" s="99" t="s">
        <v>12</v>
      </c>
      <c r="D358" s="73">
        <v>107.0</v>
      </c>
      <c r="E358" s="73">
        <f>69+60+58+107+68</f>
        <v>362</v>
      </c>
      <c r="F358" s="73"/>
      <c r="G358" s="71"/>
      <c r="H358" s="99">
        <v>3000.0</v>
      </c>
      <c r="I358" s="99">
        <v>15.0</v>
      </c>
      <c r="J358" s="73">
        <f t="shared" si="58"/>
        <v>122</v>
      </c>
      <c r="K358" s="73">
        <f t="shared" si="59"/>
        <v>377</v>
      </c>
      <c r="L358" s="105" t="s">
        <v>887</v>
      </c>
    </row>
    <row r="359">
      <c r="A359" s="144" t="s">
        <v>888</v>
      </c>
      <c r="B359" s="8" t="s">
        <v>141</v>
      </c>
      <c r="C359" s="8" t="s">
        <v>12</v>
      </c>
      <c r="D359" s="91">
        <v>69.0</v>
      </c>
      <c r="E359" s="87"/>
      <c r="F359" s="71"/>
      <c r="G359" s="71"/>
      <c r="H359" s="71"/>
      <c r="I359" s="73"/>
      <c r="J359" s="73">
        <f t="shared" si="58"/>
        <v>69</v>
      </c>
      <c r="K359" s="73">
        <f t="shared" si="59"/>
        <v>0</v>
      </c>
      <c r="L359" s="105" t="s">
        <v>500</v>
      </c>
    </row>
    <row r="360">
      <c r="A360" s="144" t="s">
        <v>889</v>
      </c>
      <c r="B360" s="8" t="s">
        <v>417</v>
      </c>
      <c r="C360" s="8" t="s">
        <v>12</v>
      </c>
      <c r="D360" s="91">
        <v>64.0</v>
      </c>
      <c r="E360" s="87"/>
      <c r="F360" s="71"/>
      <c r="G360" s="71"/>
      <c r="H360" s="71"/>
      <c r="I360" s="71"/>
      <c r="J360" s="73">
        <f t="shared" si="58"/>
        <v>64</v>
      </c>
      <c r="K360" s="73">
        <f t="shared" si="59"/>
        <v>0</v>
      </c>
      <c r="L360" s="105" t="s">
        <v>418</v>
      </c>
    </row>
    <row r="361">
      <c r="A361" s="144" t="s">
        <v>890</v>
      </c>
      <c r="B361" s="8" t="s">
        <v>19</v>
      </c>
      <c r="C361" s="8" t="s">
        <v>12</v>
      </c>
      <c r="D361" s="91">
        <v>44.0</v>
      </c>
      <c r="E361" s="87"/>
      <c r="F361" s="71"/>
      <c r="G361" s="71"/>
      <c r="H361" s="71"/>
      <c r="I361" s="71"/>
      <c r="J361" s="73">
        <f t="shared" si="58"/>
        <v>44</v>
      </c>
      <c r="K361" s="73">
        <f t="shared" si="59"/>
        <v>0</v>
      </c>
      <c r="L361" s="105" t="s">
        <v>891</v>
      </c>
    </row>
    <row r="362">
      <c r="A362" s="144" t="s">
        <v>892</v>
      </c>
      <c r="B362" s="8" t="s">
        <v>8</v>
      </c>
      <c r="C362" s="8" t="s">
        <v>40</v>
      </c>
      <c r="D362" s="91">
        <v>108.0</v>
      </c>
      <c r="E362" s="91">
        <f>69+66+64+55+108</f>
        <v>362</v>
      </c>
      <c r="F362" s="71"/>
      <c r="G362" s="71"/>
      <c r="H362" s="71"/>
      <c r="I362" s="99">
        <v>15.0</v>
      </c>
      <c r="J362" s="73">
        <f t="shared" si="58"/>
        <v>123</v>
      </c>
      <c r="K362" s="73">
        <f t="shared" si="59"/>
        <v>377</v>
      </c>
      <c r="L362" s="105" t="s">
        <v>893</v>
      </c>
    </row>
    <row r="363">
      <c r="A363" s="144" t="s">
        <v>894</v>
      </c>
      <c r="B363" s="8" t="s">
        <v>8</v>
      </c>
      <c r="C363" s="8" t="s">
        <v>40</v>
      </c>
      <c r="D363" s="91">
        <v>110.0</v>
      </c>
      <c r="E363" s="91">
        <v>362.0</v>
      </c>
      <c r="F363" s="71"/>
      <c r="G363" s="71"/>
      <c r="H363" s="99">
        <v>3000.0</v>
      </c>
      <c r="I363" s="99"/>
      <c r="J363" s="73">
        <f t="shared" si="58"/>
        <v>110</v>
      </c>
      <c r="K363" s="73">
        <f t="shared" si="59"/>
        <v>362</v>
      </c>
      <c r="L363" s="145" t="s">
        <v>813</v>
      </c>
    </row>
    <row r="364">
      <c r="A364" s="144" t="s">
        <v>895</v>
      </c>
      <c r="B364" s="8" t="s">
        <v>54</v>
      </c>
      <c r="C364" s="8" t="s">
        <v>40</v>
      </c>
      <c r="D364" s="91">
        <v>103.0</v>
      </c>
      <c r="E364" s="91">
        <v>347.0</v>
      </c>
      <c r="F364" s="71"/>
      <c r="G364" s="71"/>
      <c r="H364" s="71"/>
      <c r="I364" s="99"/>
      <c r="J364" s="73">
        <f t="shared" si="58"/>
        <v>103</v>
      </c>
      <c r="K364" s="73">
        <f t="shared" si="59"/>
        <v>347</v>
      </c>
      <c r="L364" s="105" t="s">
        <v>310</v>
      </c>
    </row>
    <row r="365">
      <c r="A365" s="144" t="s">
        <v>896</v>
      </c>
      <c r="B365" s="8" t="s">
        <v>141</v>
      </c>
      <c r="C365" s="8" t="s">
        <v>40</v>
      </c>
      <c r="D365" s="91">
        <v>67.0</v>
      </c>
      <c r="E365" s="8"/>
      <c r="F365" s="71"/>
      <c r="G365" s="71"/>
      <c r="H365" s="71"/>
      <c r="I365" s="99">
        <v>10.0</v>
      </c>
      <c r="J365" s="73">
        <f t="shared" si="58"/>
        <v>77</v>
      </c>
      <c r="K365" s="73">
        <f t="shared" si="59"/>
        <v>10</v>
      </c>
      <c r="L365" s="105" t="s">
        <v>897</v>
      </c>
    </row>
    <row r="366">
      <c r="A366" s="144" t="s">
        <v>898</v>
      </c>
      <c r="B366" s="8" t="s">
        <v>15</v>
      </c>
      <c r="C366" s="8" t="s">
        <v>40</v>
      </c>
      <c r="D366" s="91">
        <v>71.0</v>
      </c>
      <c r="E366" s="87"/>
      <c r="F366" s="87"/>
      <c r="G366" s="87"/>
      <c r="H366" s="87"/>
      <c r="I366" s="87"/>
      <c r="J366" s="73">
        <f t="shared" si="58"/>
        <v>71</v>
      </c>
      <c r="K366" s="73">
        <f t="shared" si="59"/>
        <v>0</v>
      </c>
      <c r="L366" s="105" t="s">
        <v>84</v>
      </c>
    </row>
    <row r="367">
      <c r="A367" s="52" t="s">
        <v>899</v>
      </c>
      <c r="B367" s="96" t="s">
        <v>19</v>
      </c>
      <c r="C367" s="96" t="s">
        <v>40</v>
      </c>
      <c r="D367" s="94">
        <v>44.0</v>
      </c>
      <c r="E367" s="93"/>
      <c r="F367" s="93"/>
      <c r="G367" s="93"/>
      <c r="H367" s="93"/>
      <c r="I367" s="93"/>
      <c r="J367" s="77">
        <f t="shared" si="58"/>
        <v>44</v>
      </c>
      <c r="K367" s="77">
        <f t="shared" si="59"/>
        <v>0</v>
      </c>
      <c r="L367" s="84" t="s">
        <v>900</v>
      </c>
    </row>
    <row r="370">
      <c r="A370" s="67" t="s">
        <v>578</v>
      </c>
      <c r="B370" s="82"/>
      <c r="C370" s="68" t="s">
        <v>579</v>
      </c>
      <c r="D370" s="68" t="s">
        <v>580</v>
      </c>
      <c r="E370" s="68" t="s">
        <v>581</v>
      </c>
      <c r="F370" s="68" t="s">
        <v>539</v>
      </c>
      <c r="G370" s="68" t="s">
        <v>540</v>
      </c>
      <c r="H370" s="69" t="s">
        <v>541</v>
      </c>
      <c r="I370" s="131"/>
    </row>
    <row r="371">
      <c r="A371" s="126">
        <v>1.0</v>
      </c>
      <c r="B371" s="99" t="s">
        <v>582</v>
      </c>
      <c r="C371" s="87"/>
      <c r="D371" s="99" t="str">
        <f>A350</f>
        <v>Virgo</v>
      </c>
      <c r="E371" s="91">
        <f>K350</f>
        <v>362</v>
      </c>
      <c r="F371" s="91"/>
      <c r="G371" s="87"/>
      <c r="H371" s="127"/>
      <c r="I371" s="132"/>
    </row>
    <row r="372">
      <c r="A372" s="126">
        <v>2.0</v>
      </c>
      <c r="B372" s="8" t="s">
        <v>9</v>
      </c>
      <c r="C372" s="99" t="str">
        <f>A338</f>
        <v>Cairo Declaration</v>
      </c>
      <c r="D372" s="99" t="str">
        <f>A338</f>
        <v>Cairo Declaration</v>
      </c>
      <c r="E372" s="91">
        <f>J338</f>
        <v>118</v>
      </c>
      <c r="F372" s="87"/>
      <c r="G372" s="87"/>
      <c r="H372" s="88"/>
      <c r="I372" s="80"/>
    </row>
    <row r="373">
      <c r="A373" s="126">
        <v>3.0</v>
      </c>
      <c r="B373" s="8" t="str">
        <f>C359</f>
        <v>CIV</v>
      </c>
      <c r="C373" s="8" t="str">
        <f>A359</f>
        <v>Phoenician Tablet</v>
      </c>
      <c r="D373" s="8" t="str">
        <f>A359</f>
        <v>Phoenician Tablet</v>
      </c>
      <c r="E373" s="91">
        <f>J359</f>
        <v>69</v>
      </c>
      <c r="F373" s="87"/>
      <c r="G373" s="87"/>
      <c r="H373" s="88"/>
      <c r="I373" s="80"/>
      <c r="J373" s="80"/>
      <c r="K373" s="80"/>
      <c r="L373" s="80"/>
    </row>
    <row r="374">
      <c r="A374" s="126">
        <v>4.0</v>
      </c>
      <c r="B374" s="8" t="str">
        <f>C356</f>
        <v>FTH</v>
      </c>
      <c r="C374" s="8" t="str">
        <f>A356</f>
        <v>Dendera Tablet</v>
      </c>
      <c r="D374" s="8" t="str">
        <f>A356</f>
        <v>Dendera Tablet</v>
      </c>
      <c r="E374" s="91">
        <f>J356</f>
        <v>48</v>
      </c>
      <c r="F374" s="87"/>
      <c r="G374" s="87"/>
      <c r="H374" s="88"/>
      <c r="I374" s="80"/>
      <c r="J374" s="80"/>
      <c r="K374" s="80"/>
      <c r="L374" s="80"/>
    </row>
    <row r="375">
      <c r="A375" s="126">
        <v>5.0</v>
      </c>
      <c r="B375" s="8" t="s">
        <v>9</v>
      </c>
      <c r="C375" s="87"/>
      <c r="D375" s="8" t="str">
        <f>A337</f>
        <v>Red Algae Fossil</v>
      </c>
      <c r="E375" s="91">
        <f>J337</f>
        <v>123</v>
      </c>
      <c r="F375" s="87"/>
      <c r="G375" s="87"/>
      <c r="H375" s="88"/>
      <c r="I375" s="80"/>
      <c r="J375" s="80"/>
      <c r="K375" s="80"/>
      <c r="L375" s="80"/>
    </row>
    <row r="376">
      <c r="A376" s="126">
        <v>6.0</v>
      </c>
      <c r="B376" s="8" t="s">
        <v>9</v>
      </c>
      <c r="C376" s="87"/>
      <c r="D376" s="8" t="s">
        <v>589</v>
      </c>
      <c r="E376" s="91">
        <v>100.0</v>
      </c>
      <c r="F376" s="87"/>
      <c r="G376" s="87"/>
      <c r="H376" s="88"/>
      <c r="I376" s="80"/>
      <c r="J376" s="80"/>
      <c r="K376" s="80"/>
      <c r="L376" s="80"/>
    </row>
    <row r="377">
      <c r="A377" s="126">
        <v>7.0</v>
      </c>
      <c r="B377" s="8" t="s">
        <v>16</v>
      </c>
      <c r="C377" s="87"/>
      <c r="D377" s="139" t="str">
        <f t="shared" ref="D377:D378" si="60">A342</f>
        <v>St. Louisa Goblet</v>
      </c>
      <c r="E377" s="140">
        <f t="shared" ref="E377:E378" si="61">J342</f>
        <v>109</v>
      </c>
      <c r="F377" s="8">
        <f>F342</f>
        <v>30</v>
      </c>
      <c r="G377" s="87"/>
      <c r="H377" s="88"/>
      <c r="I377" s="80"/>
      <c r="J377" s="104"/>
      <c r="K377" s="104"/>
      <c r="L377" s="104"/>
    </row>
    <row r="378">
      <c r="A378" s="126">
        <v>8.0</v>
      </c>
      <c r="B378" s="8" t="s">
        <v>16</v>
      </c>
      <c r="C378" s="87"/>
      <c r="D378" s="8" t="str">
        <f t="shared" si="60"/>
        <v>Agamemnon Mask</v>
      </c>
      <c r="E378" s="91">
        <f t="shared" si="61"/>
        <v>105</v>
      </c>
      <c r="F378" s="87"/>
      <c r="G378" s="87"/>
      <c r="H378" s="88"/>
      <c r="I378" s="80"/>
      <c r="J378" s="80"/>
      <c r="K378" s="80"/>
      <c r="L378" s="80"/>
    </row>
    <row r="379">
      <c r="A379" s="126">
        <v>9.0</v>
      </c>
      <c r="B379" s="8" t="s">
        <v>16</v>
      </c>
      <c r="C379" s="87"/>
      <c r="D379" s="8" t="s">
        <v>589</v>
      </c>
      <c r="E379" s="91">
        <v>100.0</v>
      </c>
      <c r="F379" s="87"/>
      <c r="G379" s="87"/>
      <c r="H379" s="88"/>
      <c r="I379" s="80"/>
      <c r="J379" s="80"/>
      <c r="K379" s="80"/>
      <c r="L379" s="80"/>
    </row>
    <row r="380">
      <c r="A380" s="126">
        <v>10.0</v>
      </c>
      <c r="B380" s="8" t="s">
        <v>20</v>
      </c>
      <c r="C380" s="87"/>
      <c r="D380" s="99" t="str">
        <f t="shared" ref="D380:D381" si="62">A348</f>
        <v>Emerald Tablet</v>
      </c>
      <c r="E380" s="91">
        <f t="shared" ref="E380:E381" si="63">J348</f>
        <v>124</v>
      </c>
      <c r="F380" s="87"/>
      <c r="G380" s="87"/>
      <c r="H380" s="88"/>
      <c r="I380" s="80"/>
      <c r="J380" s="80"/>
      <c r="K380" s="80"/>
      <c r="L380" s="80"/>
    </row>
    <row r="381">
      <c r="A381" s="126">
        <v>11.0</v>
      </c>
      <c r="B381" s="99" t="s">
        <v>20</v>
      </c>
      <c r="C381" s="87"/>
      <c r="D381" s="99" t="str">
        <f t="shared" si="62"/>
        <v>The Black Book</v>
      </c>
      <c r="E381" s="91">
        <f t="shared" si="63"/>
        <v>123</v>
      </c>
      <c r="F381" s="87"/>
      <c r="G381" s="87"/>
      <c r="H381" s="88"/>
      <c r="I381" s="80"/>
      <c r="J381" s="80"/>
      <c r="K381" s="80"/>
      <c r="L381" s="80"/>
    </row>
    <row r="382">
      <c r="A382" s="126">
        <v>12.0</v>
      </c>
      <c r="B382" s="8" t="s">
        <v>20</v>
      </c>
      <c r="C382" s="87"/>
      <c r="D382" s="99" t="str">
        <f>A351</f>
        <v>Mummy of Ramesses</v>
      </c>
      <c r="E382" s="91">
        <f>J351</f>
        <v>104</v>
      </c>
      <c r="F382" s="91"/>
      <c r="G382" s="87"/>
      <c r="H382" s="88"/>
      <c r="I382" s="80"/>
      <c r="J382" s="104"/>
      <c r="K382" s="104"/>
      <c r="L382" s="104"/>
    </row>
    <row r="383">
      <c r="A383" s="126">
        <v>13.0</v>
      </c>
      <c r="B383" s="8" t="s">
        <v>12</v>
      </c>
      <c r="C383" s="87"/>
      <c r="D383" s="99" t="str">
        <f t="shared" ref="D383:D384" si="64">A357</f>
        <v>Turin Papyrus</v>
      </c>
      <c r="E383" s="91">
        <f t="shared" ref="E383:E384" si="65">J357</f>
        <v>124</v>
      </c>
      <c r="F383" s="91"/>
      <c r="G383" s="87"/>
      <c r="H383" s="88"/>
      <c r="I383" s="80"/>
      <c r="J383" s="80"/>
      <c r="K383" s="80"/>
      <c r="L383" s="80"/>
    </row>
    <row r="384">
      <c r="A384" s="126">
        <v>14.0</v>
      </c>
      <c r="B384" s="99" t="s">
        <v>12</v>
      </c>
      <c r="C384" s="87"/>
      <c r="D384" s="99" t="str">
        <f t="shared" si="64"/>
        <v>Gutenberg's Press</v>
      </c>
      <c r="E384" s="91">
        <f t="shared" si="65"/>
        <v>122</v>
      </c>
      <c r="F384" s="87"/>
      <c r="G384" s="87"/>
      <c r="H384" s="88">
        <f>H358</f>
        <v>3000</v>
      </c>
      <c r="I384" s="80"/>
      <c r="J384" s="104"/>
      <c r="K384" s="104"/>
      <c r="L384" s="104"/>
    </row>
    <row r="385">
      <c r="A385" s="126">
        <v>15.0</v>
      </c>
      <c r="B385" s="99" t="s">
        <v>40</v>
      </c>
      <c r="C385" s="87"/>
      <c r="D385" s="143" t="str">
        <f t="shared" ref="D385:D386" si="66">A362</f>
        <v>AH602</v>
      </c>
      <c r="E385" s="91">
        <f>J362</f>
        <v>123</v>
      </c>
      <c r="F385" s="87"/>
      <c r="G385" s="87"/>
      <c r="H385" s="88"/>
      <c r="I385" s="80"/>
      <c r="J385" s="104"/>
      <c r="K385" s="104"/>
      <c r="L385" s="104"/>
    </row>
    <row r="386">
      <c r="A386" s="126">
        <v>16.0</v>
      </c>
      <c r="B386" s="8" t="s">
        <v>40</v>
      </c>
      <c r="C386" s="87"/>
      <c r="D386" s="99" t="str">
        <f t="shared" si="66"/>
        <v>Kola Drilling Rig</v>
      </c>
      <c r="E386" s="91">
        <f>D363</f>
        <v>110</v>
      </c>
      <c r="F386" s="87"/>
      <c r="G386" s="87"/>
      <c r="H386" s="88">
        <f>H363</f>
        <v>3000</v>
      </c>
      <c r="I386" s="136"/>
      <c r="J386" s="146" t="s">
        <v>901</v>
      </c>
      <c r="K386" s="104"/>
      <c r="L386" s="104"/>
    </row>
    <row r="387">
      <c r="A387" s="128"/>
      <c r="B387" s="142"/>
      <c r="C387" s="93"/>
      <c r="D387" s="125" t="s">
        <v>595</v>
      </c>
      <c r="E387" s="94">
        <f t="shared" ref="E387:H387" si="67">SUM(E371:E386)</f>
        <v>1964</v>
      </c>
      <c r="F387" s="94">
        <f t="shared" si="67"/>
        <v>30</v>
      </c>
      <c r="G387" s="94">
        <f t="shared" si="67"/>
        <v>0</v>
      </c>
      <c r="H387" s="115">
        <f t="shared" si="67"/>
        <v>6000</v>
      </c>
      <c r="I387" s="132"/>
      <c r="J387" s="104"/>
      <c r="K387" s="104"/>
      <c r="L387" s="104"/>
    </row>
    <row r="392">
      <c r="A392" s="123"/>
      <c r="B392" s="89"/>
      <c r="C392" s="89"/>
      <c r="D392" s="68" t="s">
        <v>537</v>
      </c>
      <c r="E392" s="68" t="s">
        <v>538</v>
      </c>
      <c r="F392" s="68" t="s">
        <v>539</v>
      </c>
      <c r="G392" s="68" t="s">
        <v>540</v>
      </c>
      <c r="H392" s="68" t="s">
        <v>541</v>
      </c>
      <c r="I392" s="68" t="s">
        <v>542</v>
      </c>
      <c r="J392" s="68" t="s">
        <v>543</v>
      </c>
      <c r="K392" s="68" t="s">
        <v>544</v>
      </c>
      <c r="L392" s="90"/>
    </row>
    <row r="393">
      <c r="A393" s="147" t="s">
        <v>902</v>
      </c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8"/>
    </row>
    <row r="394">
      <c r="A394" s="144" t="s">
        <v>6</v>
      </c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8"/>
    </row>
    <row r="395">
      <c r="A395" s="144" t="s">
        <v>903</v>
      </c>
      <c r="B395" s="8" t="s">
        <v>8</v>
      </c>
      <c r="C395" s="8" t="s">
        <v>9</v>
      </c>
      <c r="D395" s="91">
        <v>106.0</v>
      </c>
      <c r="E395" s="91">
        <v>362.0</v>
      </c>
      <c r="F395" s="87"/>
      <c r="G395" s="87"/>
      <c r="H395" s="87"/>
      <c r="I395" s="91"/>
      <c r="J395" s="91">
        <f t="shared" ref="J395:J425" si="68">D395+I395</f>
        <v>106</v>
      </c>
      <c r="K395" s="91">
        <f t="shared" ref="K395:K396" si="69">E395+I395</f>
        <v>362</v>
      </c>
      <c r="L395" s="92" t="s">
        <v>154</v>
      </c>
    </row>
    <row r="396">
      <c r="A396" s="144" t="s">
        <v>904</v>
      </c>
      <c r="B396" s="8" t="s">
        <v>8</v>
      </c>
      <c r="C396" s="8" t="s">
        <v>9</v>
      </c>
      <c r="D396" s="91">
        <v>106.0</v>
      </c>
      <c r="E396" s="91">
        <v>362.0</v>
      </c>
      <c r="F396" s="87"/>
      <c r="G396" s="87"/>
      <c r="H396" s="87"/>
      <c r="I396" s="91"/>
      <c r="J396" s="91">
        <f t="shared" si="68"/>
        <v>106</v>
      </c>
      <c r="K396" s="91">
        <f t="shared" si="69"/>
        <v>362</v>
      </c>
      <c r="L396" s="92" t="s">
        <v>154</v>
      </c>
    </row>
    <row r="397">
      <c r="A397" s="144" t="s">
        <v>905</v>
      </c>
      <c r="B397" s="8" t="s">
        <v>15</v>
      </c>
      <c r="C397" s="8" t="s">
        <v>9</v>
      </c>
      <c r="D397" s="91">
        <v>72.0</v>
      </c>
      <c r="E397" s="91"/>
      <c r="F397" s="87"/>
      <c r="G397" s="87"/>
      <c r="H397" s="87"/>
      <c r="I397" s="87"/>
      <c r="J397" s="91">
        <f t="shared" si="68"/>
        <v>72</v>
      </c>
      <c r="K397" s="91"/>
      <c r="L397" s="92" t="s">
        <v>266</v>
      </c>
    </row>
    <row r="398">
      <c r="A398" s="144" t="s">
        <v>906</v>
      </c>
      <c r="B398" s="8" t="s">
        <v>19</v>
      </c>
      <c r="C398" s="8" t="s">
        <v>9</v>
      </c>
      <c r="D398" s="91">
        <v>44.0</v>
      </c>
      <c r="E398" s="91"/>
      <c r="F398" s="87"/>
      <c r="G398" s="87"/>
      <c r="H398" s="87"/>
      <c r="I398" s="87"/>
      <c r="J398" s="91">
        <f t="shared" si="68"/>
        <v>44</v>
      </c>
      <c r="K398" s="91"/>
      <c r="L398" s="92" t="s">
        <v>45</v>
      </c>
    </row>
    <row r="399">
      <c r="A399" s="144" t="s">
        <v>907</v>
      </c>
      <c r="B399" s="8" t="s">
        <v>8</v>
      </c>
      <c r="C399" s="8" t="s">
        <v>16</v>
      </c>
      <c r="D399" s="91">
        <v>108.0</v>
      </c>
      <c r="E399" s="8">
        <v>362.0</v>
      </c>
      <c r="F399" s="8"/>
      <c r="G399" s="87"/>
      <c r="H399" s="87"/>
      <c r="I399" s="8">
        <v>15.0</v>
      </c>
      <c r="J399" s="91">
        <f t="shared" si="68"/>
        <v>123</v>
      </c>
      <c r="K399" s="91">
        <f t="shared" ref="K399:K404" si="70">E399+I399</f>
        <v>377</v>
      </c>
      <c r="L399" s="92" t="s">
        <v>908</v>
      </c>
    </row>
    <row r="400">
      <c r="A400" s="144" t="s">
        <v>909</v>
      </c>
      <c r="B400" s="8" t="s">
        <v>8</v>
      </c>
      <c r="C400" s="8" t="s">
        <v>16</v>
      </c>
      <c r="D400" s="91">
        <v>108.0</v>
      </c>
      <c r="E400" s="8">
        <v>362.0</v>
      </c>
      <c r="F400" s="8"/>
      <c r="G400" s="87"/>
      <c r="H400" s="87"/>
      <c r="I400" s="8">
        <v>15.0</v>
      </c>
      <c r="J400" s="91">
        <f t="shared" si="68"/>
        <v>123</v>
      </c>
      <c r="K400" s="91">
        <f t="shared" si="70"/>
        <v>377</v>
      </c>
      <c r="L400" s="92" t="s">
        <v>910</v>
      </c>
    </row>
    <row r="401">
      <c r="A401" s="144" t="s">
        <v>911</v>
      </c>
      <c r="B401" s="8" t="s">
        <v>54</v>
      </c>
      <c r="C401" s="8" t="s">
        <v>16</v>
      </c>
      <c r="D401" s="91">
        <v>103.0</v>
      </c>
      <c r="E401" s="8">
        <f>56+103+55+68+65</f>
        <v>347</v>
      </c>
      <c r="F401" s="87"/>
      <c r="G401" s="87"/>
      <c r="H401" s="87"/>
      <c r="I401" s="8">
        <v>15.0</v>
      </c>
      <c r="J401" s="91">
        <f t="shared" si="68"/>
        <v>118</v>
      </c>
      <c r="K401" s="91">
        <f t="shared" si="70"/>
        <v>362</v>
      </c>
      <c r="L401" s="92" t="s">
        <v>912</v>
      </c>
    </row>
    <row r="402">
      <c r="A402" s="144" t="s">
        <v>913</v>
      </c>
      <c r="B402" s="8" t="s">
        <v>8</v>
      </c>
      <c r="C402" s="8" t="s">
        <v>16</v>
      </c>
      <c r="D402" s="91">
        <v>108.0</v>
      </c>
      <c r="E402" s="8">
        <v>362.0</v>
      </c>
      <c r="F402" s="8"/>
      <c r="G402" s="87"/>
      <c r="H402" s="87"/>
      <c r="I402" s="8"/>
      <c r="J402" s="91">
        <f t="shared" si="68"/>
        <v>108</v>
      </c>
      <c r="K402" s="91">
        <f t="shared" si="70"/>
        <v>362</v>
      </c>
      <c r="L402" s="92" t="s">
        <v>568</v>
      </c>
    </row>
    <row r="403">
      <c r="A403" s="144" t="s">
        <v>914</v>
      </c>
      <c r="B403" s="8" t="s">
        <v>54</v>
      </c>
      <c r="C403" s="8" t="s">
        <v>16</v>
      </c>
      <c r="D403" s="91">
        <v>104.0</v>
      </c>
      <c r="E403" s="8">
        <v>347.0</v>
      </c>
      <c r="F403" s="87"/>
      <c r="G403" s="87"/>
      <c r="H403" s="87"/>
      <c r="I403" s="87"/>
      <c r="J403" s="91">
        <f t="shared" si="68"/>
        <v>104</v>
      </c>
      <c r="K403" s="91">
        <f t="shared" si="70"/>
        <v>347</v>
      </c>
      <c r="L403" s="92" t="s">
        <v>915</v>
      </c>
    </row>
    <row r="404">
      <c r="A404" s="144" t="s">
        <v>916</v>
      </c>
      <c r="B404" s="8" t="s">
        <v>54</v>
      </c>
      <c r="C404" s="8" t="s">
        <v>16</v>
      </c>
      <c r="D404" s="91">
        <v>102.0</v>
      </c>
      <c r="E404" s="8">
        <v>347.0</v>
      </c>
      <c r="F404" s="87"/>
      <c r="G404" s="87"/>
      <c r="H404" s="87"/>
      <c r="I404" s="87"/>
      <c r="J404" s="91">
        <f t="shared" si="68"/>
        <v>102</v>
      </c>
      <c r="K404" s="91">
        <f t="shared" si="70"/>
        <v>347</v>
      </c>
      <c r="L404" s="92" t="s">
        <v>917</v>
      </c>
    </row>
    <row r="405">
      <c r="A405" s="144" t="s">
        <v>918</v>
      </c>
      <c r="B405" s="8" t="s">
        <v>15</v>
      </c>
      <c r="C405" s="8" t="s">
        <v>16</v>
      </c>
      <c r="D405" s="91">
        <v>75.0</v>
      </c>
      <c r="E405" s="8"/>
      <c r="F405" s="87"/>
      <c r="G405" s="87"/>
      <c r="H405" s="87"/>
      <c r="I405" s="87"/>
      <c r="J405" s="91">
        <f t="shared" si="68"/>
        <v>75</v>
      </c>
      <c r="K405" s="91"/>
      <c r="L405" s="92" t="s">
        <v>266</v>
      </c>
    </row>
    <row r="406">
      <c r="A406" s="144" t="s">
        <v>919</v>
      </c>
      <c r="B406" s="8" t="s">
        <v>19</v>
      </c>
      <c r="C406" s="8" t="s">
        <v>16</v>
      </c>
      <c r="D406" s="91">
        <v>48.0</v>
      </c>
      <c r="E406" s="87"/>
      <c r="F406" s="87"/>
      <c r="G406" s="87"/>
      <c r="H406" s="87"/>
      <c r="I406" s="87"/>
      <c r="J406" s="91">
        <f t="shared" si="68"/>
        <v>48</v>
      </c>
      <c r="K406" s="91"/>
      <c r="L406" s="92" t="s">
        <v>920</v>
      </c>
    </row>
    <row r="407">
      <c r="A407" s="144" t="s">
        <v>921</v>
      </c>
      <c r="B407" s="8" t="s">
        <v>19</v>
      </c>
      <c r="C407" s="8" t="s">
        <v>16</v>
      </c>
      <c r="D407" s="91">
        <v>46.0</v>
      </c>
      <c r="E407" s="87"/>
      <c r="F407" s="87"/>
      <c r="G407" s="87"/>
      <c r="H407" s="87"/>
      <c r="I407" s="87"/>
      <c r="J407" s="91">
        <f t="shared" si="68"/>
        <v>46</v>
      </c>
      <c r="K407" s="91"/>
      <c r="L407" s="92" t="s">
        <v>922</v>
      </c>
    </row>
    <row r="408">
      <c r="A408" s="144" t="s">
        <v>923</v>
      </c>
      <c r="B408" s="8" t="s">
        <v>8</v>
      </c>
      <c r="C408" s="8" t="s">
        <v>20</v>
      </c>
      <c r="D408" s="91">
        <v>109.0</v>
      </c>
      <c r="E408" s="91">
        <v>362.0</v>
      </c>
      <c r="F408" s="8"/>
      <c r="G408" s="87"/>
      <c r="H408" s="87"/>
      <c r="I408" s="8">
        <v>15.0</v>
      </c>
      <c r="J408" s="91">
        <f t="shared" si="68"/>
        <v>124</v>
      </c>
      <c r="K408" s="91">
        <f t="shared" ref="K408:K412" si="71">E408+I408</f>
        <v>377</v>
      </c>
      <c r="L408" s="92" t="s">
        <v>924</v>
      </c>
    </row>
    <row r="409">
      <c r="A409" s="144" t="s">
        <v>925</v>
      </c>
      <c r="B409" s="8" t="s">
        <v>8</v>
      </c>
      <c r="C409" s="8" t="s">
        <v>20</v>
      </c>
      <c r="D409" s="91">
        <v>107.0</v>
      </c>
      <c r="E409" s="91">
        <v>362.0</v>
      </c>
      <c r="F409" s="8"/>
      <c r="G409" s="87"/>
      <c r="H409" s="87"/>
      <c r="I409" s="8">
        <v>15.0</v>
      </c>
      <c r="J409" s="91">
        <f t="shared" si="68"/>
        <v>122</v>
      </c>
      <c r="K409" s="91">
        <f t="shared" si="71"/>
        <v>377</v>
      </c>
      <c r="L409" s="137" t="s">
        <v>926</v>
      </c>
    </row>
    <row r="410">
      <c r="A410" s="144" t="s">
        <v>927</v>
      </c>
      <c r="B410" s="8" t="s">
        <v>8</v>
      </c>
      <c r="C410" s="8" t="s">
        <v>20</v>
      </c>
      <c r="D410" s="91">
        <v>109.0</v>
      </c>
      <c r="E410" s="8">
        <v>362.0</v>
      </c>
      <c r="F410" s="87"/>
      <c r="G410" s="87"/>
      <c r="H410" s="87"/>
      <c r="I410" s="87"/>
      <c r="J410" s="91">
        <f t="shared" si="68"/>
        <v>109</v>
      </c>
      <c r="K410" s="91">
        <f t="shared" si="71"/>
        <v>362</v>
      </c>
      <c r="L410" s="137" t="s">
        <v>63</v>
      </c>
    </row>
    <row r="411">
      <c r="A411" s="144" t="s">
        <v>928</v>
      </c>
      <c r="B411" s="8" t="s">
        <v>54</v>
      </c>
      <c r="C411" s="8" t="s">
        <v>20</v>
      </c>
      <c r="D411" s="91">
        <v>103.0</v>
      </c>
      <c r="E411" s="91">
        <v>347.0</v>
      </c>
      <c r="F411" s="87"/>
      <c r="G411" s="87"/>
      <c r="H411" s="87"/>
      <c r="I411" s="87"/>
      <c r="J411" s="91">
        <f t="shared" si="68"/>
        <v>103</v>
      </c>
      <c r="K411" s="91">
        <f t="shared" si="71"/>
        <v>347</v>
      </c>
      <c r="L411" s="137" t="s">
        <v>929</v>
      </c>
    </row>
    <row r="412">
      <c r="A412" s="144" t="s">
        <v>930</v>
      </c>
      <c r="B412" s="8" t="s">
        <v>96</v>
      </c>
      <c r="C412" s="8" t="s">
        <v>20</v>
      </c>
      <c r="D412" s="91">
        <v>97.0</v>
      </c>
      <c r="E412" s="8">
        <f>57+67+97+49+62</f>
        <v>332</v>
      </c>
      <c r="F412" s="87"/>
      <c r="G412" s="87"/>
      <c r="H412" s="87"/>
      <c r="I412" s="8"/>
      <c r="J412" s="91">
        <f t="shared" si="68"/>
        <v>97</v>
      </c>
      <c r="K412" s="91">
        <f t="shared" si="71"/>
        <v>332</v>
      </c>
      <c r="L412" s="137" t="s">
        <v>931</v>
      </c>
    </row>
    <row r="413">
      <c r="A413" s="144" t="s">
        <v>932</v>
      </c>
      <c r="B413" s="8" t="s">
        <v>15</v>
      </c>
      <c r="C413" s="8" t="s">
        <v>20</v>
      </c>
      <c r="D413" s="91">
        <v>73.0</v>
      </c>
      <c r="E413" s="87"/>
      <c r="F413" s="87"/>
      <c r="G413" s="87"/>
      <c r="H413" s="87"/>
      <c r="I413" s="8">
        <v>10.0</v>
      </c>
      <c r="J413" s="91">
        <f t="shared" si="68"/>
        <v>83</v>
      </c>
      <c r="K413" s="91"/>
      <c r="L413" s="137" t="s">
        <v>338</v>
      </c>
    </row>
    <row r="414">
      <c r="A414" s="144" t="s">
        <v>933</v>
      </c>
      <c r="B414" s="8" t="s">
        <v>141</v>
      </c>
      <c r="C414" s="8" t="s">
        <v>20</v>
      </c>
      <c r="D414" s="91">
        <v>70.0</v>
      </c>
      <c r="E414" s="87"/>
      <c r="F414" s="87"/>
      <c r="G414" s="87"/>
      <c r="H414" s="87"/>
      <c r="I414" s="8">
        <v>10.0</v>
      </c>
      <c r="J414" s="91">
        <f t="shared" si="68"/>
        <v>80</v>
      </c>
      <c r="K414" s="91"/>
      <c r="L414" s="137" t="s">
        <v>355</v>
      </c>
    </row>
    <row r="415">
      <c r="A415" s="144" t="s">
        <v>934</v>
      </c>
      <c r="B415" s="8" t="s">
        <v>417</v>
      </c>
      <c r="C415" s="8" t="s">
        <v>20</v>
      </c>
      <c r="D415" s="91">
        <v>65.0</v>
      </c>
      <c r="E415" s="87"/>
      <c r="F415" s="87"/>
      <c r="G415" s="87"/>
      <c r="H415" s="87"/>
      <c r="I415" s="8"/>
      <c r="J415" s="91">
        <f t="shared" si="68"/>
        <v>65</v>
      </c>
      <c r="K415" s="91"/>
      <c r="L415" s="137" t="s">
        <v>551</v>
      </c>
    </row>
    <row r="416">
      <c r="A416" s="144" t="s">
        <v>935</v>
      </c>
      <c r="B416" s="8" t="s">
        <v>19</v>
      </c>
      <c r="C416" s="8" t="s">
        <v>20</v>
      </c>
      <c r="D416" s="91">
        <v>48.0</v>
      </c>
      <c r="E416" s="87"/>
      <c r="F416" s="87"/>
      <c r="G416" s="87"/>
      <c r="H416" s="87"/>
      <c r="I416" s="8"/>
      <c r="J416" s="91">
        <f t="shared" si="68"/>
        <v>48</v>
      </c>
      <c r="K416" s="91"/>
      <c r="L416" s="137" t="s">
        <v>688</v>
      </c>
    </row>
    <row r="417">
      <c r="A417" s="144" t="s">
        <v>936</v>
      </c>
      <c r="B417" s="8" t="s">
        <v>19</v>
      </c>
      <c r="C417" s="8" t="s">
        <v>20</v>
      </c>
      <c r="D417" s="91">
        <v>48.0</v>
      </c>
      <c r="E417" s="87"/>
      <c r="F417" s="87"/>
      <c r="G417" s="87"/>
      <c r="H417" s="87"/>
      <c r="I417" s="8"/>
      <c r="J417" s="91">
        <f t="shared" si="68"/>
        <v>48</v>
      </c>
      <c r="K417" s="91"/>
      <c r="L417" s="137" t="s">
        <v>408</v>
      </c>
    </row>
    <row r="418">
      <c r="A418" s="144" t="s">
        <v>937</v>
      </c>
      <c r="B418" s="8" t="s">
        <v>19</v>
      </c>
      <c r="C418" s="8" t="s">
        <v>20</v>
      </c>
      <c r="D418" s="91">
        <v>47.0</v>
      </c>
      <c r="E418" s="91"/>
      <c r="F418" s="91"/>
      <c r="G418" s="87"/>
      <c r="H418" s="8"/>
      <c r="I418" s="8"/>
      <c r="J418" s="91">
        <f t="shared" si="68"/>
        <v>47</v>
      </c>
      <c r="K418" s="91"/>
      <c r="L418" s="137" t="s">
        <v>49</v>
      </c>
    </row>
    <row r="419">
      <c r="A419" s="144" t="s">
        <v>938</v>
      </c>
      <c r="B419" s="8" t="s">
        <v>8</v>
      </c>
      <c r="C419" s="8" t="s">
        <v>12</v>
      </c>
      <c r="D419" s="91">
        <v>107.0</v>
      </c>
      <c r="E419" s="91">
        <f>76+60+70+107+49</f>
        <v>362</v>
      </c>
      <c r="F419" s="91"/>
      <c r="G419" s="87"/>
      <c r="H419" s="8"/>
      <c r="I419" s="8">
        <v>15.0</v>
      </c>
      <c r="J419" s="91">
        <f t="shared" si="68"/>
        <v>122</v>
      </c>
      <c r="K419" s="91">
        <f t="shared" ref="K419:K422" si="72">E419+I419</f>
        <v>377</v>
      </c>
      <c r="L419" s="137" t="s">
        <v>670</v>
      </c>
    </row>
    <row r="420">
      <c r="A420" s="144" t="s">
        <v>939</v>
      </c>
      <c r="B420" s="8" t="s">
        <v>8</v>
      </c>
      <c r="C420" s="8" t="s">
        <v>12</v>
      </c>
      <c r="D420" s="91">
        <v>108.0</v>
      </c>
      <c r="E420" s="91">
        <f>68+60+68+108+58</f>
        <v>362</v>
      </c>
      <c r="F420" s="91">
        <v>30.0</v>
      </c>
      <c r="G420" s="87"/>
      <c r="H420" s="91"/>
      <c r="I420" s="91"/>
      <c r="J420" s="91">
        <f t="shared" si="68"/>
        <v>108</v>
      </c>
      <c r="K420" s="91">
        <f t="shared" si="72"/>
        <v>362</v>
      </c>
      <c r="L420" s="137" t="s">
        <v>940</v>
      </c>
    </row>
    <row r="421">
      <c r="A421" s="144" t="s">
        <v>941</v>
      </c>
      <c r="B421" s="8" t="s">
        <v>8</v>
      </c>
      <c r="C421" s="8" t="s">
        <v>40</v>
      </c>
      <c r="D421" s="91">
        <v>109.0</v>
      </c>
      <c r="E421" s="91">
        <v>362.0</v>
      </c>
      <c r="F421" s="87"/>
      <c r="G421" s="87"/>
      <c r="H421" s="87"/>
      <c r="I421" s="8">
        <v>15.0</v>
      </c>
      <c r="J421" s="91">
        <f t="shared" si="68"/>
        <v>124</v>
      </c>
      <c r="K421" s="91">
        <f t="shared" si="72"/>
        <v>377</v>
      </c>
      <c r="L421" s="137" t="s">
        <v>942</v>
      </c>
    </row>
    <row r="422">
      <c r="A422" s="144" t="s">
        <v>943</v>
      </c>
      <c r="B422" s="8" t="s">
        <v>8</v>
      </c>
      <c r="C422" s="8" t="s">
        <v>40</v>
      </c>
      <c r="D422" s="91">
        <v>110.0</v>
      </c>
      <c r="E422" s="91">
        <v>362.0</v>
      </c>
      <c r="F422" s="87"/>
      <c r="G422" s="87"/>
      <c r="H422" s="87"/>
      <c r="I422" s="8"/>
      <c r="J422" s="91">
        <f t="shared" si="68"/>
        <v>110</v>
      </c>
      <c r="K422" s="91">
        <f t="shared" si="72"/>
        <v>362</v>
      </c>
      <c r="L422" s="92" t="s">
        <v>798</v>
      </c>
    </row>
    <row r="423">
      <c r="A423" s="144" t="s">
        <v>944</v>
      </c>
      <c r="B423" s="8" t="s">
        <v>15</v>
      </c>
      <c r="C423" s="8" t="s">
        <v>40</v>
      </c>
      <c r="D423" s="91">
        <v>75.0</v>
      </c>
      <c r="E423" s="87"/>
      <c r="F423" s="87"/>
      <c r="G423" s="87"/>
      <c r="H423" s="87"/>
      <c r="I423" s="8">
        <v>10.0</v>
      </c>
      <c r="J423" s="91">
        <f t="shared" si="68"/>
        <v>85</v>
      </c>
      <c r="K423" s="91"/>
      <c r="L423" s="92" t="s">
        <v>266</v>
      </c>
    </row>
    <row r="424">
      <c r="A424" s="144" t="s">
        <v>945</v>
      </c>
      <c r="B424" s="8" t="s">
        <v>19</v>
      </c>
      <c r="C424" s="8" t="s">
        <v>40</v>
      </c>
      <c r="D424" s="91">
        <v>45.0</v>
      </c>
      <c r="E424" s="87"/>
      <c r="F424" s="87"/>
      <c r="G424" s="87"/>
      <c r="H424" s="87"/>
      <c r="I424" s="87"/>
      <c r="J424" s="91">
        <f t="shared" si="68"/>
        <v>45</v>
      </c>
      <c r="K424" s="91"/>
      <c r="L424" s="92" t="s">
        <v>470</v>
      </c>
    </row>
    <row r="425">
      <c r="A425" s="52" t="s">
        <v>946</v>
      </c>
      <c r="B425" s="96" t="s">
        <v>19</v>
      </c>
      <c r="C425" s="96" t="s">
        <v>40</v>
      </c>
      <c r="D425" s="94">
        <v>44.0</v>
      </c>
      <c r="E425" s="93"/>
      <c r="F425" s="93"/>
      <c r="G425" s="93"/>
      <c r="H425" s="93"/>
      <c r="I425" s="93"/>
      <c r="J425" s="94">
        <f t="shared" si="68"/>
        <v>44</v>
      </c>
      <c r="K425" s="94"/>
      <c r="L425" s="95" t="s">
        <v>947</v>
      </c>
    </row>
    <row r="430">
      <c r="A430" s="148" t="s">
        <v>578</v>
      </c>
      <c r="B430" s="89"/>
      <c r="C430" s="124" t="s">
        <v>579</v>
      </c>
      <c r="D430" s="124" t="s">
        <v>580</v>
      </c>
      <c r="E430" s="124" t="s">
        <v>581</v>
      </c>
      <c r="F430" s="124" t="s">
        <v>539</v>
      </c>
      <c r="G430" s="124" t="s">
        <v>540</v>
      </c>
      <c r="H430" s="129" t="s">
        <v>541</v>
      </c>
      <c r="I430" s="131"/>
    </row>
    <row r="431">
      <c r="A431" s="126">
        <v>1.0</v>
      </c>
      <c r="B431" s="8" t="s">
        <v>582</v>
      </c>
      <c r="C431" s="87"/>
      <c r="D431" s="8" t="str">
        <f t="shared" ref="D431:D432" si="73">A402</f>
        <v>Lyre of Hermes</v>
      </c>
      <c r="E431" s="91">
        <f>K402</f>
        <v>362</v>
      </c>
      <c r="F431" s="91"/>
      <c r="G431" s="87"/>
      <c r="H431" s="127"/>
      <c r="I431" s="132"/>
    </row>
    <row r="432">
      <c r="A432" s="126">
        <v>2.0</v>
      </c>
      <c r="B432" s="8" t="s">
        <v>16</v>
      </c>
      <c r="C432" s="8" t="str">
        <f>A403</f>
        <v>The School of Athens</v>
      </c>
      <c r="D432" s="133" t="str">
        <f t="shared" si="73"/>
        <v>The School of Athens</v>
      </c>
      <c r="E432" s="134">
        <f>J403</f>
        <v>104</v>
      </c>
      <c r="F432" s="8" t="str">
        <f>F402</f>
        <v/>
      </c>
      <c r="G432" s="87"/>
      <c r="H432" s="88"/>
      <c r="I432" s="80"/>
    </row>
    <row r="433">
      <c r="A433" s="126">
        <v>3.0</v>
      </c>
      <c r="B433" s="8" t="s">
        <v>20</v>
      </c>
      <c r="C433" s="87" t="str">
        <f>A414</f>
        <v>Zoroaster's Torch</v>
      </c>
      <c r="D433" s="8" t="str">
        <f>A414</f>
        <v>Zoroaster's Torch</v>
      </c>
      <c r="E433" s="91">
        <f>J414</f>
        <v>80</v>
      </c>
      <c r="F433" s="87"/>
      <c r="G433" s="87"/>
      <c r="H433" s="88"/>
      <c r="I433" s="80"/>
    </row>
    <row r="434">
      <c r="A434" s="126">
        <v>4.0</v>
      </c>
      <c r="B434" s="133" t="s">
        <v>40</v>
      </c>
      <c r="C434" s="87" t="str">
        <f>A424</f>
        <v>Euclid's Elements</v>
      </c>
      <c r="D434" s="8" t="str">
        <f>A424</f>
        <v>Euclid's Elements</v>
      </c>
      <c r="E434" s="91">
        <f>J424</f>
        <v>45</v>
      </c>
      <c r="F434" s="87"/>
      <c r="G434" s="87"/>
      <c r="H434" s="88"/>
      <c r="I434" s="80"/>
      <c r="L434" s="80"/>
    </row>
    <row r="435">
      <c r="A435" s="126">
        <v>5.0</v>
      </c>
      <c r="B435" s="8" t="s">
        <v>9</v>
      </c>
      <c r="C435" s="134"/>
      <c r="D435" s="8" t="str">
        <f t="shared" ref="D435:D436" si="74">A395</f>
        <v>Trojan Horse</v>
      </c>
      <c r="E435" s="91">
        <f t="shared" ref="E435:E436" si="75">J395</f>
        <v>106</v>
      </c>
      <c r="F435" s="87"/>
      <c r="G435" s="87"/>
      <c r="H435" s="88"/>
      <c r="I435" s="80"/>
      <c r="J435" s="146"/>
      <c r="L435" s="80"/>
    </row>
    <row r="436">
      <c r="A436" s="126">
        <v>6.0</v>
      </c>
      <c r="B436" s="8" t="s">
        <v>9</v>
      </c>
      <c r="C436" s="8"/>
      <c r="D436" s="8" t="str">
        <f t="shared" si="74"/>
        <v>Archimedes Lever</v>
      </c>
      <c r="E436" s="91">
        <f t="shared" si="75"/>
        <v>106</v>
      </c>
      <c r="F436" s="87"/>
      <c r="G436" s="87"/>
      <c r="H436" s="88"/>
      <c r="I436" s="80"/>
      <c r="J436" s="136"/>
      <c r="L436" s="80"/>
    </row>
    <row r="437">
      <c r="A437" s="126">
        <v>7.0</v>
      </c>
      <c r="B437" s="8" t="s">
        <v>16</v>
      </c>
      <c r="C437" s="87"/>
      <c r="D437" s="8" t="str">
        <f t="shared" ref="D437:D439" si="76">A399</f>
        <v>Ansidei Madonna</v>
      </c>
      <c r="E437" s="91">
        <f t="shared" ref="E437:E439" si="77">J399</f>
        <v>123</v>
      </c>
      <c r="F437" s="87"/>
      <c r="G437" s="87"/>
      <c r="H437" s="88"/>
      <c r="I437" s="80"/>
      <c r="L437" s="80"/>
    </row>
    <row r="438">
      <c r="A438" s="126">
        <v>8.0</v>
      </c>
      <c r="B438" s="8" t="s">
        <v>16</v>
      </c>
      <c r="C438" s="87"/>
      <c r="D438" s="8" t="str">
        <f t="shared" si="76"/>
        <v>Caesar Statue</v>
      </c>
      <c r="E438" s="91">
        <f t="shared" si="77"/>
        <v>123</v>
      </c>
      <c r="F438" s="134"/>
      <c r="G438" s="134"/>
      <c r="H438" s="149"/>
      <c r="I438" s="80"/>
      <c r="J438" s="146"/>
      <c r="L438" s="104"/>
    </row>
    <row r="439">
      <c r="A439" s="126">
        <v>9.0</v>
      </c>
      <c r="B439" s="8" t="s">
        <v>16</v>
      </c>
      <c r="C439" s="140"/>
      <c r="D439" s="140" t="str">
        <f t="shared" si="76"/>
        <v>Parthenon Marbles</v>
      </c>
      <c r="E439" s="140">
        <f t="shared" si="77"/>
        <v>118</v>
      </c>
      <c r="F439" s="87"/>
      <c r="G439" s="87"/>
      <c r="H439" s="88"/>
      <c r="I439" s="80"/>
      <c r="J439" s="136"/>
      <c r="L439" s="80"/>
    </row>
    <row r="440">
      <c r="A440" s="126">
        <v>10.0</v>
      </c>
      <c r="B440" s="8" t="s">
        <v>20</v>
      </c>
      <c r="C440" s="87"/>
      <c r="D440" s="8" t="str">
        <f t="shared" ref="D440:D442" si="78">A408</f>
        <v>Blood of Cain</v>
      </c>
      <c r="E440" s="91">
        <f t="shared" ref="E440:E442" si="79">J408</f>
        <v>124</v>
      </c>
      <c r="F440" s="87"/>
      <c r="G440" s="87"/>
      <c r="H440" s="88"/>
      <c r="I440" s="80"/>
      <c r="J440" s="8"/>
      <c r="L440" s="80"/>
    </row>
    <row r="441">
      <c r="A441" s="126">
        <v>11.0</v>
      </c>
      <c r="B441" s="8" t="s">
        <v>20</v>
      </c>
      <c r="C441" s="87"/>
      <c r="D441" s="8" t="str">
        <f t="shared" si="78"/>
        <v>Wheel of Fortune</v>
      </c>
      <c r="E441" s="91">
        <f t="shared" si="79"/>
        <v>122</v>
      </c>
      <c r="F441" s="140"/>
      <c r="G441" s="140"/>
      <c r="H441" s="150"/>
      <c r="I441" s="80"/>
      <c r="J441" s="136"/>
      <c r="L441" s="80"/>
    </row>
    <row r="442">
      <c r="A442" s="126">
        <v>12.0</v>
      </c>
      <c r="B442" s="8" t="s">
        <v>20</v>
      </c>
      <c r="C442" s="87"/>
      <c r="D442" s="140" t="str">
        <f t="shared" si="78"/>
        <v>Royal Celtic Harp</v>
      </c>
      <c r="E442" s="140">
        <f t="shared" si="79"/>
        <v>109</v>
      </c>
      <c r="F442" s="140"/>
      <c r="G442" s="87"/>
      <c r="H442" s="88"/>
      <c r="I442" s="80"/>
      <c r="J442" s="136"/>
      <c r="L442" s="80"/>
    </row>
    <row r="443">
      <c r="A443" s="126">
        <v>13.0</v>
      </c>
      <c r="B443" s="8" t="s">
        <v>12</v>
      </c>
      <c r="C443" s="87"/>
      <c r="D443" s="8" t="str">
        <f t="shared" ref="D443:D446" si="80">A419</f>
        <v>Aesop's Fables</v>
      </c>
      <c r="E443" s="91">
        <f t="shared" ref="E443:E446" si="81">J419</f>
        <v>122</v>
      </c>
      <c r="F443" s="87"/>
      <c r="G443" s="87"/>
      <c r="H443" s="88"/>
      <c r="I443" s="80"/>
      <c r="J443" s="146"/>
      <c r="L443" s="104"/>
    </row>
    <row r="444">
      <c r="A444" s="126">
        <v>14.0</v>
      </c>
      <c r="B444" s="8" t="s">
        <v>12</v>
      </c>
      <c r="C444" s="87"/>
      <c r="D444" s="8" t="str">
        <f t="shared" si="80"/>
        <v>Iliad &amp; Odyssey</v>
      </c>
      <c r="E444" s="91">
        <f t="shared" si="81"/>
        <v>108</v>
      </c>
      <c r="F444" s="91">
        <f>F420</f>
        <v>30</v>
      </c>
      <c r="G444" s="87"/>
      <c r="H444" s="88"/>
      <c r="I444" s="80"/>
      <c r="J444" s="146"/>
      <c r="L444" s="80"/>
    </row>
    <row r="445">
      <c r="A445" s="126">
        <v>15.0</v>
      </c>
      <c r="B445" s="8" t="s">
        <v>40</v>
      </c>
      <c r="C445" s="87"/>
      <c r="D445" s="8" t="str">
        <f t="shared" si="80"/>
        <v>Kepler Telescope</v>
      </c>
      <c r="E445" s="91">
        <f t="shared" si="81"/>
        <v>124</v>
      </c>
      <c r="F445" s="87"/>
      <c r="G445" s="87"/>
      <c r="H445" s="88" t="str">
        <f>H419</f>
        <v/>
      </c>
      <c r="I445" s="80"/>
      <c r="J445" s="136"/>
      <c r="L445" s="104"/>
    </row>
    <row r="446">
      <c r="A446" s="126">
        <v>16.0</v>
      </c>
      <c r="B446" s="8" t="s">
        <v>40</v>
      </c>
      <c r="C446" s="87"/>
      <c r="D446" s="141" t="str">
        <f t="shared" si="80"/>
        <v>Libra</v>
      </c>
      <c r="E446" s="91">
        <f t="shared" si="81"/>
        <v>110</v>
      </c>
      <c r="F446" s="87"/>
      <c r="G446" s="87"/>
      <c r="H446" s="88"/>
      <c r="I446" s="80"/>
      <c r="J446" s="136"/>
      <c r="L446" s="104"/>
    </row>
    <row r="447">
      <c r="A447" s="128"/>
      <c r="B447" s="151"/>
      <c r="C447" s="93"/>
      <c r="D447" s="96" t="s">
        <v>595</v>
      </c>
      <c r="E447" s="94">
        <f t="shared" ref="E447:H447" si="82">SUM(E431:E446)</f>
        <v>1986</v>
      </c>
      <c r="F447" s="94">
        <f t="shared" si="82"/>
        <v>30</v>
      </c>
      <c r="G447" s="94">
        <f t="shared" si="82"/>
        <v>0</v>
      </c>
      <c r="H447" s="115">
        <f t="shared" si="82"/>
        <v>0</v>
      </c>
      <c r="I447" s="132"/>
      <c r="J447" s="104"/>
      <c r="K447" s="104"/>
      <c r="L447" s="104"/>
    </row>
    <row r="451">
      <c r="A451" s="123"/>
      <c r="B451" s="89"/>
      <c r="C451" s="89"/>
      <c r="D451" s="68" t="s">
        <v>537</v>
      </c>
      <c r="E451" s="68" t="s">
        <v>538</v>
      </c>
      <c r="F451" s="68" t="s">
        <v>539</v>
      </c>
      <c r="G451" s="68" t="s">
        <v>540</v>
      </c>
      <c r="H451" s="68" t="s">
        <v>541</v>
      </c>
      <c r="I451" s="68" t="s">
        <v>542</v>
      </c>
      <c r="J451" s="68" t="s">
        <v>543</v>
      </c>
      <c r="K451" s="68" t="s">
        <v>544</v>
      </c>
      <c r="L451" s="90"/>
    </row>
    <row r="452">
      <c r="A452" s="130" t="s">
        <v>948</v>
      </c>
      <c r="B452" s="71"/>
      <c r="C452" s="71"/>
      <c r="D452" s="71"/>
      <c r="E452" s="71"/>
      <c r="F452" s="71"/>
      <c r="G452" s="87"/>
      <c r="H452" s="87"/>
      <c r="I452" s="87"/>
      <c r="J452" s="87"/>
      <c r="K452" s="87"/>
      <c r="L452" s="88"/>
    </row>
    <row r="453">
      <c r="A453" s="70" t="s">
        <v>6</v>
      </c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2"/>
    </row>
    <row r="454">
      <c r="A454" s="70" t="s">
        <v>949</v>
      </c>
      <c r="B454" s="8" t="s">
        <v>8</v>
      </c>
      <c r="C454" s="8" t="s">
        <v>9</v>
      </c>
      <c r="D454" s="73">
        <v>106.0</v>
      </c>
      <c r="E454" s="73">
        <v>362.0</v>
      </c>
      <c r="F454" s="71"/>
      <c r="G454" s="71"/>
      <c r="H454" s="71"/>
      <c r="I454" s="99">
        <v>15.0</v>
      </c>
      <c r="J454" s="73">
        <f t="shared" ref="J454:J483" si="83">D454+I454</f>
        <v>121</v>
      </c>
      <c r="K454" s="73">
        <f t="shared" ref="K454:K469" si="84">E454+I454</f>
        <v>377</v>
      </c>
      <c r="L454" s="105" t="s">
        <v>813</v>
      </c>
    </row>
    <row r="455">
      <c r="A455" s="70" t="s">
        <v>722</v>
      </c>
      <c r="B455" s="8" t="s">
        <v>54</v>
      </c>
      <c r="C455" s="8" t="s">
        <v>9</v>
      </c>
      <c r="D455" s="73">
        <v>109.0</v>
      </c>
      <c r="E455" s="73">
        <v>347.0</v>
      </c>
      <c r="F455" s="71"/>
      <c r="G455" s="71"/>
      <c r="H455" s="71"/>
      <c r="I455" s="99"/>
      <c r="J455" s="73">
        <f t="shared" si="83"/>
        <v>109</v>
      </c>
      <c r="K455" s="73">
        <f t="shared" si="84"/>
        <v>347</v>
      </c>
      <c r="L455" s="105" t="s">
        <v>723</v>
      </c>
    </row>
    <row r="456">
      <c r="A456" s="70" t="s">
        <v>736</v>
      </c>
      <c r="B456" s="8" t="s">
        <v>54</v>
      </c>
      <c r="C456" s="8" t="s">
        <v>9</v>
      </c>
      <c r="D456" s="73">
        <v>103.0</v>
      </c>
      <c r="E456" s="73">
        <v>347.0</v>
      </c>
      <c r="F456" s="71"/>
      <c r="G456" s="71"/>
      <c r="H456" s="71"/>
      <c r="I456" s="99"/>
      <c r="J456" s="73">
        <f t="shared" si="83"/>
        <v>103</v>
      </c>
      <c r="K456" s="73">
        <f t="shared" si="84"/>
        <v>347</v>
      </c>
      <c r="L456" s="105" t="s">
        <v>737</v>
      </c>
    </row>
    <row r="457">
      <c r="A457" s="70" t="s">
        <v>950</v>
      </c>
      <c r="B457" s="8" t="s">
        <v>141</v>
      </c>
      <c r="C457" s="8" t="s">
        <v>9</v>
      </c>
      <c r="D457" s="73">
        <v>70.0</v>
      </c>
      <c r="E457" s="73"/>
      <c r="F457" s="71"/>
      <c r="G457" s="71"/>
      <c r="H457" s="71"/>
      <c r="I457" s="99">
        <v>10.0</v>
      </c>
      <c r="J457" s="73">
        <f t="shared" si="83"/>
        <v>80</v>
      </c>
      <c r="K457" s="73">
        <f t="shared" si="84"/>
        <v>10</v>
      </c>
      <c r="L457" s="105" t="s">
        <v>260</v>
      </c>
    </row>
    <row r="458">
      <c r="A458" s="70" t="s">
        <v>951</v>
      </c>
      <c r="B458" s="8" t="s">
        <v>19</v>
      </c>
      <c r="C458" s="8" t="s">
        <v>9</v>
      </c>
      <c r="D458" s="73">
        <v>44.0</v>
      </c>
      <c r="E458" s="73"/>
      <c r="F458" s="71"/>
      <c r="G458" s="71"/>
      <c r="H458" s="71"/>
      <c r="I458" s="71"/>
      <c r="J458" s="73">
        <f t="shared" si="83"/>
        <v>44</v>
      </c>
      <c r="K458" s="73">
        <f t="shared" si="84"/>
        <v>0</v>
      </c>
      <c r="L458" s="105" t="s">
        <v>952</v>
      </c>
    </row>
    <row r="459">
      <c r="A459" s="70" t="s">
        <v>953</v>
      </c>
      <c r="B459" s="8" t="s">
        <v>8</v>
      </c>
      <c r="C459" s="8" t="s">
        <v>16</v>
      </c>
      <c r="D459" s="73">
        <v>109.0</v>
      </c>
      <c r="E459" s="8">
        <f>71+109+65+61+56</f>
        <v>362</v>
      </c>
      <c r="F459" s="8">
        <v>30.0</v>
      </c>
      <c r="G459" s="87"/>
      <c r="H459" s="87"/>
      <c r="I459" s="8"/>
      <c r="J459" s="73">
        <f t="shared" si="83"/>
        <v>109</v>
      </c>
      <c r="K459" s="73">
        <f t="shared" si="84"/>
        <v>362</v>
      </c>
      <c r="L459" s="105" t="s">
        <v>954</v>
      </c>
    </row>
    <row r="460">
      <c r="A460" s="70" t="s">
        <v>955</v>
      </c>
      <c r="B460" s="8" t="s">
        <v>8</v>
      </c>
      <c r="C460" s="8" t="s">
        <v>16</v>
      </c>
      <c r="D460" s="73">
        <v>108.0</v>
      </c>
      <c r="E460" s="8">
        <v>362.0</v>
      </c>
      <c r="F460" s="87"/>
      <c r="G460" s="87"/>
      <c r="H460" s="87"/>
      <c r="I460" s="87"/>
      <c r="J460" s="73">
        <f t="shared" si="83"/>
        <v>108</v>
      </c>
      <c r="K460" s="73">
        <f t="shared" si="84"/>
        <v>362</v>
      </c>
      <c r="L460" s="105" t="s">
        <v>956</v>
      </c>
    </row>
    <row r="461">
      <c r="A461" s="70" t="s">
        <v>957</v>
      </c>
      <c r="B461" s="8" t="s">
        <v>96</v>
      </c>
      <c r="C461" s="8" t="s">
        <v>16</v>
      </c>
      <c r="D461" s="73">
        <v>96.0</v>
      </c>
      <c r="E461" s="8">
        <f>48+96+65+64+59</f>
        <v>332</v>
      </c>
      <c r="F461" s="87"/>
      <c r="G461" s="87"/>
      <c r="H461" s="87"/>
      <c r="I461" s="87"/>
      <c r="J461" s="73">
        <f t="shared" si="83"/>
        <v>96</v>
      </c>
      <c r="K461" s="73">
        <f t="shared" si="84"/>
        <v>332</v>
      </c>
      <c r="L461" s="105" t="s">
        <v>560</v>
      </c>
    </row>
    <row r="462">
      <c r="A462" s="70" t="s">
        <v>958</v>
      </c>
      <c r="B462" s="8" t="s">
        <v>15</v>
      </c>
      <c r="C462" s="8" t="s">
        <v>16</v>
      </c>
      <c r="D462" s="73">
        <v>71.0</v>
      </c>
      <c r="E462" s="99"/>
      <c r="F462" s="71"/>
      <c r="G462" s="71"/>
      <c r="H462" s="71"/>
      <c r="I462" s="71"/>
      <c r="J462" s="73">
        <f t="shared" si="83"/>
        <v>71</v>
      </c>
      <c r="K462" s="73">
        <f t="shared" si="84"/>
        <v>0</v>
      </c>
      <c r="L462" s="105" t="s">
        <v>428</v>
      </c>
    </row>
    <row r="463">
      <c r="A463" s="70" t="s">
        <v>959</v>
      </c>
      <c r="B463" s="8" t="s">
        <v>19</v>
      </c>
      <c r="C463" s="8" t="s">
        <v>16</v>
      </c>
      <c r="D463" s="73">
        <v>44.0</v>
      </c>
      <c r="E463" s="87"/>
      <c r="F463" s="71"/>
      <c r="G463" s="71"/>
      <c r="H463" s="71"/>
      <c r="I463" s="71"/>
      <c r="J463" s="73">
        <f t="shared" si="83"/>
        <v>44</v>
      </c>
      <c r="K463" s="73">
        <f t="shared" si="84"/>
        <v>0</v>
      </c>
      <c r="L463" s="105" t="s">
        <v>960</v>
      </c>
    </row>
    <row r="464">
      <c r="A464" s="70" t="s">
        <v>961</v>
      </c>
      <c r="B464" s="8" t="s">
        <v>8</v>
      </c>
      <c r="C464" s="99" t="s">
        <v>20</v>
      </c>
      <c r="D464" s="73">
        <v>109.0</v>
      </c>
      <c r="E464" s="73">
        <v>362.0</v>
      </c>
      <c r="F464" s="99">
        <v>30.0</v>
      </c>
      <c r="G464" s="71"/>
      <c r="H464" s="71"/>
      <c r="I464" s="99"/>
      <c r="J464" s="73">
        <f t="shared" si="83"/>
        <v>109</v>
      </c>
      <c r="K464" s="73">
        <f t="shared" si="84"/>
        <v>362</v>
      </c>
      <c r="L464" s="105" t="s">
        <v>61</v>
      </c>
    </row>
    <row r="465">
      <c r="A465" s="70" t="s">
        <v>962</v>
      </c>
      <c r="B465" s="8" t="s">
        <v>8</v>
      </c>
      <c r="C465" s="99" t="s">
        <v>20</v>
      </c>
      <c r="D465" s="73">
        <v>107.0</v>
      </c>
      <c r="E465" s="99">
        <v>362.0</v>
      </c>
      <c r="F465" s="71"/>
      <c r="G465" s="71"/>
      <c r="H465" s="71"/>
      <c r="I465" s="71"/>
      <c r="J465" s="73">
        <f t="shared" si="83"/>
        <v>107</v>
      </c>
      <c r="K465" s="73">
        <f t="shared" si="84"/>
        <v>362</v>
      </c>
      <c r="L465" s="105" t="s">
        <v>956</v>
      </c>
    </row>
    <row r="466">
      <c r="A466" s="70" t="s">
        <v>963</v>
      </c>
      <c r="B466" s="8" t="s">
        <v>8</v>
      </c>
      <c r="C466" s="99" t="s">
        <v>20</v>
      </c>
      <c r="D466" s="73">
        <v>106.0</v>
      </c>
      <c r="E466" s="99">
        <v>362.0</v>
      </c>
      <c r="F466" s="71"/>
      <c r="G466" s="71"/>
      <c r="H466" s="71"/>
      <c r="I466" s="71"/>
      <c r="J466" s="73">
        <f t="shared" si="83"/>
        <v>106</v>
      </c>
      <c r="K466" s="73">
        <f t="shared" si="84"/>
        <v>362</v>
      </c>
      <c r="L466" s="105" t="s">
        <v>964</v>
      </c>
    </row>
    <row r="467">
      <c r="A467" s="70" t="s">
        <v>965</v>
      </c>
      <c r="B467" s="8" t="s">
        <v>54</v>
      </c>
      <c r="C467" s="99" t="s">
        <v>20</v>
      </c>
      <c r="D467" s="73">
        <v>104.0</v>
      </c>
      <c r="E467" s="99">
        <v>347.0</v>
      </c>
      <c r="F467" s="71"/>
      <c r="G467" s="71"/>
      <c r="H467" s="71"/>
      <c r="I467" s="99"/>
      <c r="J467" s="73">
        <f t="shared" si="83"/>
        <v>104</v>
      </c>
      <c r="K467" s="73">
        <f t="shared" si="84"/>
        <v>347</v>
      </c>
      <c r="L467" s="105" t="s">
        <v>966</v>
      </c>
    </row>
    <row r="468">
      <c r="A468" s="70" t="s">
        <v>967</v>
      </c>
      <c r="B468" s="8" t="s">
        <v>54</v>
      </c>
      <c r="C468" s="99" t="s">
        <v>20</v>
      </c>
      <c r="D468" s="73">
        <v>103.0</v>
      </c>
      <c r="E468" s="91">
        <v>347.0</v>
      </c>
      <c r="F468" s="71"/>
      <c r="G468" s="71"/>
      <c r="H468" s="71"/>
      <c r="I468" s="71"/>
      <c r="J468" s="73">
        <f t="shared" si="83"/>
        <v>103</v>
      </c>
      <c r="K468" s="73">
        <f t="shared" si="84"/>
        <v>347</v>
      </c>
      <c r="L468" s="105" t="s">
        <v>272</v>
      </c>
    </row>
    <row r="469">
      <c r="A469" s="70" t="s">
        <v>968</v>
      </c>
      <c r="B469" s="8" t="s">
        <v>54</v>
      </c>
      <c r="C469" s="99" t="s">
        <v>20</v>
      </c>
      <c r="D469" s="73">
        <v>101.0</v>
      </c>
      <c r="E469" s="73">
        <v>347.0</v>
      </c>
      <c r="F469" s="71"/>
      <c r="G469" s="71"/>
      <c r="H469" s="71"/>
      <c r="I469" s="71"/>
      <c r="J469" s="73">
        <f t="shared" si="83"/>
        <v>101</v>
      </c>
      <c r="K469" s="73">
        <f t="shared" si="84"/>
        <v>347</v>
      </c>
      <c r="L469" s="105" t="s">
        <v>684</v>
      </c>
    </row>
    <row r="470">
      <c r="A470" s="70" t="s">
        <v>969</v>
      </c>
      <c r="B470" s="8" t="s">
        <v>15</v>
      </c>
      <c r="C470" s="99" t="s">
        <v>20</v>
      </c>
      <c r="D470" s="73">
        <v>75.0</v>
      </c>
      <c r="E470" s="71"/>
      <c r="F470" s="71"/>
      <c r="G470" s="71"/>
      <c r="H470" s="71"/>
      <c r="I470" s="99">
        <v>10.0</v>
      </c>
      <c r="J470" s="73">
        <f t="shared" si="83"/>
        <v>85</v>
      </c>
      <c r="K470" s="73"/>
      <c r="L470" s="105" t="s">
        <v>137</v>
      </c>
    </row>
    <row r="471">
      <c r="A471" s="70" t="s">
        <v>970</v>
      </c>
      <c r="B471" s="8" t="s">
        <v>15</v>
      </c>
      <c r="C471" s="99" t="s">
        <v>20</v>
      </c>
      <c r="D471" s="73">
        <v>71.0</v>
      </c>
      <c r="E471" s="71"/>
      <c r="F471" s="71"/>
      <c r="G471" s="71"/>
      <c r="H471" s="71"/>
      <c r="I471" s="99">
        <v>10.0</v>
      </c>
      <c r="J471" s="73">
        <f t="shared" si="83"/>
        <v>81</v>
      </c>
      <c r="K471" s="73"/>
      <c r="L471" s="105" t="s">
        <v>971</v>
      </c>
    </row>
    <row r="472">
      <c r="A472" s="70" t="s">
        <v>972</v>
      </c>
      <c r="B472" s="8" t="s">
        <v>15</v>
      </c>
      <c r="C472" s="99" t="s">
        <v>20</v>
      </c>
      <c r="D472" s="73">
        <v>72.0</v>
      </c>
      <c r="E472" s="71"/>
      <c r="F472" s="71"/>
      <c r="G472" s="71"/>
      <c r="H472" s="71"/>
      <c r="I472" s="99"/>
      <c r="J472" s="73">
        <f t="shared" si="83"/>
        <v>72</v>
      </c>
      <c r="K472" s="73"/>
      <c r="L472" s="105" t="s">
        <v>139</v>
      </c>
    </row>
    <row r="473">
      <c r="A473" s="70" t="s">
        <v>973</v>
      </c>
      <c r="B473" s="8" t="s">
        <v>19</v>
      </c>
      <c r="C473" s="99" t="s">
        <v>20</v>
      </c>
      <c r="D473" s="73">
        <v>45.0</v>
      </c>
      <c r="E473" s="71"/>
      <c r="F473" s="71"/>
      <c r="G473" s="71"/>
      <c r="H473" s="71"/>
      <c r="I473" s="99"/>
      <c r="J473" s="73">
        <f t="shared" si="83"/>
        <v>45</v>
      </c>
      <c r="K473" s="73"/>
      <c r="L473" s="105" t="s">
        <v>21</v>
      </c>
    </row>
    <row r="474">
      <c r="A474" s="70" t="s">
        <v>974</v>
      </c>
      <c r="B474" s="8" t="s">
        <v>19</v>
      </c>
      <c r="C474" s="99" t="s">
        <v>20</v>
      </c>
      <c r="D474" s="73">
        <v>46.0</v>
      </c>
      <c r="E474" s="73"/>
      <c r="F474" s="73"/>
      <c r="G474" s="71"/>
      <c r="H474" s="99"/>
      <c r="I474" s="99"/>
      <c r="J474" s="73">
        <f t="shared" si="83"/>
        <v>46</v>
      </c>
      <c r="K474" s="73">
        <f t="shared" ref="K474:K476" si="85">E474+I474</f>
        <v>0</v>
      </c>
      <c r="L474" s="105" t="s">
        <v>286</v>
      </c>
    </row>
    <row r="475">
      <c r="A475" s="70" t="s">
        <v>975</v>
      </c>
      <c r="B475" s="8" t="s">
        <v>8</v>
      </c>
      <c r="C475" s="99" t="s">
        <v>12</v>
      </c>
      <c r="D475" s="73">
        <v>110.0</v>
      </c>
      <c r="E475" s="73">
        <v>362.0</v>
      </c>
      <c r="F475" s="73"/>
      <c r="G475" s="71"/>
      <c r="H475" s="73"/>
      <c r="I475" s="73"/>
      <c r="J475" s="73">
        <f t="shared" si="83"/>
        <v>110</v>
      </c>
      <c r="K475" s="73">
        <f t="shared" si="85"/>
        <v>362</v>
      </c>
      <c r="L475" s="105" t="s">
        <v>798</v>
      </c>
    </row>
    <row r="476">
      <c r="A476" s="70" t="s">
        <v>976</v>
      </c>
      <c r="B476" s="8" t="s">
        <v>8</v>
      </c>
      <c r="C476" s="99" t="s">
        <v>12</v>
      </c>
      <c r="D476" s="73">
        <v>108.0</v>
      </c>
      <c r="E476" s="73">
        <v>362.0</v>
      </c>
      <c r="F476" s="73"/>
      <c r="G476" s="71"/>
      <c r="H476" s="99"/>
      <c r="I476" s="99"/>
      <c r="J476" s="73">
        <f t="shared" si="83"/>
        <v>108</v>
      </c>
      <c r="K476" s="73">
        <f t="shared" si="85"/>
        <v>362</v>
      </c>
      <c r="L476" s="105" t="s">
        <v>698</v>
      </c>
    </row>
    <row r="477">
      <c r="A477" s="144" t="s">
        <v>977</v>
      </c>
      <c r="B477" s="8" t="s">
        <v>15</v>
      </c>
      <c r="C477" s="8" t="s">
        <v>12</v>
      </c>
      <c r="D477" s="91">
        <v>74.0</v>
      </c>
      <c r="E477" s="91"/>
      <c r="F477" s="71"/>
      <c r="G477" s="71"/>
      <c r="H477" s="71"/>
      <c r="I477" s="99">
        <v>10.0</v>
      </c>
      <c r="J477" s="73">
        <f t="shared" si="83"/>
        <v>84</v>
      </c>
      <c r="K477" s="73"/>
      <c r="L477" s="105" t="s">
        <v>971</v>
      </c>
    </row>
    <row r="478">
      <c r="A478" s="144" t="s">
        <v>978</v>
      </c>
      <c r="B478" s="8" t="s">
        <v>15</v>
      </c>
      <c r="C478" s="8" t="s">
        <v>12</v>
      </c>
      <c r="D478" s="91">
        <v>74.0</v>
      </c>
      <c r="E478" s="91"/>
      <c r="F478" s="71"/>
      <c r="G478" s="71"/>
      <c r="H478" s="71"/>
      <c r="I478" s="99"/>
      <c r="J478" s="73">
        <f t="shared" si="83"/>
        <v>74</v>
      </c>
      <c r="K478" s="73"/>
      <c r="L478" s="105" t="s">
        <v>139</v>
      </c>
    </row>
    <row r="479">
      <c r="A479" s="144" t="s">
        <v>979</v>
      </c>
      <c r="B479" s="8" t="s">
        <v>19</v>
      </c>
      <c r="C479" s="8" t="s">
        <v>12</v>
      </c>
      <c r="D479" s="91">
        <v>47.0</v>
      </c>
      <c r="E479" s="91"/>
      <c r="F479" s="71"/>
      <c r="G479" s="71"/>
      <c r="H479" s="71"/>
      <c r="I479" s="99"/>
      <c r="J479" s="73">
        <f t="shared" si="83"/>
        <v>47</v>
      </c>
      <c r="K479" s="73"/>
      <c r="L479" s="105" t="s">
        <v>980</v>
      </c>
    </row>
    <row r="480">
      <c r="A480" s="144" t="s">
        <v>981</v>
      </c>
      <c r="B480" s="8" t="s">
        <v>19</v>
      </c>
      <c r="C480" s="8" t="s">
        <v>12</v>
      </c>
      <c r="D480" s="91">
        <v>47.0</v>
      </c>
      <c r="E480" s="91"/>
      <c r="F480" s="71"/>
      <c r="G480" s="71"/>
      <c r="H480" s="71"/>
      <c r="I480" s="99"/>
      <c r="J480" s="73">
        <f t="shared" si="83"/>
        <v>47</v>
      </c>
      <c r="K480" s="73"/>
      <c r="L480" s="105" t="s">
        <v>249</v>
      </c>
    </row>
    <row r="481">
      <c r="A481" s="144" t="s">
        <v>982</v>
      </c>
      <c r="B481" s="8" t="s">
        <v>8</v>
      </c>
      <c r="C481" s="8" t="s">
        <v>40</v>
      </c>
      <c r="D481" s="91">
        <v>107.0</v>
      </c>
      <c r="E481" s="91">
        <v>362.0</v>
      </c>
      <c r="F481" s="71"/>
      <c r="G481" s="71"/>
      <c r="H481" s="71"/>
      <c r="I481" s="99">
        <v>15.0</v>
      </c>
      <c r="J481" s="73">
        <f t="shared" si="83"/>
        <v>122</v>
      </c>
      <c r="K481" s="73">
        <f t="shared" ref="K481:K483" si="86">E481+I481</f>
        <v>377</v>
      </c>
      <c r="L481" s="105" t="s">
        <v>983</v>
      </c>
    </row>
    <row r="482">
      <c r="A482" s="144" t="s">
        <v>984</v>
      </c>
      <c r="B482" s="8" t="s">
        <v>54</v>
      </c>
      <c r="C482" s="8" t="s">
        <v>40</v>
      </c>
      <c r="D482" s="91">
        <v>102.0</v>
      </c>
      <c r="E482" s="8">
        <v>347.0</v>
      </c>
      <c r="F482" s="87"/>
      <c r="G482" s="87"/>
      <c r="H482" s="87"/>
      <c r="I482" s="8"/>
      <c r="J482" s="73">
        <f t="shared" si="83"/>
        <v>102</v>
      </c>
      <c r="K482" s="73">
        <f t="shared" si="86"/>
        <v>347</v>
      </c>
      <c r="L482" s="105" t="s">
        <v>985</v>
      </c>
    </row>
    <row r="483">
      <c r="A483" s="52" t="s">
        <v>986</v>
      </c>
      <c r="B483" s="96" t="s">
        <v>15</v>
      </c>
      <c r="C483" s="96" t="s">
        <v>40</v>
      </c>
      <c r="D483" s="94">
        <v>71.0</v>
      </c>
      <c r="E483" s="93"/>
      <c r="F483" s="93"/>
      <c r="G483" s="93"/>
      <c r="H483" s="93"/>
      <c r="I483" s="96"/>
      <c r="J483" s="77">
        <f t="shared" si="83"/>
        <v>71</v>
      </c>
      <c r="K483" s="77">
        <f t="shared" si="86"/>
        <v>0</v>
      </c>
      <c r="L483" s="152" t="s">
        <v>374</v>
      </c>
    </row>
    <row r="488">
      <c r="A488" s="67" t="s">
        <v>578</v>
      </c>
      <c r="B488" s="82"/>
      <c r="C488" s="68" t="s">
        <v>579</v>
      </c>
      <c r="D488" s="68" t="s">
        <v>580</v>
      </c>
      <c r="E488" s="68" t="s">
        <v>581</v>
      </c>
      <c r="F488" s="68" t="s">
        <v>539</v>
      </c>
      <c r="G488" s="68" t="s">
        <v>540</v>
      </c>
      <c r="H488" s="69" t="s">
        <v>541</v>
      </c>
      <c r="I488" s="131"/>
    </row>
    <row r="489">
      <c r="A489" s="126">
        <v>1.0</v>
      </c>
      <c r="B489" s="8" t="s">
        <v>582</v>
      </c>
      <c r="C489" s="87"/>
      <c r="D489" s="8" t="str">
        <f>A464</f>
        <v>Maya Slate</v>
      </c>
      <c r="E489" s="91">
        <f>K464</f>
        <v>362</v>
      </c>
      <c r="F489" s="87">
        <f>F464</f>
        <v>30</v>
      </c>
      <c r="G489" s="87"/>
      <c r="H489" s="127"/>
      <c r="I489" s="132"/>
    </row>
    <row r="490">
      <c r="A490" s="126">
        <v>2.0</v>
      </c>
      <c r="B490" s="8" t="s">
        <v>20</v>
      </c>
      <c r="C490" s="8" t="str">
        <f>A468</f>
        <v>3-Faced Statue</v>
      </c>
      <c r="D490" s="8" t="str">
        <f>A468</f>
        <v>3-Faced Statue</v>
      </c>
      <c r="E490" s="91">
        <f>J468</f>
        <v>103</v>
      </c>
      <c r="F490" s="87"/>
      <c r="G490" s="87"/>
      <c r="H490" s="88"/>
      <c r="I490" s="80"/>
    </row>
    <row r="491">
      <c r="A491" s="126">
        <v>3.0</v>
      </c>
      <c r="B491" s="8" t="s">
        <v>20</v>
      </c>
      <c r="C491" s="8" t="str">
        <f>A470</f>
        <v>Leaf Manuscript</v>
      </c>
      <c r="D491" s="8" t="str">
        <f>A470</f>
        <v>Leaf Manuscript</v>
      </c>
      <c r="E491" s="91">
        <f>J470</f>
        <v>85</v>
      </c>
      <c r="F491" s="87"/>
      <c r="G491" s="87"/>
      <c r="H491" s="88"/>
      <c r="L491" s="80"/>
    </row>
    <row r="492">
      <c r="A492" s="126">
        <v>4.0</v>
      </c>
      <c r="B492" s="8" t="s">
        <v>20</v>
      </c>
      <c r="C492" s="8" t="str">
        <f>A473</f>
        <v>Buddha Tooth Sarira</v>
      </c>
      <c r="D492" s="8" t="str">
        <f>A473</f>
        <v>Buddha Tooth Sarira</v>
      </c>
      <c r="E492" s="91">
        <f>J473</f>
        <v>45</v>
      </c>
      <c r="F492" s="87"/>
      <c r="G492" s="87"/>
      <c r="H492" s="88"/>
      <c r="I492" s="80"/>
      <c r="L492" s="80"/>
    </row>
    <row r="493">
      <c r="A493" s="126">
        <v>5.0</v>
      </c>
      <c r="B493" s="8" t="s">
        <v>9</v>
      </c>
      <c r="C493" s="140"/>
      <c r="D493" s="134" t="str">
        <f t="shared" ref="D493:D494" si="87">A454</f>
        <v>Cytopathology</v>
      </c>
      <c r="E493" s="134">
        <f t="shared" ref="E493:E494" si="88">J454</f>
        <v>121</v>
      </c>
      <c r="F493" s="87"/>
      <c r="G493" s="87"/>
      <c r="H493" s="88"/>
      <c r="J493" s="8"/>
      <c r="L493" s="80"/>
    </row>
    <row r="494">
      <c r="A494" s="126">
        <v>6.0</v>
      </c>
      <c r="B494" s="8" t="s">
        <v>9</v>
      </c>
      <c r="C494" s="8"/>
      <c r="D494" s="8" t="str">
        <f t="shared" si="87"/>
        <v>Golden Trophy</v>
      </c>
      <c r="E494" s="91">
        <f t="shared" si="88"/>
        <v>109</v>
      </c>
      <c r="F494" s="87"/>
      <c r="G494" s="87"/>
      <c r="H494" s="88"/>
      <c r="I494" s="8"/>
      <c r="J494" s="80"/>
      <c r="L494" s="80"/>
    </row>
    <row r="495">
      <c r="A495" s="126">
        <v>7.0</v>
      </c>
      <c r="B495" s="8" t="s">
        <v>16</v>
      </c>
      <c r="C495" s="87"/>
      <c r="D495" s="8" t="str">
        <f>A459</f>
        <v>Bronze Shiva Statue</v>
      </c>
      <c r="E495" s="91">
        <f t="shared" ref="E495:E496" si="89">J459</f>
        <v>109</v>
      </c>
      <c r="F495" s="87">
        <f>F459</f>
        <v>30</v>
      </c>
      <c r="G495" s="87"/>
      <c r="H495" s="88"/>
      <c r="I495" s="80"/>
      <c r="J495" s="104"/>
      <c r="L495" s="104"/>
    </row>
    <row r="496">
      <c r="A496" s="126">
        <v>8.0</v>
      </c>
      <c r="B496" s="8" t="s">
        <v>16</v>
      </c>
      <c r="C496" s="87"/>
      <c r="D496" s="139" t="s">
        <v>987</v>
      </c>
      <c r="E496" s="139">
        <f t="shared" si="89"/>
        <v>108</v>
      </c>
      <c r="F496" s="87"/>
      <c r="G496" s="87"/>
      <c r="H496" s="88"/>
      <c r="I496" s="80"/>
      <c r="J496" s="80"/>
      <c r="L496" s="80"/>
    </row>
    <row r="497">
      <c r="A497" s="126">
        <v>9.0</v>
      </c>
      <c r="B497" s="8" t="s">
        <v>16</v>
      </c>
      <c r="C497" s="87"/>
      <c r="D497" s="139" t="s">
        <v>589</v>
      </c>
      <c r="E497" s="139">
        <v>100.0</v>
      </c>
      <c r="F497" s="8"/>
      <c r="G497" s="87"/>
      <c r="H497" s="88"/>
      <c r="I497" s="80"/>
      <c r="J497" s="80"/>
      <c r="L497" s="80"/>
    </row>
    <row r="498">
      <c r="A498" s="126">
        <v>10.0</v>
      </c>
      <c r="B498" s="8" t="s">
        <v>20</v>
      </c>
      <c r="C498" s="87"/>
      <c r="D498" s="8" t="str">
        <f t="shared" ref="D498:D499" si="90">A465</f>
        <v>Ashoka Tower</v>
      </c>
      <c r="E498" s="91">
        <f t="shared" ref="E498:E499" si="91">J465</f>
        <v>107</v>
      </c>
      <c r="G498" s="87"/>
      <c r="H498" s="88"/>
      <c r="L498" s="80"/>
    </row>
    <row r="499">
      <c r="A499" s="126">
        <v>11.0</v>
      </c>
      <c r="B499" s="8" t="s">
        <v>20</v>
      </c>
      <c r="C499" s="87"/>
      <c r="D499" s="8" t="str">
        <f t="shared" si="90"/>
        <v>Hera's Peacock Fan</v>
      </c>
      <c r="E499" s="91">
        <f t="shared" si="91"/>
        <v>106</v>
      </c>
      <c r="F499" s="87"/>
      <c r="G499" s="87"/>
      <c r="H499" s="88"/>
      <c r="I499" s="136" t="s">
        <v>988</v>
      </c>
      <c r="J499" s="80"/>
      <c r="L499" s="80"/>
    </row>
    <row r="500">
      <c r="A500" s="126">
        <v>12.0</v>
      </c>
      <c r="B500" s="8" t="s">
        <v>20</v>
      </c>
      <c r="C500" s="87"/>
      <c r="D500" s="140" t="str">
        <f>A469</f>
        <v>Buddha Skull Sarira</v>
      </c>
      <c r="E500" s="140">
        <f>J469</f>
        <v>101</v>
      </c>
      <c r="G500" s="87"/>
      <c r="H500" s="88"/>
      <c r="I500" s="80"/>
      <c r="J500" s="104"/>
      <c r="L500" s="104"/>
    </row>
    <row r="501">
      <c r="A501" s="126">
        <v>13.0</v>
      </c>
      <c r="B501" s="8" t="s">
        <v>12</v>
      </c>
      <c r="C501" s="87"/>
      <c r="D501" s="8" t="str">
        <f t="shared" ref="D501:D502" si="92">A475</f>
        <v>Scorpio</v>
      </c>
      <c r="E501" s="91">
        <f t="shared" ref="E501:E502" si="93">J475</f>
        <v>110</v>
      </c>
      <c r="F501" s="87"/>
      <c r="G501" s="87"/>
      <c r="H501" s="88"/>
      <c r="I501" s="80"/>
      <c r="J501" s="80"/>
      <c r="L501" s="80"/>
    </row>
    <row r="502">
      <c r="A502" s="126">
        <v>14.0</v>
      </c>
      <c r="B502" s="8" t="s">
        <v>12</v>
      </c>
      <c r="C502" s="87"/>
      <c r="D502" s="140" t="str">
        <f t="shared" si="92"/>
        <v>Shahnameh</v>
      </c>
      <c r="E502" s="140">
        <f t="shared" si="93"/>
        <v>108</v>
      </c>
      <c r="F502" s="91" t="str">
        <f>F475</f>
        <v/>
      </c>
      <c r="G502" s="87"/>
      <c r="H502" s="88"/>
      <c r="I502" s="80"/>
      <c r="J502" s="104"/>
      <c r="L502" s="104"/>
    </row>
    <row r="503">
      <c r="A503" s="126">
        <v>15.0</v>
      </c>
      <c r="B503" s="8" t="s">
        <v>40</v>
      </c>
      <c r="C503" s="87"/>
      <c r="D503" s="8" t="str">
        <f t="shared" ref="D503:D504" si="94">A481</f>
        <v>Nautilus</v>
      </c>
      <c r="E503" s="91">
        <f t="shared" ref="E503:E504" si="95">J481</f>
        <v>122</v>
      </c>
      <c r="F503" s="87"/>
      <c r="G503" s="87"/>
      <c r="H503" s="88" t="str">
        <f>H476</f>
        <v/>
      </c>
      <c r="I503" s="80"/>
      <c r="J503" s="104"/>
      <c r="L503" s="104"/>
    </row>
    <row r="504">
      <c r="A504" s="126">
        <v>16.0</v>
      </c>
      <c r="B504" s="8" t="s">
        <v>40</v>
      </c>
      <c r="C504" s="87"/>
      <c r="D504" s="141" t="str">
        <f t="shared" si="94"/>
        <v>Matrix System</v>
      </c>
      <c r="E504" s="91">
        <f t="shared" si="95"/>
        <v>102</v>
      </c>
      <c r="F504" s="87"/>
      <c r="G504" s="87"/>
      <c r="H504" s="88"/>
      <c r="I504" s="136"/>
      <c r="J504" s="104"/>
      <c r="K504" s="104"/>
      <c r="L504" s="104"/>
    </row>
    <row r="505">
      <c r="A505" s="128"/>
      <c r="B505" s="151"/>
      <c r="C505" s="93"/>
      <c r="D505" s="96" t="s">
        <v>595</v>
      </c>
      <c r="E505" s="94">
        <f t="shared" ref="E505:H505" si="96">SUM(E489:E504)</f>
        <v>1898</v>
      </c>
      <c r="F505" s="94">
        <f t="shared" si="96"/>
        <v>60</v>
      </c>
      <c r="G505" s="94">
        <f t="shared" si="96"/>
        <v>0</v>
      </c>
      <c r="H505" s="115">
        <f t="shared" si="96"/>
        <v>0</v>
      </c>
      <c r="I505" s="132"/>
      <c r="J505" s="104"/>
      <c r="K505" s="104"/>
      <c r="L505" s="104"/>
    </row>
  </sheetData>
  <dataValidations>
    <dataValidation type="list" allowBlank="1" showErrorMessage="1" sqref="B4:B28 B65:B99 B132:B165 B195:B240 B268:B309 B337:B367 B395:B425 B454:B483">
      <formula1>"SSS,SS,S,AAA,AA,A,Blue,Green"</formula1>
    </dataValidation>
    <dataValidation type="list" allowBlank="1" showErrorMessage="1" sqref="C4:C28 B33:B47 C65:C99 B104:B118 C132:C165 B173:B187 C195:C240 B246:B260 C268:C309 B314:B328 C337:C367 B372:B386 C395:C425 B432:B446 C454:C483 B490:B504">
      <formula1>"FAME,ART,FTH,CIV,TECH"</formula1>
    </dataValidation>
  </dataValidations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26.36"/>
    <col customWidth="1" min="2" max="2" width="8.91"/>
    <col customWidth="1" min="5" max="5" width="14.55"/>
    <col customWidth="1" min="6" max="6" width="42.09"/>
  </cols>
  <sheetData>
    <row r="1">
      <c r="A1" s="67"/>
      <c r="B1" s="68" t="s">
        <v>1</v>
      </c>
      <c r="C1" s="68" t="s">
        <v>2</v>
      </c>
      <c r="D1" s="68" t="s">
        <v>989</v>
      </c>
      <c r="E1" s="68" t="s">
        <v>990</v>
      </c>
      <c r="F1" s="69" t="s">
        <v>5</v>
      </c>
    </row>
    <row r="2">
      <c r="A2" s="99"/>
      <c r="B2" s="8"/>
      <c r="C2" s="8"/>
      <c r="D2" s="73"/>
      <c r="E2" s="73"/>
      <c r="F2" s="153"/>
    </row>
    <row r="3">
      <c r="A3" s="125"/>
      <c r="B3" s="96"/>
      <c r="C3" s="96"/>
      <c r="D3" s="77"/>
      <c r="E3" s="77"/>
      <c r="F3" s="154"/>
    </row>
    <row r="4">
      <c r="A4" s="70" t="s">
        <v>991</v>
      </c>
      <c r="B4" s="8"/>
      <c r="C4" s="8"/>
      <c r="D4" s="73"/>
      <c r="E4" s="73"/>
      <c r="F4" s="109"/>
    </row>
    <row r="5">
      <c r="A5" s="70" t="s">
        <v>719</v>
      </c>
      <c r="B5" s="8" t="s">
        <v>8</v>
      </c>
      <c r="C5" s="8" t="s">
        <v>40</v>
      </c>
      <c r="D5" s="73">
        <v>12.0</v>
      </c>
      <c r="E5" s="73"/>
      <c r="F5" s="105" t="s">
        <v>698</v>
      </c>
    </row>
    <row r="6">
      <c r="A6" s="70"/>
      <c r="B6" s="71"/>
      <c r="C6" s="71"/>
      <c r="D6" s="73"/>
      <c r="E6" s="71"/>
      <c r="F6" s="155"/>
    </row>
    <row r="7">
      <c r="A7" s="70" t="s">
        <v>992</v>
      </c>
      <c r="B7" s="71"/>
      <c r="C7" s="71"/>
      <c r="D7" s="99">
        <v>10.0</v>
      </c>
      <c r="E7" s="71"/>
      <c r="F7" s="155"/>
    </row>
    <row r="8">
      <c r="A8" s="70" t="s">
        <v>993</v>
      </c>
      <c r="B8" s="8" t="s">
        <v>8</v>
      </c>
      <c r="C8" s="99"/>
      <c r="D8" s="71"/>
      <c r="E8" s="71"/>
      <c r="F8" s="105" t="s">
        <v>785</v>
      </c>
    </row>
    <row r="9">
      <c r="A9" s="70" t="s">
        <v>994</v>
      </c>
      <c r="B9" s="8" t="s">
        <v>8</v>
      </c>
      <c r="C9" s="8" t="s">
        <v>20</v>
      </c>
      <c r="D9" s="71"/>
      <c r="E9" s="71"/>
      <c r="F9" s="105" t="s">
        <v>995</v>
      </c>
    </row>
    <row r="10">
      <c r="A10" s="70" t="s">
        <v>996</v>
      </c>
      <c r="B10" s="8" t="s">
        <v>8</v>
      </c>
      <c r="C10" s="8" t="s">
        <v>40</v>
      </c>
      <c r="D10" s="71"/>
      <c r="E10" s="71"/>
      <c r="F10" s="105" t="s">
        <v>698</v>
      </c>
    </row>
    <row r="11">
      <c r="A11" s="70" t="s">
        <v>997</v>
      </c>
      <c r="B11" s="8" t="s">
        <v>8</v>
      </c>
      <c r="C11" s="8" t="s">
        <v>9</v>
      </c>
      <c r="D11" s="71"/>
      <c r="E11" s="71"/>
      <c r="F11" s="105" t="s">
        <v>698</v>
      </c>
    </row>
    <row r="12">
      <c r="A12" s="70" t="s">
        <v>998</v>
      </c>
      <c r="B12" s="8" t="s">
        <v>8</v>
      </c>
      <c r="C12" s="8" t="s">
        <v>12</v>
      </c>
      <c r="D12" s="71"/>
      <c r="E12" s="71"/>
      <c r="F12" s="105" t="s">
        <v>995</v>
      </c>
    </row>
    <row r="13">
      <c r="A13" s="75" t="s">
        <v>999</v>
      </c>
      <c r="B13" s="76"/>
      <c r="C13" s="76"/>
      <c r="D13" s="77">
        <f>sum(D5:E12)</f>
        <v>22</v>
      </c>
      <c r="E13" s="76"/>
      <c r="F13" s="156"/>
    </row>
    <row r="14">
      <c r="A14" s="79"/>
      <c r="B14" s="80"/>
      <c r="C14" s="80"/>
      <c r="D14" s="80"/>
      <c r="E14" s="80"/>
      <c r="F14" s="157"/>
    </row>
    <row r="15">
      <c r="A15" s="106"/>
      <c r="B15" s="104"/>
      <c r="C15" s="104"/>
      <c r="D15" s="104"/>
      <c r="E15" s="104"/>
      <c r="F15" s="157"/>
    </row>
    <row r="16">
      <c r="A16" s="67" t="s">
        <v>1000</v>
      </c>
      <c r="B16" s="68"/>
      <c r="C16" s="68"/>
      <c r="D16" s="68"/>
      <c r="E16" s="68"/>
      <c r="F16" s="158"/>
    </row>
    <row r="17">
      <c r="A17" s="70" t="s">
        <v>651</v>
      </c>
      <c r="B17" s="8" t="s">
        <v>54</v>
      </c>
      <c r="C17" s="8" t="s">
        <v>9</v>
      </c>
      <c r="D17" s="73">
        <v>88.0</v>
      </c>
      <c r="E17" s="73"/>
      <c r="F17" s="105" t="s">
        <v>813</v>
      </c>
    </row>
    <row r="18">
      <c r="A18" s="70" t="s">
        <v>1001</v>
      </c>
      <c r="B18" s="8" t="s">
        <v>19</v>
      </c>
      <c r="C18" s="8" t="s">
        <v>40</v>
      </c>
      <c r="D18" s="73">
        <v>40.0</v>
      </c>
      <c r="E18" s="73">
        <v>40.0</v>
      </c>
      <c r="F18" s="105" t="s">
        <v>813</v>
      </c>
    </row>
    <row r="19">
      <c r="A19" s="70"/>
      <c r="B19" s="71"/>
      <c r="C19" s="71"/>
      <c r="D19" s="73"/>
      <c r="E19" s="71"/>
      <c r="F19" s="155"/>
    </row>
    <row r="20">
      <c r="A20" s="70" t="s">
        <v>992</v>
      </c>
      <c r="B20" s="71"/>
      <c r="C20" s="71"/>
      <c r="D20" s="99">
        <v>56.0</v>
      </c>
      <c r="E20" s="71"/>
      <c r="F20" s="155"/>
    </row>
    <row r="21">
      <c r="A21" s="70" t="s">
        <v>1002</v>
      </c>
      <c r="B21" s="8" t="s">
        <v>54</v>
      </c>
      <c r="C21" s="8" t="s">
        <v>40</v>
      </c>
      <c r="D21" s="71"/>
      <c r="E21" s="71"/>
      <c r="F21" s="105" t="s">
        <v>601</v>
      </c>
    </row>
    <row r="22">
      <c r="A22" s="70" t="s">
        <v>1003</v>
      </c>
      <c r="B22" s="8" t="s">
        <v>54</v>
      </c>
      <c r="C22" s="8" t="s">
        <v>40</v>
      </c>
      <c r="D22" s="71"/>
      <c r="E22" s="71"/>
      <c r="F22" s="105" t="s">
        <v>618</v>
      </c>
    </row>
    <row r="23">
      <c r="A23" s="75" t="s">
        <v>1004</v>
      </c>
      <c r="B23" s="76"/>
      <c r="C23" s="76"/>
      <c r="D23" s="77">
        <f>sum(D17:E22)</f>
        <v>224</v>
      </c>
      <c r="E23" s="76"/>
      <c r="F23" s="156"/>
    </row>
    <row r="24">
      <c r="A24" s="79"/>
      <c r="B24" s="80"/>
      <c r="C24" s="80"/>
      <c r="D24" s="80"/>
      <c r="E24" s="80"/>
      <c r="F24" s="157"/>
    </row>
    <row r="25">
      <c r="A25" s="159"/>
      <c r="F25" s="160"/>
    </row>
    <row r="26">
      <c r="A26" s="161" t="s">
        <v>1005</v>
      </c>
      <c r="B26" s="162"/>
      <c r="C26" s="162"/>
      <c r="D26" s="162"/>
      <c r="E26" s="162"/>
      <c r="F26" s="158"/>
    </row>
    <row r="27">
      <c r="A27" s="70" t="s">
        <v>657</v>
      </c>
      <c r="B27" s="8" t="s">
        <v>54</v>
      </c>
      <c r="C27" s="8" t="s">
        <v>12</v>
      </c>
      <c r="D27" s="73">
        <v>88.0</v>
      </c>
      <c r="E27" s="73"/>
      <c r="F27" s="105" t="s">
        <v>601</v>
      </c>
    </row>
    <row r="28">
      <c r="A28" s="70" t="s">
        <v>1006</v>
      </c>
      <c r="B28" s="8" t="s">
        <v>19</v>
      </c>
      <c r="C28" s="8" t="s">
        <v>9</v>
      </c>
      <c r="D28" s="73">
        <v>40.0</v>
      </c>
      <c r="E28" s="73">
        <v>40.0</v>
      </c>
      <c r="F28" s="105" t="s">
        <v>290</v>
      </c>
    </row>
    <row r="29">
      <c r="A29" s="70"/>
      <c r="B29" s="71"/>
      <c r="C29" s="71"/>
      <c r="D29" s="73"/>
      <c r="E29" s="71"/>
      <c r="F29" s="155"/>
    </row>
    <row r="30">
      <c r="A30" s="70" t="s">
        <v>992</v>
      </c>
      <c r="B30" s="71"/>
      <c r="C30" s="71"/>
      <c r="D30" s="99">
        <v>56.0</v>
      </c>
      <c r="E30" s="71"/>
      <c r="F30" s="155"/>
    </row>
    <row r="31">
      <c r="A31" s="70" t="s">
        <v>1007</v>
      </c>
      <c r="B31" s="8" t="s">
        <v>8</v>
      </c>
      <c r="C31" s="8" t="s">
        <v>12</v>
      </c>
      <c r="D31" s="71"/>
      <c r="E31" s="71"/>
      <c r="F31" s="105" t="s">
        <v>698</v>
      </c>
    </row>
    <row r="32">
      <c r="A32" s="70" t="s">
        <v>1008</v>
      </c>
      <c r="B32" s="8" t="s">
        <v>8</v>
      </c>
      <c r="C32" s="8" t="s">
        <v>40</v>
      </c>
      <c r="D32" s="71"/>
      <c r="E32" s="71"/>
      <c r="F32" s="105" t="s">
        <v>1009</v>
      </c>
    </row>
    <row r="33">
      <c r="A33" s="75" t="s">
        <v>1010</v>
      </c>
      <c r="B33" s="76"/>
      <c r="C33" s="76"/>
      <c r="D33" s="77">
        <f>sum(D27:E32)</f>
        <v>224</v>
      </c>
      <c r="E33" s="76"/>
      <c r="F33" s="156"/>
    </row>
    <row r="34">
      <c r="A34" s="79"/>
      <c r="B34" s="80"/>
      <c r="C34" s="80"/>
      <c r="D34" s="80"/>
      <c r="E34" s="80"/>
      <c r="F34" s="157"/>
    </row>
    <row r="35">
      <c r="A35" s="159"/>
      <c r="F35" s="160"/>
    </row>
    <row r="36">
      <c r="A36" s="161" t="s">
        <v>1011</v>
      </c>
      <c r="B36" s="162"/>
      <c r="C36" s="162"/>
      <c r="D36" s="162"/>
      <c r="E36" s="162"/>
      <c r="F36" s="158"/>
    </row>
    <row r="37">
      <c r="A37" s="70" t="s">
        <v>657</v>
      </c>
      <c r="B37" s="8" t="s">
        <v>54</v>
      </c>
      <c r="C37" s="8" t="s">
        <v>12</v>
      </c>
      <c r="D37" s="73">
        <v>88.0</v>
      </c>
      <c r="E37" s="73"/>
      <c r="F37" s="105" t="s">
        <v>601</v>
      </c>
    </row>
    <row r="38">
      <c r="A38" s="70" t="s">
        <v>1012</v>
      </c>
      <c r="B38" s="8" t="s">
        <v>19</v>
      </c>
      <c r="C38" s="8" t="s">
        <v>9</v>
      </c>
      <c r="D38" s="73">
        <v>40.0</v>
      </c>
      <c r="E38" s="73">
        <v>40.0</v>
      </c>
      <c r="F38" s="105" t="s">
        <v>290</v>
      </c>
    </row>
    <row r="39">
      <c r="A39" s="75" t="s">
        <v>1013</v>
      </c>
      <c r="B39" s="76"/>
      <c r="C39" s="76"/>
      <c r="D39" s="77">
        <f>sum(D37:E38)</f>
        <v>168</v>
      </c>
      <c r="E39" s="76"/>
      <c r="F39" s="156"/>
    </row>
    <row r="40">
      <c r="A40" s="79"/>
      <c r="B40" s="80"/>
      <c r="C40" s="80"/>
      <c r="D40" s="80"/>
      <c r="E40" s="80"/>
      <c r="F40" s="157"/>
    </row>
    <row r="41">
      <c r="A41" s="159"/>
      <c r="F41" s="160"/>
    </row>
    <row r="42">
      <c r="A42" s="67" t="s">
        <v>1014</v>
      </c>
      <c r="B42" s="68"/>
      <c r="C42" s="68"/>
      <c r="D42" s="68"/>
      <c r="E42" s="68"/>
      <c r="F42" s="158"/>
    </row>
    <row r="43">
      <c r="A43" s="70" t="s">
        <v>1015</v>
      </c>
      <c r="B43" s="8" t="s">
        <v>54</v>
      </c>
      <c r="C43" s="8" t="s">
        <v>16</v>
      </c>
      <c r="D43" s="73">
        <v>88.0</v>
      </c>
      <c r="E43" s="73"/>
      <c r="F43" s="105" t="s">
        <v>674</v>
      </c>
    </row>
    <row r="44">
      <c r="A44" s="70" t="s">
        <v>1016</v>
      </c>
      <c r="B44" s="8" t="s">
        <v>19</v>
      </c>
      <c r="C44" s="8" t="s">
        <v>20</v>
      </c>
      <c r="D44" s="73">
        <v>40.0</v>
      </c>
      <c r="E44" s="73">
        <v>40.0</v>
      </c>
      <c r="F44" s="105" t="s">
        <v>322</v>
      </c>
    </row>
    <row r="45">
      <c r="A45" s="75" t="s">
        <v>1017</v>
      </c>
      <c r="B45" s="76"/>
      <c r="C45" s="76"/>
      <c r="D45" s="77">
        <f>sum(D43:E44)</f>
        <v>168</v>
      </c>
      <c r="E45" s="76"/>
      <c r="F45" s="156"/>
    </row>
    <row r="46">
      <c r="A46" s="79"/>
      <c r="B46" s="80"/>
      <c r="C46" s="80"/>
      <c r="D46" s="80"/>
      <c r="E46" s="80"/>
      <c r="F46" s="157"/>
    </row>
    <row r="47">
      <c r="A47" s="159"/>
      <c r="F47" s="160"/>
    </row>
    <row r="48">
      <c r="A48" s="161" t="s">
        <v>1018</v>
      </c>
      <c r="B48" s="68"/>
      <c r="C48" s="68"/>
      <c r="D48" s="68"/>
      <c r="E48" s="68"/>
      <c r="F48" s="158"/>
    </row>
    <row r="49">
      <c r="A49" s="70" t="s">
        <v>1019</v>
      </c>
      <c r="B49" s="8" t="s">
        <v>8</v>
      </c>
      <c r="C49" s="8" t="s">
        <v>16</v>
      </c>
      <c r="D49" s="73">
        <v>96.0</v>
      </c>
      <c r="E49" s="73"/>
      <c r="F49" s="105" t="s">
        <v>995</v>
      </c>
    </row>
    <row r="50">
      <c r="A50" s="70" t="s">
        <v>1020</v>
      </c>
      <c r="B50" s="8" t="s">
        <v>141</v>
      </c>
      <c r="C50" s="8" t="s">
        <v>40</v>
      </c>
      <c r="D50" s="73">
        <v>64.0</v>
      </c>
      <c r="E50" s="73">
        <v>56.0</v>
      </c>
      <c r="F50" s="105" t="s">
        <v>698</v>
      </c>
    </row>
    <row r="51">
      <c r="A51" s="70"/>
      <c r="B51" s="71"/>
      <c r="C51" s="71"/>
      <c r="D51" s="73"/>
      <c r="E51" s="71"/>
      <c r="F51" s="155"/>
    </row>
    <row r="52">
      <c r="A52" s="70" t="s">
        <v>992</v>
      </c>
      <c r="B52" s="71"/>
      <c r="C52" s="71"/>
      <c r="D52" s="99">
        <v>64.0</v>
      </c>
      <c r="E52" s="71"/>
      <c r="F52" s="155"/>
    </row>
    <row r="53">
      <c r="A53" s="70" t="s">
        <v>1021</v>
      </c>
      <c r="B53" s="8" t="s">
        <v>8</v>
      </c>
      <c r="C53" s="8" t="s">
        <v>12</v>
      </c>
      <c r="D53" s="71"/>
      <c r="E53" s="71"/>
      <c r="F53" s="105" t="s">
        <v>558</v>
      </c>
    </row>
    <row r="54">
      <c r="A54" s="70" t="s">
        <v>1022</v>
      </c>
      <c r="B54" s="8" t="s">
        <v>54</v>
      </c>
      <c r="C54" s="8" t="s">
        <v>16</v>
      </c>
      <c r="D54" s="71"/>
      <c r="E54" s="71"/>
      <c r="F54" s="105" t="s">
        <v>606</v>
      </c>
    </row>
    <row r="55">
      <c r="A55" s="70" t="s">
        <v>1023</v>
      </c>
      <c r="B55" s="8" t="s">
        <v>96</v>
      </c>
      <c r="C55" s="8" t="s">
        <v>9</v>
      </c>
      <c r="D55" s="71"/>
      <c r="E55" s="71"/>
      <c r="F55" s="105" t="s">
        <v>560</v>
      </c>
    </row>
    <row r="56">
      <c r="A56" s="75" t="s">
        <v>1024</v>
      </c>
      <c r="B56" s="76"/>
      <c r="C56" s="76"/>
      <c r="D56" s="77">
        <f>sum(D49:E55)</f>
        <v>280</v>
      </c>
      <c r="E56" s="76"/>
      <c r="F56" s="156"/>
    </row>
    <row r="57">
      <c r="A57" s="79"/>
      <c r="B57" s="80"/>
      <c r="C57" s="80"/>
      <c r="D57" s="80"/>
      <c r="E57" s="80"/>
      <c r="F57" s="157"/>
    </row>
    <row r="58">
      <c r="A58" s="159"/>
      <c r="F58" s="160"/>
    </row>
    <row r="59">
      <c r="A59" s="67" t="s">
        <v>1025</v>
      </c>
      <c r="B59" s="68"/>
      <c r="C59" s="68"/>
      <c r="D59" s="68"/>
      <c r="E59" s="68"/>
      <c r="F59" s="158"/>
    </row>
    <row r="60">
      <c r="A60" s="70" t="s">
        <v>1026</v>
      </c>
      <c r="B60" s="8" t="s">
        <v>8</v>
      </c>
      <c r="C60" s="8" t="s">
        <v>40</v>
      </c>
      <c r="D60" s="73">
        <v>96.0</v>
      </c>
      <c r="E60" s="73"/>
      <c r="F60" s="105" t="s">
        <v>698</v>
      </c>
    </row>
    <row r="61">
      <c r="A61" s="70" t="s">
        <v>1027</v>
      </c>
      <c r="B61" s="8" t="s">
        <v>141</v>
      </c>
      <c r="C61" s="8" t="s">
        <v>16</v>
      </c>
      <c r="D61" s="73">
        <v>64.0</v>
      </c>
      <c r="E61" s="73">
        <v>56.0</v>
      </c>
      <c r="F61" s="105" t="s">
        <v>698</v>
      </c>
    </row>
    <row r="62">
      <c r="A62" s="70"/>
      <c r="B62" s="71"/>
      <c r="C62" s="71"/>
      <c r="D62" s="73"/>
      <c r="E62" s="71"/>
      <c r="F62" s="155"/>
    </row>
    <row r="63">
      <c r="A63" s="70" t="s">
        <v>992</v>
      </c>
      <c r="B63" s="71"/>
      <c r="C63" s="71"/>
      <c r="D63" s="99">
        <v>64.0</v>
      </c>
      <c r="E63" s="71"/>
      <c r="F63" s="155"/>
    </row>
    <row r="64">
      <c r="A64" s="70" t="s">
        <v>1028</v>
      </c>
      <c r="B64" s="8" t="s">
        <v>54</v>
      </c>
      <c r="C64" s="8" t="s">
        <v>9</v>
      </c>
      <c r="D64" s="71"/>
      <c r="E64" s="71"/>
      <c r="F64" s="105" t="s">
        <v>606</v>
      </c>
    </row>
    <row r="65">
      <c r="A65" s="70" t="s">
        <v>1029</v>
      </c>
      <c r="B65" s="8" t="s">
        <v>8</v>
      </c>
      <c r="C65" s="8" t="s">
        <v>16</v>
      </c>
      <c r="D65" s="71"/>
      <c r="E65" s="71"/>
      <c r="F65" s="105" t="s">
        <v>1030</v>
      </c>
    </row>
    <row r="66">
      <c r="A66" s="70" t="s">
        <v>1031</v>
      </c>
      <c r="B66" s="8" t="s">
        <v>8</v>
      </c>
      <c r="C66" s="8" t="s">
        <v>12</v>
      </c>
      <c r="D66" s="71"/>
      <c r="E66" s="71"/>
      <c r="F66" s="105" t="s">
        <v>698</v>
      </c>
    </row>
    <row r="67">
      <c r="A67" s="75" t="s">
        <v>1032</v>
      </c>
      <c r="B67" s="76"/>
      <c r="C67" s="76"/>
      <c r="D67" s="77">
        <f>sum(D60:E66)</f>
        <v>280</v>
      </c>
      <c r="E67" s="76"/>
      <c r="F67" s="156"/>
    </row>
    <row r="68">
      <c r="A68" s="79"/>
      <c r="B68" s="80"/>
      <c r="C68" s="80"/>
      <c r="D68" s="80"/>
      <c r="E68" s="80"/>
      <c r="F68" s="157"/>
    </row>
    <row r="69">
      <c r="A69" s="159"/>
      <c r="F69" s="160"/>
    </row>
    <row r="70">
      <c r="A70" s="67" t="s">
        <v>1033</v>
      </c>
      <c r="B70" s="68"/>
      <c r="C70" s="68"/>
      <c r="D70" s="68"/>
      <c r="E70" s="68"/>
      <c r="F70" s="158"/>
    </row>
    <row r="71">
      <c r="A71" s="70" t="s">
        <v>1034</v>
      </c>
      <c r="B71" s="8" t="s">
        <v>8</v>
      </c>
      <c r="C71" s="8" t="s">
        <v>20</v>
      </c>
      <c r="D71" s="73">
        <v>96.0</v>
      </c>
      <c r="E71" s="73"/>
      <c r="F71" s="105" t="s">
        <v>995</v>
      </c>
    </row>
    <row r="72">
      <c r="A72" s="70" t="s">
        <v>1035</v>
      </c>
      <c r="B72" s="8" t="s">
        <v>15</v>
      </c>
      <c r="C72" s="8" t="s">
        <v>40</v>
      </c>
      <c r="D72" s="73">
        <v>72.0</v>
      </c>
      <c r="E72" s="73">
        <v>56.0</v>
      </c>
      <c r="F72" s="105" t="s">
        <v>1036</v>
      </c>
    </row>
    <row r="73">
      <c r="A73" s="75" t="s">
        <v>1037</v>
      </c>
      <c r="B73" s="76"/>
      <c r="C73" s="76"/>
      <c r="D73" s="77">
        <f>sum(D71:E72)</f>
        <v>224</v>
      </c>
      <c r="E73" s="76"/>
      <c r="F73" s="78"/>
    </row>
    <row r="74">
      <c r="A74" s="79"/>
      <c r="B74" s="80"/>
      <c r="C74" s="80"/>
      <c r="D74" s="80"/>
      <c r="E74" s="80"/>
      <c r="F74" s="81"/>
    </row>
    <row r="75">
      <c r="A75" s="159"/>
      <c r="F75" s="160"/>
    </row>
    <row r="76">
      <c r="A76" s="67" t="s">
        <v>1038</v>
      </c>
      <c r="B76" s="68"/>
      <c r="C76" s="68"/>
      <c r="D76" s="68"/>
      <c r="E76" s="68"/>
      <c r="F76" s="158"/>
    </row>
    <row r="77">
      <c r="A77" s="70" t="s">
        <v>1034</v>
      </c>
      <c r="B77" s="8" t="s">
        <v>8</v>
      </c>
      <c r="C77" s="8" t="s">
        <v>20</v>
      </c>
      <c r="D77" s="73">
        <v>96.0</v>
      </c>
      <c r="E77" s="73"/>
      <c r="F77" s="105" t="s">
        <v>995</v>
      </c>
    </row>
    <row r="78">
      <c r="A78" s="70" t="s">
        <v>1039</v>
      </c>
      <c r="B78" s="8" t="s">
        <v>15</v>
      </c>
      <c r="C78" s="8" t="s">
        <v>40</v>
      </c>
      <c r="D78" s="73">
        <v>72.0</v>
      </c>
      <c r="E78" s="73">
        <v>56.0</v>
      </c>
      <c r="F78" s="105" t="s">
        <v>1040</v>
      </c>
    </row>
    <row r="79">
      <c r="A79" s="75" t="s">
        <v>1041</v>
      </c>
      <c r="B79" s="76"/>
      <c r="C79" s="76"/>
      <c r="D79" s="77">
        <f>sum(D77:E78)</f>
        <v>224</v>
      </c>
      <c r="E79" s="76"/>
      <c r="F79" s="156"/>
    </row>
    <row r="80">
      <c r="A80" s="79"/>
      <c r="B80" s="80"/>
      <c r="C80" s="80"/>
      <c r="D80" s="80"/>
      <c r="E80" s="80"/>
      <c r="F80" s="157"/>
    </row>
    <row r="81">
      <c r="A81" s="159"/>
      <c r="F81" s="160"/>
    </row>
    <row r="82">
      <c r="A82" s="163"/>
      <c r="B82" s="164" t="s">
        <v>989</v>
      </c>
      <c r="F82" s="160"/>
    </row>
    <row r="83">
      <c r="A83" s="7" t="str">
        <f>A16</f>
        <v>Photonic Communicator (Angel)</v>
      </c>
      <c r="B83" s="6">
        <f>D23+D13</f>
        <v>246</v>
      </c>
      <c r="F83" s="160"/>
    </row>
    <row r="84">
      <c r="A84" s="7" t="str">
        <f>A26</f>
        <v>Prismatic Armor (Mecha)</v>
      </c>
      <c r="B84" s="6">
        <f>D33+D13</f>
        <v>246</v>
      </c>
      <c r="F84" s="160"/>
    </row>
    <row r="85">
      <c r="A85" s="7" t="str">
        <f>A36</f>
        <v>Auto-reload Device (Demon)</v>
      </c>
      <c r="B85" s="6">
        <f>D39+D13</f>
        <v>190</v>
      </c>
      <c r="F85" s="160"/>
    </row>
    <row r="86">
      <c r="A86" s="7" t="str">
        <f>A42</f>
        <v>Biochemical MOD Module (Zombie)</v>
      </c>
      <c r="B86" s="6">
        <f>D45+D13</f>
        <v>190</v>
      </c>
      <c r="F86" s="160"/>
    </row>
    <row r="87">
      <c r="A87" s="7" t="str">
        <f>A48</f>
        <v>Anti-gravity Device (Mecha)</v>
      </c>
      <c r="B87" s="6">
        <f>D56+D13</f>
        <v>302</v>
      </c>
      <c r="F87" s="160"/>
    </row>
    <row r="88">
      <c r="A88" s="7" t="str">
        <f>A59</f>
        <v>Dark Matter Reactor (Zombie)</v>
      </c>
      <c r="B88" s="6">
        <f>D67+D13</f>
        <v>302</v>
      </c>
      <c r="F88" s="160"/>
    </row>
    <row r="89">
      <c r="A89" s="7" t="str">
        <f>A70</f>
        <v>Steel Hall (All)</v>
      </c>
      <c r="B89" s="6">
        <f>D73+D13</f>
        <v>246</v>
      </c>
      <c r="F89" s="160"/>
    </row>
    <row r="90">
      <c r="A90" s="22" t="str">
        <f>A76</f>
        <v>Silence Hall (All)</v>
      </c>
      <c r="B90" s="26">
        <f>D79+D13</f>
        <v>246</v>
      </c>
      <c r="C90" s="165"/>
      <c r="D90" s="165"/>
      <c r="E90" s="165"/>
      <c r="F90" s="166"/>
    </row>
    <row r="96">
      <c r="A96" s="67" t="s">
        <v>1042</v>
      </c>
      <c r="B96" s="124"/>
      <c r="C96" s="124"/>
      <c r="D96" s="167"/>
      <c r="E96" s="167"/>
      <c r="F96" s="158"/>
    </row>
    <row r="97">
      <c r="A97" s="70"/>
      <c r="B97" s="71"/>
      <c r="C97" s="71"/>
      <c r="D97" s="73"/>
      <c r="E97" s="71"/>
      <c r="F97" s="155"/>
    </row>
    <row r="98">
      <c r="A98" s="70" t="s">
        <v>992</v>
      </c>
      <c r="B98" s="71"/>
      <c r="C98" s="71"/>
      <c r="D98" s="99">
        <v>10.0</v>
      </c>
      <c r="E98" s="71"/>
      <c r="F98" s="155"/>
    </row>
    <row r="99">
      <c r="A99" s="70" t="s">
        <v>993</v>
      </c>
      <c r="B99" s="8" t="s">
        <v>8</v>
      </c>
      <c r="C99" s="99"/>
      <c r="D99" s="71"/>
      <c r="E99" s="71"/>
      <c r="F99" s="105" t="s">
        <v>785</v>
      </c>
    </row>
    <row r="100">
      <c r="A100" s="70" t="s">
        <v>1043</v>
      </c>
      <c r="B100" s="8" t="s">
        <v>8</v>
      </c>
      <c r="C100" s="8" t="s">
        <v>20</v>
      </c>
      <c r="D100" s="71"/>
      <c r="E100" s="71"/>
      <c r="F100" s="105" t="s">
        <v>995</v>
      </c>
    </row>
    <row r="101">
      <c r="A101" s="70" t="s">
        <v>1044</v>
      </c>
      <c r="B101" s="8" t="s">
        <v>8</v>
      </c>
      <c r="C101" s="8" t="s">
        <v>16</v>
      </c>
      <c r="D101" s="71"/>
      <c r="E101" s="71"/>
      <c r="F101" s="105" t="s">
        <v>995</v>
      </c>
    </row>
    <row r="102">
      <c r="A102" s="70" t="s">
        <v>1045</v>
      </c>
      <c r="B102" s="8" t="s">
        <v>8</v>
      </c>
      <c r="C102" s="8" t="s">
        <v>9</v>
      </c>
      <c r="D102" s="71"/>
      <c r="E102" s="71"/>
      <c r="F102" s="105" t="s">
        <v>698</v>
      </c>
    </row>
    <row r="103">
      <c r="A103" s="70" t="s">
        <v>1046</v>
      </c>
      <c r="B103" s="8" t="s">
        <v>8</v>
      </c>
      <c r="C103" s="8" t="s">
        <v>40</v>
      </c>
      <c r="D103" s="71"/>
      <c r="E103" s="71"/>
      <c r="F103" s="105" t="s">
        <v>698</v>
      </c>
    </row>
    <row r="104">
      <c r="A104" s="75" t="s">
        <v>1047</v>
      </c>
      <c r="B104" s="76"/>
      <c r="C104" s="76"/>
      <c r="D104" s="77">
        <f>sum(D97:E103)</f>
        <v>10</v>
      </c>
      <c r="E104" s="76"/>
      <c r="F104" s="156"/>
    </row>
    <row r="105">
      <c r="A105" s="79"/>
      <c r="B105" s="80"/>
      <c r="C105" s="80"/>
      <c r="D105" s="80"/>
      <c r="E105" s="80"/>
      <c r="F105" s="157"/>
    </row>
    <row r="106">
      <c r="A106" s="106"/>
      <c r="B106" s="104"/>
      <c r="C106" s="104"/>
      <c r="D106" s="104"/>
      <c r="E106" s="104"/>
      <c r="F106" s="157"/>
    </row>
    <row r="107">
      <c r="A107" s="161" t="s">
        <v>1048</v>
      </c>
      <c r="B107" s="68"/>
      <c r="C107" s="68"/>
      <c r="D107" s="68"/>
      <c r="E107" s="68"/>
      <c r="F107" s="158"/>
    </row>
    <row r="108">
      <c r="A108" s="70" t="s">
        <v>1049</v>
      </c>
      <c r="B108" s="8" t="s">
        <v>54</v>
      </c>
      <c r="C108" s="8" t="s">
        <v>40</v>
      </c>
      <c r="D108" s="73">
        <v>88.0</v>
      </c>
      <c r="E108" s="73"/>
      <c r="F108" s="105" t="s">
        <v>601</v>
      </c>
    </row>
    <row r="109">
      <c r="A109" s="70" t="s">
        <v>1050</v>
      </c>
      <c r="B109" s="8" t="s">
        <v>19</v>
      </c>
      <c r="C109" s="8" t="s">
        <v>40</v>
      </c>
      <c r="D109" s="73">
        <v>40.0</v>
      </c>
      <c r="E109" s="73">
        <v>40.0</v>
      </c>
      <c r="F109" s="105" t="s">
        <v>290</v>
      </c>
    </row>
    <row r="110">
      <c r="A110" s="70"/>
      <c r="B110" s="71"/>
      <c r="C110" s="71"/>
      <c r="D110" s="73"/>
      <c r="E110" s="71"/>
      <c r="F110" s="155"/>
    </row>
    <row r="111">
      <c r="A111" s="70" t="s">
        <v>992</v>
      </c>
      <c r="B111" s="71"/>
      <c r="C111" s="71"/>
      <c r="D111" s="99">
        <v>56.0</v>
      </c>
      <c r="E111" s="71"/>
      <c r="F111" s="155"/>
    </row>
    <row r="112">
      <c r="A112" s="70" t="s">
        <v>996</v>
      </c>
      <c r="B112" s="8" t="s">
        <v>8</v>
      </c>
      <c r="C112" s="8" t="s">
        <v>40</v>
      </c>
      <c r="D112" s="71"/>
      <c r="E112" s="71"/>
      <c r="F112" s="105" t="s">
        <v>698</v>
      </c>
    </row>
    <row r="113">
      <c r="A113" s="70" t="s">
        <v>1051</v>
      </c>
      <c r="B113" s="8" t="s">
        <v>54</v>
      </c>
      <c r="C113" s="8" t="s">
        <v>40</v>
      </c>
      <c r="D113" s="71"/>
      <c r="E113" s="71"/>
      <c r="F113" s="105" t="s">
        <v>606</v>
      </c>
    </row>
    <row r="114">
      <c r="A114" s="75" t="s">
        <v>1052</v>
      </c>
      <c r="B114" s="76"/>
      <c r="C114" s="76"/>
      <c r="D114" s="77">
        <f>sum(D108:E113)</f>
        <v>224</v>
      </c>
      <c r="E114" s="76"/>
      <c r="F114" s="156"/>
    </row>
    <row r="115">
      <c r="A115" s="79"/>
      <c r="B115" s="80"/>
      <c r="C115" s="80"/>
      <c r="D115" s="80"/>
      <c r="E115" s="80"/>
      <c r="F115" s="157"/>
    </row>
    <row r="116">
      <c r="A116" s="159"/>
      <c r="F116" s="160"/>
    </row>
    <row r="117">
      <c r="A117" s="168" t="s">
        <v>1053</v>
      </c>
      <c r="B117" s="162"/>
      <c r="C117" s="162"/>
      <c r="D117" s="162"/>
      <c r="E117" s="162"/>
      <c r="F117" s="158"/>
    </row>
    <row r="118">
      <c r="A118" s="70" t="s">
        <v>1054</v>
      </c>
      <c r="B118" s="8" t="s">
        <v>54</v>
      </c>
      <c r="C118" s="8" t="s">
        <v>9</v>
      </c>
      <c r="D118" s="73">
        <v>88.0</v>
      </c>
      <c r="E118" s="73"/>
      <c r="F118" s="105" t="s">
        <v>674</v>
      </c>
    </row>
    <row r="119">
      <c r="A119" s="70" t="s">
        <v>1055</v>
      </c>
      <c r="B119" s="8" t="s">
        <v>19</v>
      </c>
      <c r="C119" s="8" t="s">
        <v>16</v>
      </c>
      <c r="D119" s="73">
        <v>40.0</v>
      </c>
      <c r="E119" s="73">
        <v>40.0</v>
      </c>
      <c r="F119" s="105" t="s">
        <v>290</v>
      </c>
    </row>
    <row r="120">
      <c r="A120" s="70"/>
      <c r="B120" s="71"/>
      <c r="C120" s="71"/>
      <c r="D120" s="73"/>
      <c r="E120" s="71"/>
      <c r="F120" s="155"/>
    </row>
    <row r="121">
      <c r="A121" s="70" t="s">
        <v>992</v>
      </c>
      <c r="B121" s="71"/>
      <c r="C121" s="71"/>
      <c r="D121" s="99">
        <v>56.0</v>
      </c>
      <c r="E121" s="71"/>
      <c r="F121" s="155"/>
    </row>
    <row r="122">
      <c r="A122" s="70" t="s">
        <v>1056</v>
      </c>
      <c r="B122" s="8" t="s">
        <v>96</v>
      </c>
      <c r="C122" s="8" t="s">
        <v>12</v>
      </c>
      <c r="D122" s="71"/>
      <c r="E122" s="71"/>
      <c r="F122" s="105" t="s">
        <v>560</v>
      </c>
    </row>
    <row r="123">
      <c r="A123" s="70" t="s">
        <v>1057</v>
      </c>
      <c r="B123" s="8" t="s">
        <v>54</v>
      </c>
      <c r="C123" s="8" t="s">
        <v>9</v>
      </c>
      <c r="D123" s="71"/>
      <c r="E123" s="71"/>
      <c r="F123" s="105" t="s">
        <v>674</v>
      </c>
    </row>
    <row r="124">
      <c r="A124" s="75" t="s">
        <v>1058</v>
      </c>
      <c r="B124" s="76"/>
      <c r="C124" s="76"/>
      <c r="D124" s="77">
        <f>sum(D118:E123)</f>
        <v>224</v>
      </c>
      <c r="E124" s="76"/>
      <c r="F124" s="156"/>
    </row>
    <row r="125">
      <c r="A125" s="79"/>
      <c r="B125" s="80"/>
      <c r="C125" s="80"/>
      <c r="D125" s="80"/>
      <c r="E125" s="80"/>
      <c r="F125" s="157"/>
    </row>
    <row r="126">
      <c r="A126" s="159"/>
      <c r="F126" s="160"/>
    </row>
    <row r="127">
      <c r="A127" s="161" t="s">
        <v>1059</v>
      </c>
      <c r="B127" s="162"/>
      <c r="C127" s="162"/>
      <c r="D127" s="162"/>
      <c r="E127" s="162"/>
      <c r="F127" s="158"/>
    </row>
    <row r="128">
      <c r="A128" s="70" t="s">
        <v>1060</v>
      </c>
      <c r="B128" s="8" t="s">
        <v>54</v>
      </c>
      <c r="C128" s="8" t="s">
        <v>40</v>
      </c>
      <c r="D128" s="73">
        <v>88.0</v>
      </c>
      <c r="E128" s="73"/>
      <c r="F128" s="105" t="s">
        <v>674</v>
      </c>
    </row>
    <row r="129">
      <c r="A129" s="70" t="s">
        <v>1061</v>
      </c>
      <c r="B129" s="8" t="s">
        <v>19</v>
      </c>
      <c r="C129" s="8" t="s">
        <v>9</v>
      </c>
      <c r="D129" s="73">
        <v>40.0</v>
      </c>
      <c r="E129" s="73">
        <v>40.0</v>
      </c>
      <c r="F129" s="105" t="s">
        <v>290</v>
      </c>
    </row>
    <row r="130">
      <c r="A130" s="75" t="s">
        <v>1062</v>
      </c>
      <c r="B130" s="76"/>
      <c r="C130" s="76"/>
      <c r="D130" s="77">
        <f>sum(D128:E129)</f>
        <v>168</v>
      </c>
      <c r="E130" s="76"/>
      <c r="F130" s="156"/>
    </row>
    <row r="131">
      <c r="A131" s="79"/>
      <c r="B131" s="80"/>
      <c r="C131" s="80"/>
      <c r="D131" s="80"/>
      <c r="E131" s="80"/>
      <c r="F131" s="157"/>
    </row>
    <row r="132">
      <c r="A132" s="159"/>
      <c r="F132" s="160"/>
    </row>
    <row r="133">
      <c r="A133" s="161" t="s">
        <v>1063</v>
      </c>
      <c r="B133" s="68"/>
      <c r="C133" s="68"/>
      <c r="D133" s="68"/>
      <c r="E133" s="68"/>
      <c r="F133" s="158"/>
    </row>
    <row r="134">
      <c r="A134" s="70" t="s">
        <v>1064</v>
      </c>
      <c r="B134" s="8" t="s">
        <v>54</v>
      </c>
      <c r="C134" s="8" t="s">
        <v>9</v>
      </c>
      <c r="D134" s="73">
        <v>88.0</v>
      </c>
      <c r="E134" s="73"/>
      <c r="F134" s="105" t="s">
        <v>618</v>
      </c>
    </row>
    <row r="135">
      <c r="A135" s="70" t="s">
        <v>1065</v>
      </c>
      <c r="B135" s="8" t="s">
        <v>19</v>
      </c>
      <c r="C135" s="8" t="s">
        <v>16</v>
      </c>
      <c r="D135" s="73">
        <v>40.0</v>
      </c>
      <c r="E135" s="73">
        <v>40.0</v>
      </c>
      <c r="F135" s="105" t="s">
        <v>322</v>
      </c>
    </row>
    <row r="136">
      <c r="A136" s="75" t="s">
        <v>1066</v>
      </c>
      <c r="B136" s="76"/>
      <c r="C136" s="76"/>
      <c r="D136" s="77">
        <f>sum(D134:E135)</f>
        <v>168</v>
      </c>
      <c r="E136" s="76"/>
      <c r="F136" s="78"/>
    </row>
    <row r="137">
      <c r="A137" s="79"/>
      <c r="B137" s="80"/>
      <c r="C137" s="80"/>
      <c r="D137" s="80"/>
      <c r="E137" s="80"/>
      <c r="F137" s="81"/>
    </row>
    <row r="138">
      <c r="A138" s="159"/>
      <c r="F138" s="160"/>
    </row>
    <row r="139">
      <c r="A139" s="161" t="s">
        <v>1067</v>
      </c>
      <c r="B139" s="68"/>
      <c r="C139" s="68"/>
      <c r="D139" s="68"/>
      <c r="E139" s="68"/>
      <c r="F139" s="69"/>
    </row>
    <row r="140">
      <c r="A140" s="70" t="s">
        <v>1068</v>
      </c>
      <c r="B140" s="8" t="s">
        <v>8</v>
      </c>
      <c r="C140" s="8" t="s">
        <v>20</v>
      </c>
      <c r="D140" s="73">
        <v>96.0</v>
      </c>
      <c r="E140" s="73"/>
      <c r="F140" s="74" t="s">
        <v>1069</v>
      </c>
    </row>
    <row r="141">
      <c r="A141" s="70" t="s">
        <v>1070</v>
      </c>
      <c r="B141" s="8" t="s">
        <v>141</v>
      </c>
      <c r="C141" s="8" t="s">
        <v>20</v>
      </c>
      <c r="D141" s="73">
        <v>64.0</v>
      </c>
      <c r="E141" s="73">
        <v>56.0</v>
      </c>
      <c r="F141" s="105" t="s">
        <v>698</v>
      </c>
    </row>
    <row r="142">
      <c r="A142" s="70"/>
      <c r="B142" s="71"/>
      <c r="C142" s="71"/>
      <c r="D142" s="73"/>
      <c r="E142" s="71"/>
      <c r="F142" s="72"/>
    </row>
    <row r="143">
      <c r="A143" s="70" t="s">
        <v>992</v>
      </c>
      <c r="B143" s="71"/>
      <c r="C143" s="71"/>
      <c r="D143" s="99">
        <v>64.0</v>
      </c>
      <c r="E143" s="71"/>
      <c r="F143" s="72"/>
    </row>
    <row r="144">
      <c r="A144" s="70" t="s">
        <v>1071</v>
      </c>
      <c r="B144" s="8" t="s">
        <v>8</v>
      </c>
      <c r="C144" s="8" t="s">
        <v>9</v>
      </c>
      <c r="D144" s="71"/>
      <c r="E144" s="71"/>
      <c r="F144" s="74" t="s">
        <v>558</v>
      </c>
    </row>
    <row r="145">
      <c r="A145" s="70" t="s">
        <v>1072</v>
      </c>
      <c r="B145" s="8" t="s">
        <v>8</v>
      </c>
      <c r="C145" s="8"/>
      <c r="D145" s="71"/>
      <c r="E145" s="71"/>
      <c r="F145" s="109" t="s">
        <v>1073</v>
      </c>
    </row>
    <row r="146">
      <c r="A146" s="70" t="s">
        <v>1074</v>
      </c>
      <c r="B146" s="8" t="s">
        <v>8</v>
      </c>
      <c r="C146" s="8" t="s">
        <v>9</v>
      </c>
      <c r="D146" s="71"/>
      <c r="E146" s="71"/>
      <c r="F146" s="105" t="s">
        <v>558</v>
      </c>
    </row>
    <row r="147">
      <c r="A147" s="75" t="s">
        <v>1075</v>
      </c>
      <c r="B147" s="76"/>
      <c r="C147" s="76"/>
      <c r="D147" s="77">
        <f>sum(D140:E146)</f>
        <v>280</v>
      </c>
      <c r="E147" s="76"/>
      <c r="F147" s="78"/>
    </row>
    <row r="148">
      <c r="A148" s="79"/>
      <c r="B148" s="80"/>
      <c r="C148" s="80"/>
      <c r="D148" s="80"/>
      <c r="E148" s="80"/>
      <c r="F148" s="81"/>
    </row>
    <row r="149">
      <c r="A149" s="159"/>
      <c r="F149" s="160"/>
    </row>
    <row r="150">
      <c r="A150" s="67" t="s">
        <v>1076</v>
      </c>
      <c r="B150" s="68"/>
      <c r="C150" s="68"/>
      <c r="D150" s="68"/>
      <c r="E150" s="68"/>
      <c r="F150" s="69"/>
    </row>
    <row r="151">
      <c r="A151" s="70" t="s">
        <v>1077</v>
      </c>
      <c r="B151" s="8" t="s">
        <v>8</v>
      </c>
      <c r="C151" s="8" t="s">
        <v>40</v>
      </c>
      <c r="D151" s="73">
        <v>96.0</v>
      </c>
      <c r="E151" s="73"/>
      <c r="F151" s="105" t="s">
        <v>995</v>
      </c>
    </row>
    <row r="152">
      <c r="A152" s="70" t="s">
        <v>1078</v>
      </c>
      <c r="B152" s="8" t="s">
        <v>141</v>
      </c>
      <c r="C152" s="8" t="s">
        <v>40</v>
      </c>
      <c r="D152" s="73">
        <v>64.0</v>
      </c>
      <c r="E152" s="73">
        <v>56.0</v>
      </c>
      <c r="F152" s="105" t="s">
        <v>813</v>
      </c>
    </row>
    <row r="153">
      <c r="A153" s="70"/>
      <c r="B153" s="71"/>
      <c r="C153" s="71"/>
      <c r="D153" s="73"/>
      <c r="E153" s="71"/>
      <c r="F153" s="72"/>
    </row>
    <row r="154">
      <c r="A154" s="70" t="s">
        <v>992</v>
      </c>
      <c r="B154" s="71"/>
      <c r="C154" s="71"/>
      <c r="D154" s="99">
        <v>64.0</v>
      </c>
      <c r="E154" s="71"/>
      <c r="F154" s="72"/>
    </row>
    <row r="155">
      <c r="A155" s="70" t="s">
        <v>1079</v>
      </c>
      <c r="B155" s="8" t="s">
        <v>8</v>
      </c>
      <c r="C155" s="8" t="s">
        <v>16</v>
      </c>
      <c r="D155" s="71"/>
      <c r="E155" s="71"/>
      <c r="F155" s="105" t="s">
        <v>770</v>
      </c>
    </row>
    <row r="156">
      <c r="A156" s="70" t="s">
        <v>1080</v>
      </c>
      <c r="B156" s="8" t="s">
        <v>8</v>
      </c>
      <c r="C156" s="8" t="s">
        <v>9</v>
      </c>
      <c r="D156" s="71"/>
      <c r="E156" s="71"/>
      <c r="F156" s="105" t="s">
        <v>1081</v>
      </c>
    </row>
    <row r="157">
      <c r="A157" s="70" t="s">
        <v>1082</v>
      </c>
      <c r="B157" s="8" t="s">
        <v>8</v>
      </c>
      <c r="C157" s="8" t="s">
        <v>20</v>
      </c>
      <c r="D157" s="71"/>
      <c r="E157" s="71"/>
      <c r="F157" s="105" t="s">
        <v>426</v>
      </c>
    </row>
    <row r="158">
      <c r="A158" s="75" t="s">
        <v>1083</v>
      </c>
      <c r="B158" s="76"/>
      <c r="C158" s="76"/>
      <c r="D158" s="77">
        <f>sum(D151:E157)</f>
        <v>280</v>
      </c>
      <c r="E158" s="76"/>
      <c r="F158" s="78"/>
    </row>
    <row r="159">
      <c r="A159" s="79"/>
      <c r="B159" s="80"/>
      <c r="C159" s="80"/>
      <c r="D159" s="80"/>
      <c r="E159" s="80"/>
      <c r="F159" s="81"/>
    </row>
    <row r="160">
      <c r="A160" s="159"/>
      <c r="F160" s="160"/>
    </row>
    <row r="161">
      <c r="A161" s="67" t="s">
        <v>1084</v>
      </c>
      <c r="B161" s="68"/>
      <c r="C161" s="68"/>
      <c r="D161" s="68"/>
      <c r="E161" s="68"/>
      <c r="F161" s="69"/>
    </row>
    <row r="162">
      <c r="A162" s="70" t="s">
        <v>1085</v>
      </c>
      <c r="B162" s="8" t="s">
        <v>8</v>
      </c>
      <c r="C162" s="8" t="s">
        <v>12</v>
      </c>
      <c r="D162" s="73">
        <v>96.0</v>
      </c>
      <c r="E162" s="73"/>
      <c r="F162" s="105" t="s">
        <v>698</v>
      </c>
    </row>
    <row r="163">
      <c r="A163" s="70" t="s">
        <v>1086</v>
      </c>
      <c r="B163" s="8" t="s">
        <v>15</v>
      </c>
      <c r="C163" s="8" t="s">
        <v>40</v>
      </c>
      <c r="D163" s="73">
        <v>72.0</v>
      </c>
      <c r="E163" s="73">
        <v>56.0</v>
      </c>
      <c r="F163" s="105" t="s">
        <v>1087</v>
      </c>
    </row>
    <row r="164">
      <c r="A164" s="75" t="s">
        <v>1088</v>
      </c>
      <c r="B164" s="76"/>
      <c r="C164" s="76"/>
      <c r="D164" s="77">
        <f>sum(D162:E163)</f>
        <v>224</v>
      </c>
      <c r="E164" s="76"/>
      <c r="F164" s="156"/>
    </row>
    <row r="165">
      <c r="A165" s="79"/>
      <c r="B165" s="80"/>
      <c r="C165" s="80"/>
      <c r="D165" s="80"/>
      <c r="E165" s="80"/>
      <c r="F165" s="157"/>
    </row>
    <row r="166">
      <c r="A166" s="159"/>
      <c r="F166" s="160"/>
    </row>
    <row r="167">
      <c r="A167" s="67" t="s">
        <v>1089</v>
      </c>
      <c r="B167" s="68"/>
      <c r="C167" s="68"/>
      <c r="D167" s="68"/>
      <c r="E167" s="68"/>
      <c r="F167" s="158"/>
    </row>
    <row r="168">
      <c r="A168" s="70" t="s">
        <v>1090</v>
      </c>
      <c r="B168" s="8" t="s">
        <v>8</v>
      </c>
      <c r="C168" s="8" t="s">
        <v>20</v>
      </c>
      <c r="D168" s="73">
        <v>96.0</v>
      </c>
      <c r="E168" s="73"/>
      <c r="F168" s="105" t="s">
        <v>670</v>
      </c>
    </row>
    <row r="169">
      <c r="A169" s="70" t="s">
        <v>1091</v>
      </c>
      <c r="B169" s="8" t="s">
        <v>15</v>
      </c>
      <c r="C169" s="8" t="s">
        <v>9</v>
      </c>
      <c r="D169" s="73">
        <v>72.0</v>
      </c>
      <c r="E169" s="73">
        <v>56.0</v>
      </c>
      <c r="F169" s="105" t="s">
        <v>1036</v>
      </c>
    </row>
    <row r="170">
      <c r="A170" s="75" t="s">
        <v>1092</v>
      </c>
      <c r="B170" s="76"/>
      <c r="C170" s="76"/>
      <c r="D170" s="77">
        <f>sum(D168:E169)</f>
        <v>224</v>
      </c>
      <c r="E170" s="76"/>
      <c r="F170" s="78"/>
    </row>
    <row r="171">
      <c r="A171" s="79"/>
      <c r="B171" s="80"/>
      <c r="C171" s="80"/>
      <c r="D171" s="80"/>
      <c r="E171" s="80"/>
      <c r="F171" s="81"/>
    </row>
    <row r="172">
      <c r="A172" s="159"/>
      <c r="F172" s="160"/>
    </row>
    <row r="173">
      <c r="A173" s="163"/>
      <c r="B173" s="164" t="s">
        <v>989</v>
      </c>
      <c r="F173" s="160"/>
    </row>
    <row r="174">
      <c r="A174" s="7" t="str">
        <f>A107</f>
        <v>Particle Accelerator (Demon)</v>
      </c>
      <c r="B174" s="6">
        <f>D114+D104</f>
        <v>234</v>
      </c>
      <c r="F174" s="160"/>
    </row>
    <row r="175">
      <c r="A175" s="7" t="str">
        <f>A117</f>
        <v>Assist System (Dragon)</v>
      </c>
      <c r="B175" s="6">
        <f>D124+D104</f>
        <v>234</v>
      </c>
      <c r="F175" s="160"/>
    </row>
    <row r="176">
      <c r="A176" s="7" t="str">
        <f>A127</f>
        <v>Orbit Assimilator (Mecha)</v>
      </c>
      <c r="B176" s="6">
        <f>D130+D104</f>
        <v>178</v>
      </c>
      <c r="F176" s="160"/>
    </row>
    <row r="177">
      <c r="A177" s="7" t="str">
        <f>A133</f>
        <v>Gravity Propeller (Mutant)</v>
      </c>
      <c r="B177" s="6">
        <f>D136+D104</f>
        <v>178</v>
      </c>
      <c r="F177" s="160"/>
    </row>
    <row r="178">
      <c r="A178" s="7" t="str">
        <f>A139</f>
        <v>Demon God Matrix (Demon)</v>
      </c>
      <c r="B178" s="6">
        <f>D147+D104</f>
        <v>290</v>
      </c>
      <c r="F178" s="160"/>
    </row>
    <row r="179">
      <c r="A179" s="7" t="str">
        <f>A150</f>
        <v>Curvature Engine (Dragon)</v>
      </c>
      <c r="B179" s="6">
        <f>D158+D104</f>
        <v>290</v>
      </c>
      <c r="F179" s="160"/>
    </row>
    <row r="180">
      <c r="A180" s="7" t="str">
        <f>A161</f>
        <v>Apocalypse Hall (All)</v>
      </c>
      <c r="B180" s="6">
        <f>D164+D104</f>
        <v>234</v>
      </c>
      <c r="F180" s="160"/>
    </row>
    <row r="181">
      <c r="A181" s="22" t="str">
        <f>A167</f>
        <v>Eternal Hall (All)</v>
      </c>
      <c r="B181" s="26">
        <f>D170+D104</f>
        <v>234</v>
      </c>
      <c r="C181" s="165"/>
      <c r="D181" s="165"/>
      <c r="E181" s="165"/>
      <c r="F181" s="166"/>
    </row>
    <row r="187">
      <c r="A187" s="67" t="s">
        <v>1093</v>
      </c>
      <c r="B187" s="124"/>
      <c r="C187" s="124"/>
      <c r="D187" s="167"/>
      <c r="E187" s="167"/>
      <c r="F187" s="169"/>
    </row>
    <row r="188">
      <c r="A188" s="70" t="s">
        <v>1094</v>
      </c>
      <c r="B188" s="8" t="s">
        <v>8</v>
      </c>
      <c r="C188" s="8" t="s">
        <v>40</v>
      </c>
      <c r="D188" s="73">
        <v>12.0</v>
      </c>
      <c r="E188" s="73"/>
      <c r="F188" s="105" t="s">
        <v>1095</v>
      </c>
    </row>
    <row r="189">
      <c r="A189" s="70"/>
      <c r="B189" s="71"/>
      <c r="C189" s="71"/>
      <c r="D189" s="73"/>
      <c r="E189" s="71"/>
      <c r="F189" s="155"/>
    </row>
    <row r="190">
      <c r="A190" s="70" t="s">
        <v>992</v>
      </c>
      <c r="B190" s="71"/>
      <c r="C190" s="71"/>
      <c r="D190" s="99">
        <v>10.0</v>
      </c>
      <c r="E190" s="71"/>
      <c r="F190" s="155"/>
    </row>
    <row r="191">
      <c r="A191" s="70" t="s">
        <v>993</v>
      </c>
      <c r="B191" s="8" t="s">
        <v>8</v>
      </c>
      <c r="C191" s="99"/>
      <c r="D191" s="71"/>
      <c r="E191" s="71"/>
      <c r="F191" s="105" t="s">
        <v>785</v>
      </c>
    </row>
    <row r="192">
      <c r="A192" s="70" t="s">
        <v>1096</v>
      </c>
      <c r="B192" s="8" t="s">
        <v>8</v>
      </c>
      <c r="C192" s="8" t="s">
        <v>20</v>
      </c>
      <c r="D192" s="71"/>
      <c r="E192" s="71"/>
      <c r="F192" s="105" t="s">
        <v>698</v>
      </c>
    </row>
    <row r="193">
      <c r="A193" s="70" t="s">
        <v>1097</v>
      </c>
      <c r="B193" s="8" t="s">
        <v>8</v>
      </c>
      <c r="C193" s="8" t="s">
        <v>16</v>
      </c>
      <c r="D193" s="71"/>
      <c r="E193" s="71"/>
      <c r="F193" s="105" t="s">
        <v>908</v>
      </c>
    </row>
    <row r="194">
      <c r="A194" s="70" t="s">
        <v>1098</v>
      </c>
      <c r="B194" s="8" t="s">
        <v>8</v>
      </c>
      <c r="C194" s="8" t="s">
        <v>9</v>
      </c>
      <c r="D194" s="71"/>
      <c r="E194" s="71"/>
      <c r="F194" s="105" t="s">
        <v>698</v>
      </c>
    </row>
    <row r="195">
      <c r="A195" s="70" t="s">
        <v>1099</v>
      </c>
      <c r="B195" s="8" t="s">
        <v>8</v>
      </c>
      <c r="C195" s="8" t="s">
        <v>12</v>
      </c>
      <c r="D195" s="71"/>
      <c r="E195" s="71"/>
      <c r="F195" s="105" t="s">
        <v>1100</v>
      </c>
    </row>
    <row r="196">
      <c r="A196" s="75" t="s">
        <v>1101</v>
      </c>
      <c r="B196" s="76"/>
      <c r="C196" s="76"/>
      <c r="D196" s="77">
        <f>sum(D188:E195)</f>
        <v>22</v>
      </c>
      <c r="E196" s="76"/>
      <c r="F196" s="156"/>
    </row>
    <row r="197">
      <c r="A197" s="79"/>
      <c r="B197" s="80"/>
      <c r="C197" s="80"/>
      <c r="D197" s="80"/>
      <c r="E197" s="80"/>
      <c r="F197" s="157"/>
    </row>
    <row r="198">
      <c r="A198" s="106"/>
      <c r="B198" s="104"/>
      <c r="C198" s="104"/>
      <c r="D198" s="104"/>
      <c r="E198" s="104"/>
      <c r="F198" s="157"/>
    </row>
    <row r="199">
      <c r="A199" s="168" t="s">
        <v>1102</v>
      </c>
      <c r="B199" s="68"/>
      <c r="C199" s="68"/>
      <c r="D199" s="68"/>
      <c r="E199" s="68"/>
      <c r="F199" s="158"/>
    </row>
    <row r="200">
      <c r="A200" s="70" t="s">
        <v>713</v>
      </c>
      <c r="B200" s="8" t="s">
        <v>54</v>
      </c>
      <c r="C200" s="8" t="s">
        <v>16</v>
      </c>
      <c r="D200" s="73">
        <v>88.0</v>
      </c>
      <c r="E200" s="73"/>
      <c r="F200" s="105" t="s">
        <v>674</v>
      </c>
    </row>
    <row r="201">
      <c r="A201" s="70" t="s">
        <v>1103</v>
      </c>
      <c r="B201" s="8" t="s">
        <v>19</v>
      </c>
      <c r="C201" s="8" t="s">
        <v>20</v>
      </c>
      <c r="D201" s="73">
        <v>40.0</v>
      </c>
      <c r="E201" s="73">
        <v>40.0</v>
      </c>
      <c r="F201" s="105" t="s">
        <v>290</v>
      </c>
    </row>
    <row r="202">
      <c r="A202" s="75" t="s">
        <v>1104</v>
      </c>
      <c r="B202" s="76"/>
      <c r="C202" s="76"/>
      <c r="D202" s="77">
        <f>sum(D200:E201)</f>
        <v>168</v>
      </c>
      <c r="E202" s="76"/>
      <c r="F202" s="156"/>
    </row>
    <row r="203">
      <c r="A203" s="79"/>
      <c r="B203" s="80"/>
      <c r="C203" s="80"/>
      <c r="D203" s="80"/>
      <c r="E203" s="80"/>
      <c r="F203" s="157"/>
    </row>
    <row r="204">
      <c r="A204" s="159"/>
      <c r="F204" s="160"/>
    </row>
    <row r="205">
      <c r="A205" s="161" t="s">
        <v>1105</v>
      </c>
      <c r="B205" s="162"/>
      <c r="C205" s="162"/>
      <c r="D205" s="162"/>
      <c r="E205" s="162"/>
      <c r="F205" s="158"/>
    </row>
    <row r="206">
      <c r="A206" s="70" t="s">
        <v>1049</v>
      </c>
      <c r="B206" s="8" t="s">
        <v>54</v>
      </c>
      <c r="C206" s="8" t="s">
        <v>40</v>
      </c>
      <c r="D206" s="73">
        <v>88.0</v>
      </c>
      <c r="E206" s="73"/>
      <c r="F206" s="105" t="s">
        <v>601</v>
      </c>
    </row>
    <row r="207">
      <c r="A207" s="70" t="s">
        <v>1106</v>
      </c>
      <c r="B207" s="8" t="s">
        <v>19</v>
      </c>
      <c r="C207" s="8" t="s">
        <v>40</v>
      </c>
      <c r="D207" s="73">
        <v>40.0</v>
      </c>
      <c r="E207" s="73">
        <v>40.0</v>
      </c>
      <c r="F207" s="105" t="s">
        <v>290</v>
      </c>
    </row>
    <row r="208">
      <c r="A208" s="70"/>
      <c r="B208" s="71"/>
      <c r="C208" s="71"/>
      <c r="D208" s="73"/>
      <c r="E208" s="71"/>
      <c r="F208" s="72"/>
    </row>
    <row r="209">
      <c r="A209" s="70" t="s">
        <v>992</v>
      </c>
      <c r="B209" s="71"/>
      <c r="C209" s="71"/>
      <c r="D209" s="99">
        <v>56.0</v>
      </c>
      <c r="E209" s="71"/>
      <c r="F209" s="72"/>
    </row>
    <row r="210">
      <c r="A210" s="70" t="s">
        <v>1107</v>
      </c>
      <c r="B210" s="8" t="s">
        <v>54</v>
      </c>
      <c r="C210" s="8" t="s">
        <v>20</v>
      </c>
      <c r="D210" s="71"/>
      <c r="E210" s="71"/>
      <c r="F210" s="105" t="s">
        <v>601</v>
      </c>
    </row>
    <row r="211">
      <c r="A211" s="70" t="s">
        <v>1108</v>
      </c>
      <c r="B211" s="8" t="s">
        <v>8</v>
      </c>
      <c r="C211" s="8" t="s">
        <v>20</v>
      </c>
      <c r="D211" s="71"/>
      <c r="E211" s="71"/>
      <c r="F211" s="105" t="s">
        <v>1069</v>
      </c>
    </row>
    <row r="212">
      <c r="A212" s="75" t="s">
        <v>1109</v>
      </c>
      <c r="B212" s="76"/>
      <c r="C212" s="76"/>
      <c r="D212" s="77">
        <f>sum(D206:E211)</f>
        <v>224</v>
      </c>
      <c r="E212" s="76"/>
      <c r="F212" s="156"/>
    </row>
    <row r="213">
      <c r="A213" s="79"/>
      <c r="B213" s="80"/>
      <c r="C213" s="80"/>
      <c r="D213" s="80"/>
      <c r="E213" s="80"/>
      <c r="F213" s="157"/>
    </row>
    <row r="214">
      <c r="A214" s="159"/>
      <c r="F214" s="160"/>
    </row>
    <row r="215">
      <c r="A215" s="168" t="s">
        <v>1110</v>
      </c>
      <c r="B215" s="162"/>
      <c r="C215" s="162"/>
      <c r="D215" s="162"/>
      <c r="E215" s="162"/>
      <c r="F215" s="158"/>
    </row>
    <row r="216">
      <c r="A216" s="70" t="s">
        <v>660</v>
      </c>
      <c r="B216" s="8" t="s">
        <v>54</v>
      </c>
      <c r="C216" s="8" t="s">
        <v>40</v>
      </c>
      <c r="D216" s="73">
        <v>88.0</v>
      </c>
      <c r="E216" s="73"/>
      <c r="F216" s="105" t="s">
        <v>618</v>
      </c>
    </row>
    <row r="217">
      <c r="A217" s="70" t="s">
        <v>1111</v>
      </c>
      <c r="B217" s="8" t="s">
        <v>19</v>
      </c>
      <c r="C217" s="8" t="s">
        <v>40</v>
      </c>
      <c r="D217" s="73">
        <v>40.0</v>
      </c>
      <c r="E217" s="73">
        <v>40.0</v>
      </c>
      <c r="F217" s="105" t="s">
        <v>290</v>
      </c>
    </row>
    <row r="218">
      <c r="A218" s="70"/>
      <c r="B218" s="71"/>
      <c r="C218" s="71"/>
      <c r="D218" s="73"/>
      <c r="E218" s="71"/>
      <c r="F218" s="155"/>
    </row>
    <row r="219">
      <c r="A219" s="70" t="s">
        <v>992</v>
      </c>
      <c r="B219" s="71"/>
      <c r="C219" s="71"/>
      <c r="D219" s="99">
        <v>56.0</v>
      </c>
      <c r="E219" s="71"/>
      <c r="F219" s="155"/>
    </row>
    <row r="220">
      <c r="A220" s="70" t="s">
        <v>1112</v>
      </c>
      <c r="B220" s="8" t="s">
        <v>96</v>
      </c>
      <c r="C220" s="8" t="s">
        <v>40</v>
      </c>
      <c r="D220" s="71"/>
      <c r="E220" s="71"/>
      <c r="F220" s="105" t="s">
        <v>560</v>
      </c>
    </row>
    <row r="221">
      <c r="A221" s="70" t="s">
        <v>1113</v>
      </c>
      <c r="B221" s="8" t="s">
        <v>54</v>
      </c>
      <c r="C221" s="8" t="s">
        <v>40</v>
      </c>
      <c r="D221" s="71"/>
      <c r="E221" s="71"/>
      <c r="F221" s="105" t="s">
        <v>674</v>
      </c>
    </row>
    <row r="222">
      <c r="A222" s="75" t="s">
        <v>1114</v>
      </c>
      <c r="B222" s="76"/>
      <c r="C222" s="76"/>
      <c r="D222" s="77">
        <f>sum(D216:E221)</f>
        <v>224</v>
      </c>
      <c r="E222" s="76"/>
      <c r="F222" s="156"/>
    </row>
    <row r="223">
      <c r="A223" s="79"/>
      <c r="B223" s="80"/>
      <c r="C223" s="80"/>
      <c r="D223" s="80"/>
      <c r="E223" s="80"/>
      <c r="F223" s="157"/>
    </row>
    <row r="224">
      <c r="A224" s="159"/>
      <c r="F224" s="160"/>
    </row>
    <row r="225">
      <c r="A225" s="168" t="s">
        <v>1115</v>
      </c>
      <c r="B225" s="68"/>
      <c r="C225" s="68"/>
      <c r="D225" s="68"/>
      <c r="E225" s="68"/>
      <c r="F225" s="158"/>
    </row>
    <row r="226">
      <c r="A226" s="70" t="s">
        <v>825</v>
      </c>
      <c r="B226" s="8" t="s">
        <v>54</v>
      </c>
      <c r="C226" s="8" t="s">
        <v>20</v>
      </c>
      <c r="D226" s="73">
        <v>88.0</v>
      </c>
      <c r="E226" s="73"/>
      <c r="F226" s="105" t="s">
        <v>674</v>
      </c>
    </row>
    <row r="227">
      <c r="A227" s="70" t="s">
        <v>1116</v>
      </c>
      <c r="B227" s="8" t="s">
        <v>19</v>
      </c>
      <c r="C227" s="8" t="s">
        <v>20</v>
      </c>
      <c r="D227" s="73">
        <v>40.0</v>
      </c>
      <c r="E227" s="73">
        <v>40.0</v>
      </c>
      <c r="F227" s="105" t="s">
        <v>1117</v>
      </c>
    </row>
    <row r="228">
      <c r="A228" s="75" t="s">
        <v>1118</v>
      </c>
      <c r="B228" s="76"/>
      <c r="C228" s="76"/>
      <c r="D228" s="77">
        <f>sum(D226:E227)</f>
        <v>168</v>
      </c>
      <c r="E228" s="76"/>
      <c r="F228" s="78"/>
    </row>
    <row r="229">
      <c r="A229" s="79"/>
      <c r="B229" s="80"/>
      <c r="C229" s="80"/>
      <c r="D229" s="80"/>
      <c r="E229" s="80"/>
      <c r="F229" s="81"/>
    </row>
    <row r="230">
      <c r="A230" s="159"/>
      <c r="F230" s="160"/>
    </row>
    <row r="231">
      <c r="A231" s="168" t="s">
        <v>1119</v>
      </c>
      <c r="B231" s="68"/>
      <c r="C231" s="68"/>
      <c r="D231" s="68"/>
      <c r="E231" s="68"/>
      <c r="F231" s="69"/>
    </row>
    <row r="232">
      <c r="A232" s="70" t="s">
        <v>1120</v>
      </c>
      <c r="B232" s="8" t="s">
        <v>8</v>
      </c>
      <c r="C232" s="8" t="s">
        <v>16</v>
      </c>
      <c r="D232" s="73">
        <v>96.0</v>
      </c>
      <c r="E232" s="73"/>
      <c r="F232" s="105" t="s">
        <v>667</v>
      </c>
    </row>
    <row r="233">
      <c r="A233" s="70" t="s">
        <v>1121</v>
      </c>
      <c r="B233" s="8" t="s">
        <v>141</v>
      </c>
      <c r="C233" s="8" t="s">
        <v>9</v>
      </c>
      <c r="D233" s="73">
        <v>64.0</v>
      </c>
      <c r="E233" s="73">
        <v>56.0</v>
      </c>
      <c r="F233" s="105" t="s">
        <v>698</v>
      </c>
    </row>
    <row r="234">
      <c r="A234" s="70"/>
      <c r="B234" s="71"/>
      <c r="C234" s="71"/>
      <c r="D234" s="73"/>
      <c r="E234" s="71"/>
      <c r="F234" s="155"/>
    </row>
    <row r="235">
      <c r="A235" s="70" t="s">
        <v>992</v>
      </c>
      <c r="B235" s="71"/>
      <c r="C235" s="71"/>
      <c r="D235" s="99">
        <v>64.0</v>
      </c>
      <c r="E235" s="71"/>
      <c r="F235" s="155"/>
    </row>
    <row r="236">
      <c r="A236" s="70" t="s">
        <v>1122</v>
      </c>
      <c r="B236" s="8" t="s">
        <v>54</v>
      </c>
      <c r="C236" s="8" t="s">
        <v>16</v>
      </c>
      <c r="D236" s="71"/>
      <c r="E236" s="71"/>
      <c r="F236" s="105" t="s">
        <v>601</v>
      </c>
    </row>
    <row r="237">
      <c r="A237" s="70" t="s">
        <v>1051</v>
      </c>
      <c r="B237" s="8" t="s">
        <v>54</v>
      </c>
      <c r="C237" s="8" t="s">
        <v>40</v>
      </c>
      <c r="D237" s="71"/>
      <c r="E237" s="71"/>
      <c r="F237" s="105" t="s">
        <v>606</v>
      </c>
    </row>
    <row r="238">
      <c r="A238" s="70" t="s">
        <v>1123</v>
      </c>
      <c r="B238" s="8" t="s">
        <v>8</v>
      </c>
      <c r="C238" s="8" t="s">
        <v>12</v>
      </c>
      <c r="D238" s="71"/>
      <c r="E238" s="71"/>
      <c r="F238" s="105" t="s">
        <v>558</v>
      </c>
    </row>
    <row r="239">
      <c r="A239" s="75" t="s">
        <v>1124</v>
      </c>
      <c r="B239" s="76"/>
      <c r="C239" s="76"/>
      <c r="D239" s="77">
        <f>sum(D232:E238)</f>
        <v>280</v>
      </c>
      <c r="E239" s="76"/>
      <c r="F239" s="78"/>
    </row>
    <row r="240">
      <c r="A240" s="79"/>
      <c r="B240" s="80"/>
      <c r="C240" s="80"/>
      <c r="D240" s="80"/>
      <c r="E240" s="80"/>
      <c r="F240" s="81"/>
    </row>
    <row r="241">
      <c r="A241" s="159"/>
      <c r="F241" s="160"/>
    </row>
    <row r="242">
      <c r="A242" s="161" t="s">
        <v>1125</v>
      </c>
      <c r="B242" s="68"/>
      <c r="C242" s="68"/>
      <c r="D242" s="68"/>
      <c r="E242" s="68"/>
      <c r="F242" s="69"/>
    </row>
    <row r="243">
      <c r="A243" s="70" t="s">
        <v>1126</v>
      </c>
      <c r="B243" s="8" t="s">
        <v>8</v>
      </c>
      <c r="C243" s="8" t="s">
        <v>12</v>
      </c>
      <c r="D243" s="73">
        <v>96.0</v>
      </c>
      <c r="E243" s="73"/>
      <c r="F243" s="145" t="s">
        <v>813</v>
      </c>
    </row>
    <row r="244">
      <c r="A244" s="70" t="s">
        <v>1127</v>
      </c>
      <c r="B244" s="8" t="s">
        <v>141</v>
      </c>
      <c r="C244" s="8" t="s">
        <v>12</v>
      </c>
      <c r="D244" s="73">
        <v>64.0</v>
      </c>
      <c r="E244" s="73">
        <v>56.0</v>
      </c>
      <c r="F244" s="105" t="s">
        <v>698</v>
      </c>
    </row>
    <row r="245">
      <c r="A245" s="70"/>
      <c r="B245" s="71"/>
      <c r="C245" s="71"/>
      <c r="D245" s="73"/>
      <c r="E245" s="71"/>
      <c r="F245" s="72"/>
    </row>
    <row r="246">
      <c r="A246" s="70" t="s">
        <v>992</v>
      </c>
      <c r="B246" s="71"/>
      <c r="C246" s="71"/>
      <c r="D246" s="99">
        <v>64.0</v>
      </c>
      <c r="E246" s="71"/>
      <c r="F246" s="72"/>
    </row>
    <row r="247">
      <c r="A247" s="70" t="s">
        <v>1128</v>
      </c>
      <c r="B247" s="8" t="s">
        <v>8</v>
      </c>
      <c r="C247" s="8" t="s">
        <v>20</v>
      </c>
      <c r="D247" s="71"/>
      <c r="E247" s="71"/>
      <c r="F247" s="105" t="s">
        <v>558</v>
      </c>
    </row>
    <row r="248">
      <c r="A248" s="70" t="s">
        <v>1129</v>
      </c>
      <c r="B248" s="8" t="s">
        <v>8</v>
      </c>
      <c r="C248" s="8" t="s">
        <v>20</v>
      </c>
      <c r="D248" s="71"/>
      <c r="E248" s="71"/>
      <c r="F248" s="105" t="s">
        <v>823</v>
      </c>
    </row>
    <row r="249">
      <c r="A249" s="70" t="s">
        <v>1130</v>
      </c>
      <c r="B249" s="8" t="s">
        <v>8</v>
      </c>
      <c r="C249" s="8" t="s">
        <v>9</v>
      </c>
      <c r="D249" s="71"/>
      <c r="E249" s="71"/>
      <c r="F249" s="105" t="s">
        <v>599</v>
      </c>
    </row>
    <row r="250">
      <c r="A250" s="75" t="s">
        <v>1131</v>
      </c>
      <c r="B250" s="76"/>
      <c r="C250" s="76"/>
      <c r="D250" s="77">
        <f>sum(D243:E249)</f>
        <v>280</v>
      </c>
      <c r="E250" s="76"/>
      <c r="F250" s="78"/>
    </row>
    <row r="251">
      <c r="A251" s="79"/>
      <c r="B251" s="80"/>
      <c r="C251" s="80"/>
      <c r="D251" s="80"/>
      <c r="E251" s="80"/>
      <c r="F251" s="81"/>
    </row>
    <row r="252">
      <c r="A252" s="159"/>
      <c r="F252" s="160"/>
    </row>
    <row r="253">
      <c r="A253" s="67" t="s">
        <v>1132</v>
      </c>
      <c r="B253" s="68"/>
      <c r="C253" s="68"/>
      <c r="D253" s="68"/>
      <c r="E253" s="68"/>
      <c r="F253" s="69"/>
    </row>
    <row r="254">
      <c r="A254" s="70" t="s">
        <v>1133</v>
      </c>
      <c r="B254" s="8" t="s">
        <v>8</v>
      </c>
      <c r="C254" s="8" t="s">
        <v>20</v>
      </c>
      <c r="D254" s="73">
        <v>96.0</v>
      </c>
      <c r="E254" s="73"/>
      <c r="F254" s="105" t="s">
        <v>698</v>
      </c>
    </row>
    <row r="255">
      <c r="A255" s="70" t="s">
        <v>1134</v>
      </c>
      <c r="B255" s="8" t="s">
        <v>15</v>
      </c>
      <c r="C255" s="8" t="s">
        <v>16</v>
      </c>
      <c r="D255" s="73">
        <v>72.0</v>
      </c>
      <c r="E255" s="73">
        <v>56.0</v>
      </c>
      <c r="F255" s="105" t="s">
        <v>1036</v>
      </c>
    </row>
    <row r="256">
      <c r="A256" s="75" t="s">
        <v>1135</v>
      </c>
      <c r="B256" s="76"/>
      <c r="C256" s="76"/>
      <c r="D256" s="77">
        <f>sum(D254:E255)</f>
        <v>224</v>
      </c>
      <c r="E256" s="76"/>
      <c r="F256" s="156"/>
    </row>
    <row r="257">
      <c r="A257" s="79"/>
      <c r="B257" s="80"/>
      <c r="C257" s="80"/>
      <c r="D257" s="80"/>
      <c r="E257" s="80"/>
      <c r="F257" s="157"/>
    </row>
    <row r="258">
      <c r="A258" s="159"/>
      <c r="F258" s="160"/>
    </row>
    <row r="259">
      <c r="A259" s="67" t="s">
        <v>1136</v>
      </c>
      <c r="B259" s="68"/>
      <c r="C259" s="68"/>
      <c r="D259" s="68"/>
      <c r="E259" s="68"/>
      <c r="F259" s="158"/>
    </row>
    <row r="260">
      <c r="A260" s="70" t="s">
        <v>1133</v>
      </c>
      <c r="B260" s="8" t="s">
        <v>8</v>
      </c>
      <c r="C260" s="8" t="s">
        <v>20</v>
      </c>
      <c r="D260" s="73">
        <v>96.0</v>
      </c>
      <c r="E260" s="73"/>
      <c r="F260" s="105" t="s">
        <v>698</v>
      </c>
    </row>
    <row r="261">
      <c r="A261" s="70" t="s">
        <v>1137</v>
      </c>
      <c r="B261" s="8" t="s">
        <v>15</v>
      </c>
      <c r="C261" s="8" t="s">
        <v>16</v>
      </c>
      <c r="D261" s="73">
        <v>72.0</v>
      </c>
      <c r="E261" s="73">
        <v>56.0</v>
      </c>
      <c r="F261" s="105" t="s">
        <v>1036</v>
      </c>
    </row>
    <row r="262">
      <c r="A262" s="75" t="s">
        <v>1138</v>
      </c>
      <c r="B262" s="76"/>
      <c r="C262" s="76"/>
      <c r="D262" s="77">
        <f>sum(D260:E261)</f>
        <v>224</v>
      </c>
      <c r="E262" s="76"/>
      <c r="F262" s="78"/>
    </row>
    <row r="263">
      <c r="A263" s="79"/>
      <c r="B263" s="80"/>
      <c r="C263" s="80"/>
      <c r="D263" s="80"/>
      <c r="E263" s="80"/>
      <c r="F263" s="81"/>
    </row>
    <row r="264">
      <c r="A264" s="159"/>
      <c r="F264" s="160"/>
    </row>
    <row r="265">
      <c r="A265" s="163"/>
      <c r="B265" s="164" t="s">
        <v>989</v>
      </c>
      <c r="F265" s="160"/>
    </row>
    <row r="266">
      <c r="A266" s="7" t="str">
        <f>A199</f>
        <v>Rainbow Generator (Angel)</v>
      </c>
      <c r="B266" s="6">
        <f>D202+D196</f>
        <v>190</v>
      </c>
      <c r="F266" s="160"/>
    </row>
    <row r="267">
      <c r="A267" s="7" t="str">
        <f>A205</f>
        <v>Gamma Ray (Mutant)</v>
      </c>
      <c r="B267" s="6">
        <f>D212+D196</f>
        <v>246</v>
      </c>
      <c r="F267" s="160"/>
    </row>
    <row r="268">
      <c r="A268" s="7" t="str">
        <f>A215</f>
        <v>EMP (Zombie)</v>
      </c>
      <c r="B268" s="6">
        <f>D222+D196</f>
        <v>246</v>
      </c>
      <c r="F268" s="160"/>
    </row>
    <row r="269">
      <c r="A269" s="7" t="str">
        <f>A225</f>
        <v>Space-sensing Radar (Dragon)</v>
      </c>
      <c r="B269" s="6">
        <f>D228+D196</f>
        <v>190</v>
      </c>
      <c r="F269" s="160"/>
    </row>
    <row r="270">
      <c r="A270" s="7" t="str">
        <f>A231</f>
        <v>Garden of Eden (Angel)</v>
      </c>
      <c r="B270" s="6">
        <f>D239+D196</f>
        <v>302</v>
      </c>
      <c r="F270" s="160"/>
    </row>
    <row r="271">
      <c r="A271" s="7" t="str">
        <f>A242</f>
        <v>Domain Holograph (Mutant)</v>
      </c>
      <c r="B271" s="6">
        <f>D250+D196</f>
        <v>302</v>
      </c>
      <c r="F271" s="160"/>
    </row>
    <row r="272">
      <c r="A272" s="7" t="str">
        <f>A253</f>
        <v>Oracle Hall (All)</v>
      </c>
      <c r="B272" s="6">
        <f>D256+D196</f>
        <v>246</v>
      </c>
      <c r="F272" s="160"/>
    </row>
    <row r="273">
      <c r="A273" s="22" t="str">
        <f>A259</f>
        <v>Revelation Hall (All)</v>
      </c>
      <c r="B273" s="26">
        <f>D262+D196</f>
        <v>246</v>
      </c>
      <c r="C273" s="165"/>
      <c r="D273" s="165"/>
      <c r="E273" s="165"/>
      <c r="F273" s="166"/>
    </row>
  </sheetData>
  <dataValidations>
    <dataValidation type="list" allowBlank="1" showErrorMessage="1" sqref="B5 B8:B12 B17:B18 B21:B22 B27:B28 B31:B32 B37:B38 B43:B44 B49:B50 B53:B55 B60:B61 B64:B66 B71:B72 B77:B78 B99:B103 B108:B109 B112:B113 B118:B119 B122:B123 B128:B129 B134:B135 B140:B141 B144:B146 B151:B152 B155:B157 B162:B163 B168:B169 B188 B191:B195 B200:B201 B206:B207 B210:B211 B216:B217 B220:B221 B226:B227 B232:B233 B236:B238 B243:B244 B247:B249 B254:B255 B260:B261">
      <formula1>"SSS,SS,S,AAA,AA,A,Blue,Green"</formula1>
    </dataValidation>
    <dataValidation type="list" allowBlank="1" showErrorMessage="1" sqref="C2:C5 C9:C12 C17:C18 C21:C22 C27:C28 C31:C32 C37:C38 C43:C44 C49:C50 C53:C55 C60:C61 C64:C66 C71:C72 C77:C78 C96 C100:C103 C108:C109 C112:C113 C118:C119 C122:C123 C128:C129 C134:C135 C140:C141 C144:C146 C151:C152 C155:C157 C162:C163 C168:C169 C187:C188 C192:C195 C200:C201 C206:C207 C210:C211 C216:C217 C220:C221 C226:C227 C232:C233 C236:C238 C243:C244 C247:C249 C254:C255 C260:C261">
      <formula1>"FAME,ART,FTH,CIV,TECH"</formula1>
    </dataValidation>
  </dataValidations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5.73"/>
    <col customWidth="1" min="2" max="2" width="8.09"/>
    <col customWidth="1" min="3" max="3" width="5.91"/>
    <col customWidth="1" min="4" max="4" width="3.55"/>
    <col customWidth="1" min="5" max="5" width="10.27"/>
    <col customWidth="1" min="6" max="6" width="7.27"/>
    <col customWidth="1" min="7" max="7" width="14.09"/>
    <col customWidth="1" min="8" max="8" width="7.18"/>
    <col customWidth="1" min="9" max="9" width="10.91"/>
    <col customWidth="1" min="10" max="10" width="60.91"/>
    <col customWidth="1" min="15" max="15" width="10.09"/>
    <col customWidth="1" min="16" max="16" width="4.64"/>
    <col customWidth="1" min="17" max="17" width="10.64"/>
    <col customWidth="1" min="18" max="18" width="5.18"/>
    <col customWidth="1" min="19" max="19" width="11.73"/>
    <col customWidth="1" min="20" max="20" width="6.27"/>
    <col customWidth="1" min="21" max="21" width="10.73"/>
    <col customWidth="1" min="22" max="22" width="5.27"/>
    <col customWidth="1" min="23" max="23" width="11.82"/>
    <col customWidth="1" min="24" max="24" width="6.45"/>
  </cols>
  <sheetData>
    <row r="1">
      <c r="A1" s="170" t="s">
        <v>1139</v>
      </c>
      <c r="B1" s="171"/>
      <c r="C1" s="171"/>
      <c r="D1" s="171"/>
      <c r="E1" s="171"/>
      <c r="F1" s="171"/>
      <c r="G1" s="171"/>
      <c r="H1" s="171"/>
      <c r="I1" s="171"/>
      <c r="J1" s="172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>
      <c r="A2" s="148" t="s">
        <v>1140</v>
      </c>
      <c r="B2" s="124" t="s">
        <v>1</v>
      </c>
      <c r="C2" s="124" t="s">
        <v>2</v>
      </c>
      <c r="D2" s="124" t="s">
        <v>66</v>
      </c>
      <c r="E2" s="124" t="s">
        <v>1141</v>
      </c>
      <c r="F2" s="124" t="s">
        <v>1142</v>
      </c>
      <c r="G2" s="124" t="s">
        <v>1143</v>
      </c>
      <c r="H2" s="124" t="s">
        <v>1144</v>
      </c>
      <c r="I2" s="124" t="s">
        <v>1145</v>
      </c>
      <c r="J2" s="129" t="s">
        <v>5</v>
      </c>
      <c r="K2" s="134"/>
      <c r="L2" s="134"/>
      <c r="M2" s="134"/>
      <c r="N2" s="173"/>
      <c r="O2" s="174" t="s">
        <v>1146</v>
      </c>
      <c r="P2" s="174" t="s">
        <v>1147</v>
      </c>
      <c r="Q2" s="174" t="s">
        <v>1148</v>
      </c>
      <c r="R2" s="174" t="s">
        <v>1149</v>
      </c>
      <c r="S2" s="174" t="s">
        <v>1150</v>
      </c>
      <c r="T2" s="174" t="s">
        <v>1151</v>
      </c>
      <c r="U2" s="174" t="s">
        <v>1152</v>
      </c>
      <c r="V2" s="174" t="s">
        <v>1153</v>
      </c>
      <c r="W2" s="174" t="s">
        <v>1154</v>
      </c>
      <c r="X2" s="175" t="s">
        <v>1155</v>
      </c>
      <c r="Y2" s="134"/>
      <c r="Z2" s="134"/>
    </row>
    <row r="3">
      <c r="A3" s="176" t="s">
        <v>1156</v>
      </c>
      <c r="B3" s="177" t="s">
        <v>8</v>
      </c>
      <c r="C3" s="177" t="s">
        <v>16</v>
      </c>
      <c r="D3" s="178">
        <v>900.0</v>
      </c>
      <c r="E3" s="178">
        <v>900.0</v>
      </c>
      <c r="F3" s="178"/>
      <c r="G3" s="179"/>
      <c r="H3" s="178">
        <v>60.0</v>
      </c>
      <c r="I3" s="91">
        <f t="shared" ref="I3:I12" si="1">(D3+E3)/H3</f>
        <v>30</v>
      </c>
      <c r="J3" s="137" t="s">
        <v>1030</v>
      </c>
      <c r="K3" s="134"/>
      <c r="L3" s="134"/>
      <c r="M3" s="134"/>
      <c r="N3" s="180" t="s">
        <v>1157</v>
      </c>
      <c r="O3" s="181">
        <f>I37</f>
        <v>219.3333333</v>
      </c>
      <c r="P3" s="140">
        <f>F37</f>
        <v>19.8</v>
      </c>
      <c r="Q3" s="181">
        <f>I91</f>
        <v>31.78333333</v>
      </c>
      <c r="R3" s="140">
        <f>F91</f>
        <v>14.8</v>
      </c>
      <c r="S3" s="140">
        <f>I131</f>
        <v>18.8</v>
      </c>
      <c r="T3" s="140">
        <f>F131</f>
        <v>10.2</v>
      </c>
      <c r="U3" s="181">
        <f>I167</f>
        <v>17.51666667</v>
      </c>
      <c r="V3" s="140">
        <f>F167</f>
        <v>9</v>
      </c>
      <c r="W3" s="181">
        <f>I201</f>
        <v>12.53333333</v>
      </c>
      <c r="X3" s="150">
        <f>F201</f>
        <v>1.2</v>
      </c>
      <c r="Y3" s="134"/>
      <c r="Z3" s="134"/>
    </row>
    <row r="4">
      <c r="A4" s="182" t="s">
        <v>1158</v>
      </c>
      <c r="B4" s="177" t="s">
        <v>15</v>
      </c>
      <c r="C4" s="177" t="s">
        <v>20</v>
      </c>
      <c r="D4" s="183">
        <v>360.0</v>
      </c>
      <c r="E4" s="184">
        <v>280.0</v>
      </c>
      <c r="F4" s="185"/>
      <c r="G4" s="186"/>
      <c r="H4" s="183">
        <v>30.0</v>
      </c>
      <c r="I4" s="187">
        <f t="shared" si="1"/>
        <v>21.33333333</v>
      </c>
      <c r="J4" s="188" t="s">
        <v>633</v>
      </c>
      <c r="K4" s="134"/>
      <c r="L4" s="134"/>
      <c r="M4" s="134"/>
      <c r="N4" s="180" t="s">
        <v>445</v>
      </c>
      <c r="O4" s="140">
        <f>I227</f>
        <v>58.5</v>
      </c>
      <c r="P4" s="140">
        <f>F227</f>
        <v>68</v>
      </c>
      <c r="Q4" s="181">
        <f>I254</f>
        <v>12.51666667</v>
      </c>
      <c r="R4" s="140">
        <f>F254</f>
        <v>60</v>
      </c>
      <c r="S4" s="140">
        <f>I275</f>
        <v>4.7</v>
      </c>
      <c r="T4" s="140">
        <f>F275</f>
        <v>82</v>
      </c>
      <c r="U4" s="181">
        <f>I294</f>
        <v>6.566666667</v>
      </c>
      <c r="V4" s="140">
        <f>F294</f>
        <v>56</v>
      </c>
      <c r="W4" s="181">
        <f>I308</f>
        <v>5.216666667</v>
      </c>
      <c r="X4" s="150">
        <f>F308</f>
        <v>4.8</v>
      </c>
      <c r="Y4" s="134"/>
      <c r="Z4" s="134"/>
    </row>
    <row r="5">
      <c r="A5" s="182" t="s">
        <v>1159</v>
      </c>
      <c r="B5" s="177" t="s">
        <v>8</v>
      </c>
      <c r="C5" s="177" t="s">
        <v>20</v>
      </c>
      <c r="D5" s="183">
        <v>1200.0</v>
      </c>
      <c r="E5" s="184"/>
      <c r="F5" s="185"/>
      <c r="G5" s="186"/>
      <c r="H5" s="183">
        <v>60.0</v>
      </c>
      <c r="I5" s="189">
        <f t="shared" si="1"/>
        <v>20</v>
      </c>
      <c r="J5" s="190" t="s">
        <v>1160</v>
      </c>
      <c r="K5" s="134"/>
      <c r="L5" s="134"/>
      <c r="M5" s="134"/>
      <c r="N5" s="180"/>
      <c r="O5" s="140"/>
      <c r="P5" s="140"/>
      <c r="Q5" s="140"/>
      <c r="R5" s="140"/>
      <c r="S5" s="140"/>
      <c r="T5" s="140"/>
      <c r="U5" s="140"/>
      <c r="V5" s="140"/>
      <c r="W5" s="140"/>
      <c r="X5" s="150"/>
      <c r="Y5" s="134"/>
      <c r="Z5" s="134"/>
    </row>
    <row r="6">
      <c r="A6" s="182" t="s">
        <v>1161</v>
      </c>
      <c r="B6" s="177" t="s">
        <v>15</v>
      </c>
      <c r="C6" s="177" t="s">
        <v>12</v>
      </c>
      <c r="D6" s="183">
        <v>320.0</v>
      </c>
      <c r="E6" s="184">
        <v>280.0</v>
      </c>
      <c r="F6" s="185"/>
      <c r="G6" s="186"/>
      <c r="H6" s="183">
        <v>30.0</v>
      </c>
      <c r="I6" s="189">
        <f t="shared" si="1"/>
        <v>20</v>
      </c>
      <c r="J6" s="188" t="s">
        <v>1162</v>
      </c>
      <c r="K6" s="134"/>
      <c r="L6" s="134"/>
      <c r="M6" s="134"/>
      <c r="N6" s="180" t="s">
        <v>446</v>
      </c>
      <c r="O6" s="181">
        <f>I332</f>
        <v>57.33333333</v>
      </c>
      <c r="P6" s="140">
        <f>F332</f>
        <v>58</v>
      </c>
      <c r="Q6" s="181">
        <f>I358</f>
        <v>12.73333333</v>
      </c>
      <c r="R6" s="140">
        <f>F358</f>
        <v>61</v>
      </c>
      <c r="S6" s="140">
        <f>I380</f>
        <v>5.5</v>
      </c>
      <c r="T6" s="140">
        <f>F380</f>
        <v>85</v>
      </c>
      <c r="U6" s="181">
        <f>I399</f>
        <v>4.933333333</v>
      </c>
      <c r="V6" s="140">
        <f>F399</f>
        <v>56</v>
      </c>
      <c r="W6" s="181">
        <f>I414</f>
        <v>8.216666667</v>
      </c>
      <c r="X6" s="150">
        <f>F414</f>
        <v>4.8</v>
      </c>
      <c r="Y6" s="134"/>
      <c r="Z6" s="134"/>
    </row>
    <row r="7">
      <c r="A7" s="191" t="s">
        <v>749</v>
      </c>
      <c r="B7" s="192" t="s">
        <v>8</v>
      </c>
      <c r="C7" s="192" t="s">
        <v>16</v>
      </c>
      <c r="D7" s="183">
        <v>1600.0</v>
      </c>
      <c r="E7" s="185"/>
      <c r="F7" s="185"/>
      <c r="G7" s="186"/>
      <c r="H7" s="189">
        <v>100.0</v>
      </c>
      <c r="I7" s="189">
        <f t="shared" si="1"/>
        <v>16</v>
      </c>
      <c r="J7" s="193" t="s">
        <v>1163</v>
      </c>
      <c r="K7" s="134"/>
      <c r="L7" s="134"/>
      <c r="M7" s="134"/>
      <c r="N7" s="180" t="s">
        <v>447</v>
      </c>
      <c r="O7" s="181">
        <f>I439</f>
        <v>60</v>
      </c>
      <c r="P7" s="140">
        <f>F439</f>
        <v>69</v>
      </c>
      <c r="Q7" s="181">
        <f>I467</f>
        <v>10.36666667</v>
      </c>
      <c r="R7" s="140">
        <f>F467</f>
        <v>100</v>
      </c>
      <c r="S7" s="181">
        <f>I487</f>
        <v>5.633333333</v>
      </c>
      <c r="T7" s="140">
        <f>F487</f>
        <v>60</v>
      </c>
      <c r="U7" s="181">
        <f>I507</f>
        <v>5.066666667</v>
      </c>
      <c r="V7" s="140">
        <f>F507</f>
        <v>66</v>
      </c>
      <c r="W7" s="181">
        <f>I522</f>
        <v>6.283333333</v>
      </c>
      <c r="X7" s="150">
        <f>F522</f>
        <v>4.8</v>
      </c>
      <c r="Y7" s="134"/>
      <c r="Z7" s="134"/>
    </row>
    <row r="8">
      <c r="A8" s="176" t="s">
        <v>1164</v>
      </c>
      <c r="B8" s="8" t="s">
        <v>8</v>
      </c>
      <c r="C8" s="8" t="s">
        <v>9</v>
      </c>
      <c r="D8" s="194">
        <v>1600.0</v>
      </c>
      <c r="E8" s="178"/>
      <c r="F8" s="195"/>
      <c r="G8" s="179"/>
      <c r="H8" s="194">
        <v>100.0</v>
      </c>
      <c r="I8" s="91">
        <f t="shared" si="1"/>
        <v>16</v>
      </c>
      <c r="J8" s="196" t="s">
        <v>1165</v>
      </c>
      <c r="K8" s="134"/>
      <c r="L8" s="134"/>
      <c r="M8" s="134"/>
      <c r="N8" s="180" t="s">
        <v>448</v>
      </c>
      <c r="O8" s="181">
        <f>I546</f>
        <v>45</v>
      </c>
      <c r="P8" s="140">
        <f>F546</f>
        <v>58</v>
      </c>
      <c r="Q8" s="181">
        <f>I572</f>
        <v>8.866666667</v>
      </c>
      <c r="R8" s="140">
        <f>F572</f>
        <v>81</v>
      </c>
      <c r="S8" s="140">
        <f>I590</f>
        <v>4</v>
      </c>
      <c r="T8" s="140">
        <f>F590</f>
        <v>49</v>
      </c>
      <c r="U8" s="181">
        <f>I610</f>
        <v>3.2</v>
      </c>
      <c r="V8" s="140">
        <f>F610</f>
        <v>69</v>
      </c>
      <c r="W8" s="181">
        <f>I624</f>
        <v>5.216666667</v>
      </c>
      <c r="X8" s="150">
        <f>F624</f>
        <v>4.8</v>
      </c>
      <c r="Y8" s="134"/>
      <c r="Z8" s="134"/>
    </row>
    <row r="9">
      <c r="A9" s="176" t="s">
        <v>975</v>
      </c>
      <c r="B9" s="8" t="s">
        <v>8</v>
      </c>
      <c r="C9" s="8" t="s">
        <v>12</v>
      </c>
      <c r="D9" s="194">
        <v>1600.0</v>
      </c>
      <c r="E9" s="178"/>
      <c r="F9" s="195"/>
      <c r="G9" s="179"/>
      <c r="H9" s="194">
        <v>100.0</v>
      </c>
      <c r="I9" s="91">
        <f t="shared" si="1"/>
        <v>16</v>
      </c>
      <c r="J9" s="196" t="s">
        <v>1166</v>
      </c>
      <c r="K9" s="134"/>
      <c r="L9" s="134"/>
      <c r="M9" s="134"/>
      <c r="N9" s="180" t="s">
        <v>449</v>
      </c>
      <c r="O9" s="181">
        <f>I649</f>
        <v>75.66666667</v>
      </c>
      <c r="P9" s="140">
        <f>F649</f>
        <v>58</v>
      </c>
      <c r="Q9" s="181">
        <f>I675</f>
        <v>16.76666667</v>
      </c>
      <c r="R9" s="140">
        <f>F675</f>
        <v>60</v>
      </c>
      <c r="S9" s="181">
        <f>I697</f>
        <v>7.8</v>
      </c>
      <c r="T9" s="140">
        <f>F697</f>
        <v>84</v>
      </c>
      <c r="U9" s="181">
        <f>I715</f>
        <v>2.933333333</v>
      </c>
      <c r="V9" s="140">
        <f>F610</f>
        <v>69</v>
      </c>
      <c r="W9" s="181">
        <f>I733</f>
        <v>6.883333333</v>
      </c>
      <c r="X9" s="150">
        <f>F733</f>
        <v>4.8</v>
      </c>
      <c r="Y9" s="134"/>
      <c r="Z9" s="134"/>
    </row>
    <row r="10">
      <c r="A10" s="147" t="s">
        <v>1167</v>
      </c>
      <c r="B10" s="8" t="s">
        <v>8</v>
      </c>
      <c r="C10" s="8" t="s">
        <v>20</v>
      </c>
      <c r="D10" s="91">
        <v>900.0</v>
      </c>
      <c r="E10" s="8"/>
      <c r="F10" s="8"/>
      <c r="G10" s="8"/>
      <c r="H10" s="8">
        <v>60.0</v>
      </c>
      <c r="I10" s="91">
        <f t="shared" si="1"/>
        <v>15</v>
      </c>
      <c r="J10" s="137" t="s">
        <v>558</v>
      </c>
      <c r="K10" s="134"/>
      <c r="L10" s="134"/>
      <c r="M10" s="134"/>
      <c r="N10" s="197" t="s">
        <v>450</v>
      </c>
      <c r="O10" s="198">
        <f>I762</f>
        <v>41.33333333</v>
      </c>
      <c r="P10" s="151">
        <f>F762</f>
        <v>60</v>
      </c>
      <c r="Q10" s="198">
        <f>I792</f>
        <v>12.6</v>
      </c>
      <c r="R10" s="151">
        <f>F792</f>
        <v>61</v>
      </c>
      <c r="S10" s="198">
        <f>I819</f>
        <v>7.966666667</v>
      </c>
      <c r="T10" s="151">
        <f>F819</f>
        <v>84</v>
      </c>
      <c r="U10" s="198">
        <f>I842</f>
        <v>7.333333333</v>
      </c>
      <c r="V10" s="151">
        <f>F842</f>
        <v>51</v>
      </c>
      <c r="W10" s="198">
        <f>I867</f>
        <v>7.883333333</v>
      </c>
      <c r="X10" s="199">
        <f>F867</f>
        <v>4.8</v>
      </c>
      <c r="Y10" s="134"/>
      <c r="Z10" s="134"/>
    </row>
    <row r="11">
      <c r="A11" s="176" t="s">
        <v>1168</v>
      </c>
      <c r="B11" s="8" t="s">
        <v>8</v>
      </c>
      <c r="C11" s="8" t="s">
        <v>20</v>
      </c>
      <c r="D11" s="194">
        <v>900.0</v>
      </c>
      <c r="E11" s="179"/>
      <c r="F11" s="194"/>
      <c r="G11" s="178"/>
      <c r="H11" s="8">
        <v>60.0</v>
      </c>
      <c r="I11" s="91">
        <f t="shared" si="1"/>
        <v>15</v>
      </c>
      <c r="J11" s="137" t="s">
        <v>558</v>
      </c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>
      <c r="A12" s="176" t="s">
        <v>903</v>
      </c>
      <c r="B12" s="8" t="s">
        <v>8</v>
      </c>
      <c r="C12" s="8" t="s">
        <v>9</v>
      </c>
      <c r="D12" s="194">
        <v>900.0</v>
      </c>
      <c r="E12" s="179"/>
      <c r="F12" s="194"/>
      <c r="G12" s="178"/>
      <c r="H12" s="8">
        <v>60.0</v>
      </c>
      <c r="I12" s="91">
        <f t="shared" si="1"/>
        <v>15</v>
      </c>
      <c r="J12" s="196" t="s">
        <v>154</v>
      </c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>
      <c r="A13" s="176" t="s">
        <v>1169</v>
      </c>
      <c r="B13" s="8" t="s">
        <v>8</v>
      </c>
      <c r="C13" s="8" t="s">
        <v>40</v>
      </c>
      <c r="D13" s="195"/>
      <c r="E13" s="179"/>
      <c r="F13" s="194">
        <v>2.4</v>
      </c>
      <c r="G13" s="178">
        <v>2.0</v>
      </c>
      <c r="H13" s="179"/>
      <c r="I13" s="200"/>
      <c r="J13" s="137" t="s">
        <v>369</v>
      </c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>
      <c r="A14" s="176" t="s">
        <v>1170</v>
      </c>
      <c r="B14" s="8" t="s">
        <v>8</v>
      </c>
      <c r="C14" s="8" t="s">
        <v>16</v>
      </c>
      <c r="D14" s="195"/>
      <c r="E14" s="179"/>
      <c r="F14" s="194">
        <v>2.4</v>
      </c>
      <c r="G14" s="178">
        <v>2.0</v>
      </c>
      <c r="H14" s="179"/>
      <c r="I14" s="200"/>
      <c r="J14" s="137" t="s">
        <v>811</v>
      </c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>
      <c r="A15" s="176" t="s">
        <v>1171</v>
      </c>
      <c r="B15" s="8" t="s">
        <v>8</v>
      </c>
      <c r="C15" s="8" t="s">
        <v>16</v>
      </c>
      <c r="D15" s="195"/>
      <c r="E15" s="179"/>
      <c r="F15" s="194">
        <v>2.4</v>
      </c>
      <c r="G15" s="178">
        <v>2.0</v>
      </c>
      <c r="H15" s="179"/>
      <c r="I15" s="200"/>
      <c r="J15" s="196" t="s">
        <v>558</v>
      </c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>
      <c r="A16" s="147" t="s">
        <v>1172</v>
      </c>
      <c r="B16" s="8" t="s">
        <v>8</v>
      </c>
      <c r="C16" s="8" t="s">
        <v>16</v>
      </c>
      <c r="D16" s="91"/>
      <c r="E16" s="91"/>
      <c r="F16" s="91">
        <v>2.4</v>
      </c>
      <c r="G16" s="8"/>
      <c r="H16" s="8"/>
      <c r="I16" s="91"/>
      <c r="J16" s="201" t="s">
        <v>813</v>
      </c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>
      <c r="A17" s="147" t="s">
        <v>1173</v>
      </c>
      <c r="B17" s="8" t="s">
        <v>8</v>
      </c>
      <c r="C17" s="8" t="s">
        <v>20</v>
      </c>
      <c r="D17" s="91"/>
      <c r="E17" s="91"/>
      <c r="F17" s="91">
        <v>2.4</v>
      </c>
      <c r="G17" s="8"/>
      <c r="H17" s="8"/>
      <c r="I17" s="91"/>
      <c r="J17" s="137" t="s">
        <v>995</v>
      </c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>
      <c r="A18" s="147"/>
      <c r="B18" s="8"/>
      <c r="C18" s="186"/>
      <c r="D18" s="91"/>
      <c r="E18" s="91"/>
      <c r="F18" s="91"/>
      <c r="G18" s="8"/>
      <c r="H18" s="8"/>
      <c r="I18" s="91"/>
      <c r="J18" s="137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>
      <c r="A19" s="147" t="s">
        <v>992</v>
      </c>
      <c r="B19" s="8"/>
      <c r="C19" s="186"/>
      <c r="D19" s="91">
        <v>630.0</v>
      </c>
      <c r="E19" s="91"/>
      <c r="F19" s="91"/>
      <c r="G19" s="8"/>
      <c r="H19" s="8">
        <v>60.0</v>
      </c>
      <c r="I19" s="91">
        <f>(D19+E19)/H19</f>
        <v>10.5</v>
      </c>
      <c r="J19" s="137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>
      <c r="A20" s="147" t="s">
        <v>1174</v>
      </c>
      <c r="B20" s="8" t="s">
        <v>8</v>
      </c>
      <c r="C20" s="8" t="s">
        <v>12</v>
      </c>
      <c r="D20" s="91"/>
      <c r="E20" s="91"/>
      <c r="F20" s="91"/>
      <c r="G20" s="8"/>
      <c r="H20" s="87"/>
      <c r="I20" s="87"/>
      <c r="J20" s="137" t="s">
        <v>698</v>
      </c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>
      <c r="A21" s="147" t="s">
        <v>1175</v>
      </c>
      <c r="B21" s="8" t="s">
        <v>8</v>
      </c>
      <c r="C21" s="8" t="s">
        <v>12</v>
      </c>
      <c r="D21" s="91"/>
      <c r="E21" s="91"/>
      <c r="F21" s="91"/>
      <c r="G21" s="8"/>
      <c r="H21" s="87"/>
      <c r="I21" s="87"/>
      <c r="J21" s="137" t="s">
        <v>209</v>
      </c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>
      <c r="A22" s="147" t="s">
        <v>992</v>
      </c>
      <c r="B22" s="8"/>
      <c r="C22" s="186"/>
      <c r="D22" s="91">
        <v>630.0</v>
      </c>
      <c r="E22" s="91"/>
      <c r="F22" s="91"/>
      <c r="G22" s="8"/>
      <c r="H22" s="8">
        <v>60.0</v>
      </c>
      <c r="I22" s="91">
        <f>(D22+E22)/H22</f>
        <v>10.5</v>
      </c>
      <c r="J22" s="137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>
      <c r="A23" s="147" t="s">
        <v>1176</v>
      </c>
      <c r="B23" s="8" t="s">
        <v>54</v>
      </c>
      <c r="C23" s="8" t="s">
        <v>9</v>
      </c>
      <c r="D23" s="91"/>
      <c r="E23" s="91"/>
      <c r="F23" s="91"/>
      <c r="G23" s="8"/>
      <c r="H23" s="87"/>
      <c r="I23" s="87"/>
      <c r="J23" s="137" t="s">
        <v>1177</v>
      </c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>
      <c r="A24" s="147" t="s">
        <v>1178</v>
      </c>
      <c r="B24" s="8" t="s">
        <v>96</v>
      </c>
      <c r="C24" s="8" t="s">
        <v>9</v>
      </c>
      <c r="D24" s="91"/>
      <c r="E24" s="91"/>
      <c r="F24" s="91"/>
      <c r="G24" s="8"/>
      <c r="H24" s="87"/>
      <c r="I24" s="87"/>
      <c r="J24" s="137" t="s">
        <v>662</v>
      </c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>
      <c r="A25" s="147" t="s">
        <v>1179</v>
      </c>
      <c r="B25" s="8"/>
      <c r="C25" s="186"/>
      <c r="D25" s="91">
        <v>240.0</v>
      </c>
      <c r="E25" s="91"/>
      <c r="F25" s="91"/>
      <c r="G25" s="8"/>
      <c r="H25" s="8">
        <v>30.0</v>
      </c>
      <c r="I25" s="91">
        <f>(D25+E25)/H25</f>
        <v>8</v>
      </c>
      <c r="J25" s="137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>
      <c r="A26" s="147" t="s">
        <v>1180</v>
      </c>
      <c r="B26" s="8" t="s">
        <v>15</v>
      </c>
      <c r="C26" s="8" t="s">
        <v>12</v>
      </c>
      <c r="D26" s="91"/>
      <c r="E26" s="91"/>
      <c r="F26" s="91"/>
      <c r="G26" s="8"/>
      <c r="H26" s="87"/>
      <c r="I26" s="87"/>
      <c r="J26" s="137" t="s">
        <v>312</v>
      </c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>
      <c r="A27" s="147" t="s">
        <v>1181</v>
      </c>
      <c r="B27" s="8" t="s">
        <v>15</v>
      </c>
      <c r="C27" s="8" t="s">
        <v>12</v>
      </c>
      <c r="D27" s="91"/>
      <c r="E27" s="91"/>
      <c r="F27" s="91"/>
      <c r="G27" s="8"/>
      <c r="H27" s="87"/>
      <c r="I27" s="87"/>
      <c r="J27" s="137" t="s">
        <v>570</v>
      </c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>
      <c r="A28" s="147" t="s">
        <v>1182</v>
      </c>
      <c r="B28" s="8"/>
      <c r="C28" s="186"/>
      <c r="D28" s="91">
        <v>60.0</v>
      </c>
      <c r="E28" s="91"/>
      <c r="F28" s="91"/>
      <c r="G28" s="8"/>
      <c r="H28" s="8">
        <v>10.0</v>
      </c>
      <c r="I28" s="91">
        <f>(D28+E28)/H28</f>
        <v>6</v>
      </c>
      <c r="J28" s="137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>
      <c r="A29" s="147" t="s">
        <v>1183</v>
      </c>
      <c r="B29" s="8" t="s">
        <v>19</v>
      </c>
      <c r="C29" s="8" t="s">
        <v>12</v>
      </c>
      <c r="D29" s="91"/>
      <c r="E29" s="91"/>
      <c r="F29" s="91"/>
      <c r="G29" s="8"/>
      <c r="H29" s="87"/>
      <c r="I29" s="87"/>
      <c r="J29" s="137" t="s">
        <v>349</v>
      </c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>
      <c r="A30" s="147" t="s">
        <v>1184</v>
      </c>
      <c r="B30" s="8" t="s">
        <v>19</v>
      </c>
      <c r="C30" s="8" t="s">
        <v>16</v>
      </c>
      <c r="D30" s="91"/>
      <c r="E30" s="91"/>
      <c r="F30" s="91"/>
      <c r="G30" s="8"/>
      <c r="H30" s="87"/>
      <c r="I30" s="87"/>
      <c r="J30" s="137" t="s">
        <v>290</v>
      </c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>
      <c r="A31" s="147" t="s">
        <v>1185</v>
      </c>
      <c r="B31" s="8" t="s">
        <v>19</v>
      </c>
      <c r="C31" s="8" t="s">
        <v>12</v>
      </c>
      <c r="D31" s="91"/>
      <c r="E31" s="91"/>
      <c r="F31" s="91"/>
      <c r="G31" s="8"/>
      <c r="H31" s="87"/>
      <c r="I31" s="87"/>
      <c r="J31" s="137" t="s">
        <v>290</v>
      </c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>
      <c r="A32" s="147" t="s">
        <v>992</v>
      </c>
      <c r="B32" s="87"/>
      <c r="C32" s="87"/>
      <c r="D32" s="91"/>
      <c r="E32" s="87"/>
      <c r="F32" s="91">
        <v>1.8</v>
      </c>
      <c r="G32" s="87"/>
      <c r="H32" s="91"/>
      <c r="I32" s="87"/>
      <c r="J32" s="202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>
      <c r="A33" s="147" t="s">
        <v>1057</v>
      </c>
      <c r="B33" s="8" t="s">
        <v>54</v>
      </c>
      <c r="C33" s="8" t="s">
        <v>9</v>
      </c>
      <c r="D33" s="91"/>
      <c r="E33" s="87"/>
      <c r="F33" s="91"/>
      <c r="G33" s="87"/>
      <c r="H33" s="91"/>
      <c r="I33" s="87"/>
      <c r="J33" s="137" t="s">
        <v>674</v>
      </c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>
      <c r="A34" s="147" t="s">
        <v>993</v>
      </c>
      <c r="B34" s="8" t="s">
        <v>8</v>
      </c>
      <c r="C34" s="8"/>
      <c r="D34" s="91"/>
      <c r="E34" s="87"/>
      <c r="F34" s="91"/>
      <c r="G34" s="87"/>
      <c r="H34" s="91"/>
      <c r="I34" s="87"/>
      <c r="J34" s="137" t="s">
        <v>785</v>
      </c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>
      <c r="A35" s="147" t="s">
        <v>993</v>
      </c>
      <c r="B35" s="8" t="s">
        <v>8</v>
      </c>
      <c r="C35" s="8"/>
      <c r="D35" s="91"/>
      <c r="E35" s="87"/>
      <c r="F35" s="91"/>
      <c r="G35" s="87"/>
      <c r="H35" s="91"/>
      <c r="I35" s="87"/>
      <c r="J35" s="137" t="s">
        <v>785</v>
      </c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>
      <c r="A36" s="147" t="s">
        <v>1186</v>
      </c>
      <c r="B36" s="8" t="s">
        <v>8</v>
      </c>
      <c r="C36" s="8" t="s">
        <v>40</v>
      </c>
      <c r="D36" s="91"/>
      <c r="E36" s="87"/>
      <c r="F36" s="91"/>
      <c r="G36" s="87"/>
      <c r="H36" s="91"/>
      <c r="I36" s="87"/>
      <c r="J36" s="137" t="s">
        <v>558</v>
      </c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>
      <c r="A37" s="52" t="s">
        <v>1187</v>
      </c>
      <c r="B37" s="93"/>
      <c r="C37" s="93"/>
      <c r="D37" s="94"/>
      <c r="E37" s="93"/>
      <c r="F37" s="94">
        <f>sum(F3:G36)</f>
        <v>19.8</v>
      </c>
      <c r="G37" s="93"/>
      <c r="H37" s="94"/>
      <c r="I37" s="203">
        <f>sum(I3:I36)</f>
        <v>219.3333333</v>
      </c>
      <c r="J37" s="20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>
      <c r="A38" s="205"/>
      <c r="B38" s="134"/>
      <c r="C38" s="134"/>
      <c r="D38" s="134"/>
      <c r="E38" s="134"/>
      <c r="F38" s="134"/>
      <c r="G38" s="134"/>
      <c r="H38" s="134"/>
      <c r="I38" s="134"/>
      <c r="J38" s="149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>
      <c r="A39" s="205"/>
      <c r="B39" s="134"/>
      <c r="C39" s="134"/>
      <c r="D39" s="134"/>
      <c r="E39" s="134"/>
      <c r="F39" s="134"/>
      <c r="G39" s="134"/>
      <c r="H39" s="134"/>
      <c r="I39" s="134"/>
      <c r="J39" s="149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>
      <c r="A40" s="148" t="s">
        <v>1188</v>
      </c>
      <c r="B40" s="124" t="s">
        <v>1</v>
      </c>
      <c r="C40" s="124" t="s">
        <v>2</v>
      </c>
      <c r="D40" s="124" t="s">
        <v>66</v>
      </c>
      <c r="E40" s="124" t="s">
        <v>1141</v>
      </c>
      <c r="F40" s="124" t="s">
        <v>1142</v>
      </c>
      <c r="G40" s="124" t="s">
        <v>1143</v>
      </c>
      <c r="H40" s="124" t="s">
        <v>1144</v>
      </c>
      <c r="I40" s="124" t="s">
        <v>1145</v>
      </c>
      <c r="J40" s="206" t="s">
        <v>5</v>
      </c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>
      <c r="A41" s="176" t="s">
        <v>1189</v>
      </c>
      <c r="B41" s="177" t="s">
        <v>8</v>
      </c>
      <c r="C41" s="177" t="s">
        <v>40</v>
      </c>
      <c r="D41" s="178">
        <v>120.0</v>
      </c>
      <c r="E41" s="178">
        <v>100.0</v>
      </c>
      <c r="F41" s="179"/>
      <c r="G41" s="179"/>
      <c r="H41" s="178">
        <v>60.0</v>
      </c>
      <c r="I41" s="187">
        <f t="shared" ref="I41:I53" si="2">(D41+E41)/H41</f>
        <v>3.666666667</v>
      </c>
      <c r="J41" s="207" t="s">
        <v>1190</v>
      </c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>
      <c r="A42" s="176" t="s">
        <v>1191</v>
      </c>
      <c r="B42" s="8" t="s">
        <v>8</v>
      </c>
      <c r="C42" s="8" t="s">
        <v>40</v>
      </c>
      <c r="D42" s="194">
        <v>120.0</v>
      </c>
      <c r="E42" s="178">
        <v>100.0</v>
      </c>
      <c r="F42" s="194"/>
      <c r="G42" s="179"/>
      <c r="H42" s="178">
        <v>60.0</v>
      </c>
      <c r="I42" s="187">
        <f t="shared" si="2"/>
        <v>3.666666667</v>
      </c>
      <c r="J42" s="208" t="s">
        <v>1192</v>
      </c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>
      <c r="A43" s="176" t="s">
        <v>1193</v>
      </c>
      <c r="B43" s="177" t="s">
        <v>8</v>
      </c>
      <c r="C43" s="177" t="s">
        <v>40</v>
      </c>
      <c r="D43" s="178">
        <v>160.0</v>
      </c>
      <c r="E43" s="178"/>
      <c r="F43" s="179"/>
      <c r="G43" s="179"/>
      <c r="H43" s="178">
        <v>100.0</v>
      </c>
      <c r="I43" s="91">
        <f t="shared" si="2"/>
        <v>1.6</v>
      </c>
      <c r="J43" s="137" t="s">
        <v>1194</v>
      </c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>
      <c r="A44" s="176" t="s">
        <v>875</v>
      </c>
      <c r="B44" s="177" t="s">
        <v>8</v>
      </c>
      <c r="C44" s="177" t="s">
        <v>20</v>
      </c>
      <c r="D44" s="178">
        <v>160.0</v>
      </c>
      <c r="E44" s="178"/>
      <c r="F44" s="179"/>
      <c r="G44" s="179"/>
      <c r="H44" s="178">
        <v>100.0</v>
      </c>
      <c r="I44" s="91">
        <f t="shared" si="2"/>
        <v>1.6</v>
      </c>
      <c r="J44" s="137" t="s">
        <v>1195</v>
      </c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>
      <c r="A45" s="176" t="s">
        <v>653</v>
      </c>
      <c r="B45" s="8" t="s">
        <v>8</v>
      </c>
      <c r="C45" s="8" t="s">
        <v>16</v>
      </c>
      <c r="D45" s="194">
        <v>160.0</v>
      </c>
      <c r="E45" s="178"/>
      <c r="F45" s="195"/>
      <c r="G45" s="179"/>
      <c r="H45" s="178">
        <v>100.0</v>
      </c>
      <c r="I45" s="91">
        <f t="shared" si="2"/>
        <v>1.6</v>
      </c>
      <c r="J45" s="196" t="s">
        <v>1196</v>
      </c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>
      <c r="A46" s="176" t="s">
        <v>1197</v>
      </c>
      <c r="B46" s="8" t="s">
        <v>8</v>
      </c>
      <c r="C46" s="8" t="s">
        <v>12</v>
      </c>
      <c r="D46" s="194">
        <v>90.0</v>
      </c>
      <c r="E46" s="178"/>
      <c r="F46" s="195"/>
      <c r="G46" s="179"/>
      <c r="H46" s="194">
        <v>60.0</v>
      </c>
      <c r="I46" s="91">
        <f t="shared" si="2"/>
        <v>1.5</v>
      </c>
      <c r="J46" s="196" t="s">
        <v>1198</v>
      </c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>
      <c r="A47" s="176" t="s">
        <v>1199</v>
      </c>
      <c r="B47" s="8" t="s">
        <v>8</v>
      </c>
      <c r="C47" s="8" t="s">
        <v>12</v>
      </c>
      <c r="D47" s="194">
        <v>90.0</v>
      </c>
      <c r="E47" s="178"/>
      <c r="F47" s="195"/>
      <c r="G47" s="179"/>
      <c r="H47" s="194">
        <v>60.0</v>
      </c>
      <c r="I47" s="91">
        <f t="shared" si="2"/>
        <v>1.5</v>
      </c>
      <c r="J47" s="196" t="s">
        <v>887</v>
      </c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>
      <c r="A48" s="182" t="s">
        <v>1200</v>
      </c>
      <c r="B48" s="177" t="s">
        <v>8</v>
      </c>
      <c r="C48" s="177" t="s">
        <v>9</v>
      </c>
      <c r="D48" s="184">
        <v>90.0</v>
      </c>
      <c r="E48" s="186"/>
      <c r="F48" s="184"/>
      <c r="G48" s="186"/>
      <c r="H48" s="184">
        <v>60.0</v>
      </c>
      <c r="I48" s="91">
        <f t="shared" si="2"/>
        <v>1.5</v>
      </c>
      <c r="J48" s="137" t="s">
        <v>770</v>
      </c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>
      <c r="A49" s="182" t="s">
        <v>588</v>
      </c>
      <c r="B49" s="177" t="s">
        <v>8</v>
      </c>
      <c r="C49" s="177" t="s">
        <v>16</v>
      </c>
      <c r="D49" s="184">
        <v>90.0</v>
      </c>
      <c r="E49" s="186"/>
      <c r="F49" s="184"/>
      <c r="G49" s="184"/>
      <c r="H49" s="184">
        <v>60.0</v>
      </c>
      <c r="I49" s="91">
        <f t="shared" si="2"/>
        <v>1.5</v>
      </c>
      <c r="J49" s="137" t="s">
        <v>556</v>
      </c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>
      <c r="A50" s="176" t="s">
        <v>1201</v>
      </c>
      <c r="B50" s="8" t="s">
        <v>8</v>
      </c>
      <c r="C50" s="8" t="s">
        <v>9</v>
      </c>
      <c r="D50" s="194">
        <v>90.0</v>
      </c>
      <c r="E50" s="178"/>
      <c r="F50" s="194"/>
      <c r="G50" s="179"/>
      <c r="H50" s="194">
        <v>60.0</v>
      </c>
      <c r="I50" s="91">
        <f t="shared" si="2"/>
        <v>1.5</v>
      </c>
      <c r="J50" s="137" t="s">
        <v>995</v>
      </c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>
      <c r="A51" s="176" t="s">
        <v>903</v>
      </c>
      <c r="B51" s="8" t="s">
        <v>8</v>
      </c>
      <c r="C51" s="8" t="s">
        <v>9</v>
      </c>
      <c r="D51" s="194">
        <v>90.0</v>
      </c>
      <c r="E51" s="179"/>
      <c r="F51" s="194"/>
      <c r="G51" s="178"/>
      <c r="H51" s="8">
        <v>60.0</v>
      </c>
      <c r="I51" s="91">
        <f t="shared" si="2"/>
        <v>1.5</v>
      </c>
      <c r="J51" s="196" t="s">
        <v>154</v>
      </c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>
      <c r="A52" s="176" t="s">
        <v>1168</v>
      </c>
      <c r="B52" s="8" t="s">
        <v>8</v>
      </c>
      <c r="C52" s="8" t="s">
        <v>20</v>
      </c>
      <c r="D52" s="194">
        <v>90.0</v>
      </c>
      <c r="E52" s="179"/>
      <c r="F52" s="194"/>
      <c r="G52" s="178"/>
      <c r="H52" s="8">
        <v>60.0</v>
      </c>
      <c r="I52" s="91">
        <f t="shared" si="2"/>
        <v>1.5</v>
      </c>
      <c r="J52" s="137" t="s">
        <v>558</v>
      </c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>
      <c r="A53" s="147" t="s">
        <v>1167</v>
      </c>
      <c r="B53" s="8" t="s">
        <v>8</v>
      </c>
      <c r="C53" s="8" t="s">
        <v>20</v>
      </c>
      <c r="D53" s="91">
        <v>90.0</v>
      </c>
      <c r="E53" s="8"/>
      <c r="F53" s="8">
        <v>2.4</v>
      </c>
      <c r="G53" s="8">
        <v>2.0</v>
      </c>
      <c r="H53" s="8">
        <v>60.0</v>
      </c>
      <c r="I53" s="91">
        <f t="shared" si="2"/>
        <v>1.5</v>
      </c>
      <c r="J53" s="137" t="s">
        <v>558</v>
      </c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>
      <c r="A54" s="176" t="s">
        <v>1202</v>
      </c>
      <c r="B54" s="8" t="s">
        <v>8</v>
      </c>
      <c r="C54" s="8" t="s">
        <v>20</v>
      </c>
      <c r="D54" s="194"/>
      <c r="E54" s="178"/>
      <c r="F54" s="194">
        <v>3.6</v>
      </c>
      <c r="G54" s="179"/>
      <c r="H54" s="194"/>
      <c r="I54" s="91"/>
      <c r="J54" s="196" t="s">
        <v>1203</v>
      </c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>
      <c r="A55" s="176" t="s">
        <v>1204</v>
      </c>
      <c r="B55" s="8" t="s">
        <v>8</v>
      </c>
      <c r="C55" s="8" t="s">
        <v>9</v>
      </c>
      <c r="D55" s="194"/>
      <c r="E55" s="179"/>
      <c r="F55" s="194">
        <v>2.4</v>
      </c>
      <c r="G55" s="179"/>
      <c r="H55" s="194"/>
      <c r="I55" s="91"/>
      <c r="J55" s="196" t="s">
        <v>1205</v>
      </c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>
      <c r="A56" s="176" t="s">
        <v>1206</v>
      </c>
      <c r="B56" s="177" t="s">
        <v>8</v>
      </c>
      <c r="C56" s="177" t="s">
        <v>12</v>
      </c>
      <c r="D56" s="178"/>
      <c r="E56" s="178"/>
      <c r="F56" s="178">
        <v>2.4</v>
      </c>
      <c r="G56" s="179"/>
      <c r="H56" s="178"/>
      <c r="I56" s="200"/>
      <c r="J56" s="137" t="s">
        <v>698</v>
      </c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>
      <c r="A57" s="176"/>
      <c r="B57" s="177"/>
      <c r="C57" s="186"/>
      <c r="D57" s="178"/>
      <c r="E57" s="178"/>
      <c r="F57" s="178"/>
      <c r="G57" s="179"/>
      <c r="H57" s="194"/>
      <c r="I57" s="91"/>
      <c r="J57" s="137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A58" s="176" t="s">
        <v>992</v>
      </c>
      <c r="B58" s="177"/>
      <c r="C58" s="186"/>
      <c r="D58" s="178">
        <v>63.0</v>
      </c>
      <c r="E58" s="178"/>
      <c r="F58" s="178"/>
      <c r="G58" s="179"/>
      <c r="H58" s="194">
        <v>60.0</v>
      </c>
      <c r="I58" s="91">
        <f>(D58+E58)/H58</f>
        <v>1.05</v>
      </c>
      <c r="J58" s="137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A59" s="147" t="s">
        <v>1207</v>
      </c>
      <c r="B59" s="8" t="s">
        <v>8</v>
      </c>
      <c r="C59" s="8" t="s">
        <v>9</v>
      </c>
      <c r="D59" s="91"/>
      <c r="E59" s="91"/>
      <c r="F59" s="91"/>
      <c r="G59" s="8"/>
      <c r="H59" s="87"/>
      <c r="I59" s="87"/>
      <c r="J59" s="137" t="s">
        <v>698</v>
      </c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A60" s="147" t="s">
        <v>993</v>
      </c>
      <c r="B60" s="8" t="s">
        <v>8</v>
      </c>
      <c r="C60" s="8"/>
      <c r="D60" s="91"/>
      <c r="E60" s="91"/>
      <c r="F60" s="91"/>
      <c r="G60" s="87"/>
      <c r="H60" s="87"/>
      <c r="I60" s="87"/>
      <c r="J60" s="137" t="s">
        <v>785</v>
      </c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A61" s="176" t="s">
        <v>992</v>
      </c>
      <c r="B61" s="177"/>
      <c r="C61" s="186"/>
      <c r="D61" s="178">
        <v>63.0</v>
      </c>
      <c r="E61" s="178"/>
      <c r="F61" s="178"/>
      <c r="G61" s="179"/>
      <c r="H61" s="194">
        <v>60.0</v>
      </c>
      <c r="I61" s="91">
        <f>(D61+E61)/H61</f>
        <v>1.05</v>
      </c>
      <c r="J61" s="137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A62" s="147" t="s">
        <v>1208</v>
      </c>
      <c r="B62" s="8" t="s">
        <v>8</v>
      </c>
      <c r="C62" s="8" t="s">
        <v>40</v>
      </c>
      <c r="D62" s="91"/>
      <c r="E62" s="91"/>
      <c r="F62" s="91"/>
      <c r="G62" s="8"/>
      <c r="H62" s="87"/>
      <c r="I62" s="87"/>
      <c r="J62" s="137" t="s">
        <v>1209</v>
      </c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>
      <c r="A63" s="147" t="s">
        <v>1210</v>
      </c>
      <c r="B63" s="8" t="s">
        <v>8</v>
      </c>
      <c r="C63" s="8" t="s">
        <v>40</v>
      </c>
      <c r="D63" s="91"/>
      <c r="E63" s="91"/>
      <c r="F63" s="91"/>
      <c r="G63" s="87"/>
      <c r="H63" s="87"/>
      <c r="I63" s="87"/>
      <c r="J63" s="137" t="s">
        <v>1211</v>
      </c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>
      <c r="A64" s="176" t="s">
        <v>992</v>
      </c>
      <c r="B64" s="177"/>
      <c r="C64" s="186"/>
      <c r="D64" s="178">
        <v>63.0</v>
      </c>
      <c r="E64" s="178"/>
      <c r="F64" s="178"/>
      <c r="G64" s="179"/>
      <c r="H64" s="194">
        <v>60.0</v>
      </c>
      <c r="I64" s="91">
        <f>(D64+E64)/H64</f>
        <v>1.05</v>
      </c>
      <c r="J64" s="137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>
      <c r="A65" s="147" t="s">
        <v>1212</v>
      </c>
      <c r="B65" s="8" t="s">
        <v>8</v>
      </c>
      <c r="C65" s="8" t="s">
        <v>16</v>
      </c>
      <c r="D65" s="91"/>
      <c r="E65" s="91"/>
      <c r="F65" s="91"/>
      <c r="G65" s="8"/>
      <c r="H65" s="87"/>
      <c r="I65" s="87"/>
      <c r="J65" s="137" t="s">
        <v>1213</v>
      </c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>
      <c r="A66" s="147" t="s">
        <v>1214</v>
      </c>
      <c r="B66" s="8" t="s">
        <v>8</v>
      </c>
      <c r="C66" s="8" t="s">
        <v>12</v>
      </c>
      <c r="D66" s="91"/>
      <c r="E66" s="91"/>
      <c r="F66" s="91"/>
      <c r="G66" s="87"/>
      <c r="H66" s="87"/>
      <c r="I66" s="87"/>
      <c r="J66" s="137" t="s">
        <v>1215</v>
      </c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>
      <c r="A67" s="176" t="s">
        <v>992</v>
      </c>
      <c r="B67" s="177"/>
      <c r="C67" s="186"/>
      <c r="D67" s="178">
        <v>63.0</v>
      </c>
      <c r="E67" s="178"/>
      <c r="F67" s="178"/>
      <c r="G67" s="179"/>
      <c r="H67" s="194">
        <v>60.0</v>
      </c>
      <c r="I67" s="91">
        <f>(D67+E67)/H67</f>
        <v>1.05</v>
      </c>
      <c r="J67" s="137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>
      <c r="A68" s="147" t="s">
        <v>1216</v>
      </c>
      <c r="B68" s="8" t="s">
        <v>8</v>
      </c>
      <c r="C68" s="8" t="s">
        <v>20</v>
      </c>
      <c r="D68" s="91"/>
      <c r="E68" s="91"/>
      <c r="F68" s="91"/>
      <c r="G68" s="8"/>
      <c r="H68" s="87"/>
      <c r="I68" s="87"/>
      <c r="J68" s="137" t="s">
        <v>1203</v>
      </c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>
      <c r="A69" s="147" t="s">
        <v>1217</v>
      </c>
      <c r="B69" s="8" t="s">
        <v>8</v>
      </c>
      <c r="C69" s="8" t="s">
        <v>12</v>
      </c>
      <c r="D69" s="91"/>
      <c r="E69" s="91"/>
      <c r="F69" s="91"/>
      <c r="G69" s="87"/>
      <c r="H69" s="87"/>
      <c r="I69" s="87"/>
      <c r="J69" s="137" t="s">
        <v>1218</v>
      </c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>
      <c r="A70" s="176" t="s">
        <v>992</v>
      </c>
      <c r="B70" s="177"/>
      <c r="C70" s="186"/>
      <c r="D70" s="178">
        <v>63.0</v>
      </c>
      <c r="E70" s="178"/>
      <c r="F70" s="178"/>
      <c r="G70" s="179"/>
      <c r="H70" s="194">
        <v>60.0</v>
      </c>
      <c r="I70" s="91">
        <f>(D70+E70)/H70</f>
        <v>1.05</v>
      </c>
      <c r="J70" s="137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>
      <c r="A71" s="147" t="s">
        <v>1219</v>
      </c>
      <c r="B71" s="8" t="s">
        <v>8</v>
      </c>
      <c r="C71" s="8" t="s">
        <v>12</v>
      </c>
      <c r="D71" s="91"/>
      <c r="E71" s="91"/>
      <c r="F71" s="91"/>
      <c r="G71" s="8"/>
      <c r="H71" s="87"/>
      <c r="I71" s="87"/>
      <c r="J71" s="137" t="s">
        <v>1100</v>
      </c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>
      <c r="A72" s="147" t="s">
        <v>1220</v>
      </c>
      <c r="B72" s="8" t="s">
        <v>8</v>
      </c>
      <c r="C72" s="8" t="s">
        <v>16</v>
      </c>
      <c r="D72" s="91"/>
      <c r="E72" s="91"/>
      <c r="F72" s="91"/>
      <c r="G72" s="87"/>
      <c r="H72" s="87"/>
      <c r="I72" s="87"/>
      <c r="J72" s="137" t="s">
        <v>1100</v>
      </c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>
      <c r="A73" s="147" t="s">
        <v>1179</v>
      </c>
      <c r="B73" s="8"/>
      <c r="C73" s="186"/>
      <c r="D73" s="91">
        <v>24.0</v>
      </c>
      <c r="E73" s="91"/>
      <c r="F73" s="91"/>
      <c r="G73" s="8"/>
      <c r="H73" s="8">
        <v>30.0</v>
      </c>
      <c r="I73" s="91">
        <f>(D73+E73)/H73</f>
        <v>0.8</v>
      </c>
      <c r="J73" s="137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>
      <c r="A74" s="147" t="s">
        <v>1221</v>
      </c>
      <c r="B74" s="8" t="s">
        <v>141</v>
      </c>
      <c r="C74" s="8" t="s">
        <v>40</v>
      </c>
      <c r="D74" s="91"/>
      <c r="E74" s="91"/>
      <c r="F74" s="91"/>
      <c r="G74" s="8"/>
      <c r="H74" s="8"/>
      <c r="I74" s="91"/>
      <c r="J74" s="137" t="s">
        <v>897</v>
      </c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>
      <c r="A75" s="147" t="s">
        <v>1222</v>
      </c>
      <c r="B75" s="8" t="s">
        <v>15</v>
      </c>
      <c r="C75" s="8" t="s">
        <v>20</v>
      </c>
      <c r="D75" s="91"/>
      <c r="E75" s="91"/>
      <c r="F75" s="91"/>
      <c r="G75" s="8"/>
      <c r="H75" s="87"/>
      <c r="I75" s="87"/>
      <c r="J75" s="137" t="s">
        <v>564</v>
      </c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>
      <c r="A76" s="147" t="s">
        <v>1179</v>
      </c>
      <c r="B76" s="8"/>
      <c r="C76" s="186"/>
      <c r="D76" s="91">
        <v>24.0</v>
      </c>
      <c r="E76" s="91"/>
      <c r="F76" s="91"/>
      <c r="G76" s="8"/>
      <c r="H76" s="8">
        <v>30.0</v>
      </c>
      <c r="I76" s="91">
        <f>(D76+E76)/H76</f>
        <v>0.8</v>
      </c>
      <c r="J76" s="137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>
      <c r="A77" s="147" t="s">
        <v>1223</v>
      </c>
      <c r="B77" s="8" t="s">
        <v>15</v>
      </c>
      <c r="C77" s="8" t="s">
        <v>16</v>
      </c>
      <c r="D77" s="91"/>
      <c r="E77" s="91"/>
      <c r="F77" s="91"/>
      <c r="G77" s="8"/>
      <c r="H77" s="8"/>
      <c r="I77" s="91"/>
      <c r="J77" s="137" t="s">
        <v>266</v>
      </c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>
      <c r="A78" s="147" t="s">
        <v>1224</v>
      </c>
      <c r="B78" s="8" t="s">
        <v>15</v>
      </c>
      <c r="C78" s="8" t="s">
        <v>16</v>
      </c>
      <c r="D78" s="91"/>
      <c r="E78" s="91"/>
      <c r="F78" s="91"/>
      <c r="G78" s="8"/>
      <c r="H78" s="87"/>
      <c r="I78" s="87"/>
      <c r="J78" s="137" t="s">
        <v>266</v>
      </c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>
      <c r="A79" s="147" t="s">
        <v>1182</v>
      </c>
      <c r="B79" s="8"/>
      <c r="C79" s="186"/>
      <c r="D79" s="91">
        <v>8.0</v>
      </c>
      <c r="E79" s="91"/>
      <c r="F79" s="91"/>
      <c r="G79" s="8"/>
      <c r="H79" s="8">
        <v>10.0</v>
      </c>
      <c r="I79" s="91">
        <f>(D79+E79)/H79</f>
        <v>0.8</v>
      </c>
      <c r="J79" s="137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>
      <c r="A80" s="147" t="s">
        <v>1225</v>
      </c>
      <c r="B80" s="8" t="s">
        <v>19</v>
      </c>
      <c r="C80" s="8" t="s">
        <v>16</v>
      </c>
      <c r="D80" s="91"/>
      <c r="E80" s="91"/>
      <c r="F80" s="91"/>
      <c r="G80" s="8"/>
      <c r="H80" s="8"/>
      <c r="I80" s="91"/>
      <c r="J80" s="137" t="s">
        <v>290</v>
      </c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>
      <c r="A81" s="147" t="s">
        <v>1226</v>
      </c>
      <c r="B81" s="8" t="s">
        <v>19</v>
      </c>
      <c r="C81" s="8" t="s">
        <v>9</v>
      </c>
      <c r="D81" s="91"/>
      <c r="E81" s="91"/>
      <c r="F81" s="91"/>
      <c r="G81" s="8"/>
      <c r="H81" s="87"/>
      <c r="I81" s="87"/>
      <c r="J81" s="137" t="s">
        <v>290</v>
      </c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>
      <c r="A82" s="147" t="s">
        <v>1227</v>
      </c>
      <c r="B82" s="8" t="s">
        <v>19</v>
      </c>
      <c r="C82" s="8" t="s">
        <v>20</v>
      </c>
      <c r="D82" s="91"/>
      <c r="E82" s="91"/>
      <c r="F82" s="91"/>
      <c r="G82" s="8"/>
      <c r="H82" s="87"/>
      <c r="I82" s="87"/>
      <c r="J82" s="137" t="s">
        <v>349</v>
      </c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>
      <c r="A83" s="147" t="s">
        <v>1228</v>
      </c>
      <c r="B83" s="8" t="s">
        <v>19</v>
      </c>
      <c r="C83" s="8" t="s">
        <v>20</v>
      </c>
      <c r="D83" s="91"/>
      <c r="E83" s="91"/>
      <c r="F83" s="91"/>
      <c r="G83" s="8"/>
      <c r="H83" s="87"/>
      <c r="I83" s="87"/>
      <c r="J83" s="137" t="s">
        <v>349</v>
      </c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>
      <c r="A84" s="147" t="s">
        <v>1229</v>
      </c>
      <c r="B84" s="8" t="s">
        <v>19</v>
      </c>
      <c r="C84" s="8" t="s">
        <v>40</v>
      </c>
      <c r="D84" s="91"/>
      <c r="E84" s="91"/>
      <c r="F84" s="91"/>
      <c r="G84" s="8"/>
      <c r="H84" s="87"/>
      <c r="I84" s="87"/>
      <c r="J84" s="137" t="s">
        <v>290</v>
      </c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>
      <c r="A85" s="176" t="s">
        <v>992</v>
      </c>
      <c r="B85" s="209"/>
      <c r="C85" s="186"/>
      <c r="D85" s="210"/>
      <c r="E85" s="209"/>
      <c r="F85" s="178">
        <v>2.0</v>
      </c>
      <c r="G85" s="179"/>
      <c r="H85" s="195"/>
      <c r="I85" s="195"/>
      <c r="J85" s="211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>
      <c r="A86" s="182" t="s">
        <v>1230</v>
      </c>
      <c r="B86" s="177" t="s">
        <v>8</v>
      </c>
      <c r="C86" s="177" t="s">
        <v>9</v>
      </c>
      <c r="D86" s="185"/>
      <c r="E86" s="185"/>
      <c r="F86" s="185"/>
      <c r="G86" s="186"/>
      <c r="H86" s="186"/>
      <c r="I86" s="186"/>
      <c r="J86" s="137" t="s">
        <v>698</v>
      </c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>
      <c r="A87" s="182" t="s">
        <v>1231</v>
      </c>
      <c r="B87" s="177" t="s">
        <v>8</v>
      </c>
      <c r="C87" s="177" t="s">
        <v>12</v>
      </c>
      <c r="D87" s="185"/>
      <c r="E87" s="185"/>
      <c r="F87" s="185"/>
      <c r="G87" s="186"/>
      <c r="H87" s="186"/>
      <c r="I87" s="186"/>
      <c r="J87" s="137" t="s">
        <v>698</v>
      </c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>
      <c r="A88" s="182" t="s">
        <v>1232</v>
      </c>
      <c r="B88" s="177" t="s">
        <v>8</v>
      </c>
      <c r="C88" s="177" t="s">
        <v>20</v>
      </c>
      <c r="D88" s="185"/>
      <c r="E88" s="185"/>
      <c r="F88" s="185"/>
      <c r="G88" s="186"/>
      <c r="H88" s="186"/>
      <c r="I88" s="186"/>
      <c r="J88" s="137" t="s">
        <v>1233</v>
      </c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>
      <c r="A89" s="182" t="s">
        <v>1234</v>
      </c>
      <c r="B89" s="177" t="s">
        <v>8</v>
      </c>
      <c r="C89" s="177" t="s">
        <v>16</v>
      </c>
      <c r="D89" s="185"/>
      <c r="E89" s="185"/>
      <c r="F89" s="185"/>
      <c r="G89" s="186"/>
      <c r="H89" s="186"/>
      <c r="I89" s="186"/>
      <c r="J89" s="137" t="s">
        <v>995</v>
      </c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>
      <c r="A90" s="176" t="s">
        <v>1235</v>
      </c>
      <c r="B90" s="177" t="s">
        <v>8</v>
      </c>
      <c r="C90" s="177" t="s">
        <v>40</v>
      </c>
      <c r="D90" s="209"/>
      <c r="E90" s="209"/>
      <c r="F90" s="209"/>
      <c r="G90" s="179"/>
      <c r="H90" s="179"/>
      <c r="I90" s="179"/>
      <c r="J90" s="137" t="s">
        <v>698</v>
      </c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>
      <c r="A91" s="52" t="s">
        <v>1236</v>
      </c>
      <c r="B91" s="93"/>
      <c r="C91" s="93"/>
      <c r="D91" s="94"/>
      <c r="E91" s="93"/>
      <c r="F91" s="94">
        <f>sum(F41:G90)</f>
        <v>14.8</v>
      </c>
      <c r="G91" s="93"/>
      <c r="H91" s="94"/>
      <c r="I91" s="203">
        <f>sum(I41:I90)</f>
        <v>31.78333333</v>
      </c>
      <c r="J91" s="20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>
      <c r="A92" s="205"/>
      <c r="B92" s="134"/>
      <c r="C92" s="134"/>
      <c r="D92" s="134"/>
      <c r="E92" s="134"/>
      <c r="F92" s="134"/>
      <c r="G92" s="134"/>
      <c r="H92" s="134"/>
      <c r="I92" s="134"/>
      <c r="J92" s="149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>
      <c r="A93" s="205"/>
      <c r="B93" s="134"/>
      <c r="C93" s="134"/>
      <c r="D93" s="134"/>
      <c r="E93" s="134"/>
      <c r="F93" s="134"/>
      <c r="G93" s="134"/>
      <c r="H93" s="134"/>
      <c r="I93" s="134"/>
      <c r="J93" s="149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>
      <c r="A94" s="212" t="s">
        <v>1237</v>
      </c>
      <c r="B94" s="124" t="s">
        <v>1</v>
      </c>
      <c r="C94" s="124" t="s">
        <v>2</v>
      </c>
      <c r="D94" s="124" t="s">
        <v>66</v>
      </c>
      <c r="E94" s="124" t="s">
        <v>1141</v>
      </c>
      <c r="F94" s="124" t="s">
        <v>1142</v>
      </c>
      <c r="G94" s="124" t="s">
        <v>1143</v>
      </c>
      <c r="H94" s="124" t="s">
        <v>1144</v>
      </c>
      <c r="I94" s="124" t="s">
        <v>1145</v>
      </c>
      <c r="J94" s="206" t="s">
        <v>5</v>
      </c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>
      <c r="A95" s="176" t="s">
        <v>1189</v>
      </c>
      <c r="B95" s="177" t="s">
        <v>8</v>
      </c>
      <c r="C95" s="177" t="s">
        <v>40</v>
      </c>
      <c r="D95" s="178">
        <v>120.0</v>
      </c>
      <c r="E95" s="178"/>
      <c r="F95" s="179"/>
      <c r="G95" s="179"/>
      <c r="H95" s="178">
        <v>60.0</v>
      </c>
      <c r="I95" s="91">
        <f t="shared" ref="I95:I103" si="3">(D95+E95)/H95</f>
        <v>2</v>
      </c>
      <c r="J95" s="207" t="s">
        <v>1190</v>
      </c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>
      <c r="A96" s="176" t="s">
        <v>749</v>
      </c>
      <c r="B96" s="8" t="s">
        <v>8</v>
      </c>
      <c r="C96" s="8" t="s">
        <v>16</v>
      </c>
      <c r="D96" s="194">
        <v>160.0</v>
      </c>
      <c r="E96" s="178"/>
      <c r="F96" s="195"/>
      <c r="G96" s="179"/>
      <c r="H96" s="194">
        <v>100.0</v>
      </c>
      <c r="I96" s="91">
        <f t="shared" si="3"/>
        <v>1.6</v>
      </c>
      <c r="J96" s="196" t="s">
        <v>1163</v>
      </c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>
      <c r="A97" s="176" t="s">
        <v>1164</v>
      </c>
      <c r="B97" s="8" t="s">
        <v>8</v>
      </c>
      <c r="C97" s="8" t="s">
        <v>9</v>
      </c>
      <c r="D97" s="194">
        <v>160.0</v>
      </c>
      <c r="E97" s="178"/>
      <c r="F97" s="195"/>
      <c r="G97" s="179"/>
      <c r="H97" s="194">
        <v>100.0</v>
      </c>
      <c r="I97" s="91">
        <f t="shared" si="3"/>
        <v>1.6</v>
      </c>
      <c r="J97" s="196" t="s">
        <v>1165</v>
      </c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>
      <c r="A98" s="176" t="s">
        <v>975</v>
      </c>
      <c r="B98" s="8" t="s">
        <v>8</v>
      </c>
      <c r="C98" s="8" t="s">
        <v>12</v>
      </c>
      <c r="D98" s="194">
        <v>160.0</v>
      </c>
      <c r="E98" s="178"/>
      <c r="F98" s="195"/>
      <c r="G98" s="179"/>
      <c r="H98" s="194">
        <v>100.0</v>
      </c>
      <c r="I98" s="91">
        <f t="shared" si="3"/>
        <v>1.6</v>
      </c>
      <c r="J98" s="196" t="s">
        <v>1166</v>
      </c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>
      <c r="A99" s="176" t="s">
        <v>1238</v>
      </c>
      <c r="B99" s="8" t="s">
        <v>8</v>
      </c>
      <c r="C99" s="8" t="s">
        <v>12</v>
      </c>
      <c r="D99" s="194">
        <v>90.0</v>
      </c>
      <c r="E99" s="178"/>
      <c r="F99" s="195"/>
      <c r="G99" s="179"/>
      <c r="H99" s="194">
        <v>60.0</v>
      </c>
      <c r="I99" s="91">
        <f t="shared" si="3"/>
        <v>1.5</v>
      </c>
      <c r="J99" s="196" t="s">
        <v>558</v>
      </c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>
      <c r="A100" s="176" t="s">
        <v>1239</v>
      </c>
      <c r="B100" s="8" t="s">
        <v>8</v>
      </c>
      <c r="C100" s="8" t="s">
        <v>9</v>
      </c>
      <c r="D100" s="194">
        <v>90.0</v>
      </c>
      <c r="E100" s="179"/>
      <c r="F100" s="195"/>
      <c r="G100" s="179"/>
      <c r="H100" s="194">
        <v>60.0</v>
      </c>
      <c r="I100" s="91">
        <f t="shared" si="3"/>
        <v>1.5</v>
      </c>
      <c r="J100" s="196" t="s">
        <v>1240</v>
      </c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>
      <c r="A101" s="176" t="s">
        <v>1241</v>
      </c>
      <c r="B101" s="177" t="s">
        <v>8</v>
      </c>
      <c r="C101" s="177" t="s">
        <v>20</v>
      </c>
      <c r="D101" s="178">
        <v>90.0</v>
      </c>
      <c r="E101" s="178"/>
      <c r="F101" s="179"/>
      <c r="G101" s="179"/>
      <c r="H101" s="178">
        <v>60.0</v>
      </c>
      <c r="I101" s="91">
        <f t="shared" si="3"/>
        <v>1.5</v>
      </c>
      <c r="J101" s="137" t="s">
        <v>1242</v>
      </c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>
      <c r="A102" s="182" t="s">
        <v>588</v>
      </c>
      <c r="B102" s="177" t="s">
        <v>8</v>
      </c>
      <c r="C102" s="177" t="s">
        <v>16</v>
      </c>
      <c r="D102" s="184">
        <v>90.0</v>
      </c>
      <c r="E102" s="186"/>
      <c r="F102" s="184"/>
      <c r="G102" s="184"/>
      <c r="H102" s="184">
        <v>60.0</v>
      </c>
      <c r="I102" s="91">
        <f t="shared" si="3"/>
        <v>1.5</v>
      </c>
      <c r="J102" s="137" t="s">
        <v>556</v>
      </c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>
      <c r="A103" s="176" t="s">
        <v>1201</v>
      </c>
      <c r="B103" s="8" t="s">
        <v>8</v>
      </c>
      <c r="C103" s="8" t="s">
        <v>9</v>
      </c>
      <c r="D103" s="194">
        <v>90.0</v>
      </c>
      <c r="E103" s="178"/>
      <c r="F103" s="194"/>
      <c r="G103" s="179"/>
      <c r="H103" s="194">
        <v>60.0</v>
      </c>
      <c r="I103" s="91">
        <f t="shared" si="3"/>
        <v>1.5</v>
      </c>
      <c r="J103" s="137" t="s">
        <v>995</v>
      </c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>
      <c r="A104" s="176" t="s">
        <v>1202</v>
      </c>
      <c r="B104" s="8" t="s">
        <v>8</v>
      </c>
      <c r="C104" s="8" t="s">
        <v>20</v>
      </c>
      <c r="D104" s="194"/>
      <c r="E104" s="178"/>
      <c r="F104" s="194">
        <v>3.6</v>
      </c>
      <c r="G104" s="179"/>
      <c r="H104" s="194"/>
      <c r="I104" s="91"/>
      <c r="J104" s="196" t="s">
        <v>1203</v>
      </c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>
      <c r="A105" s="176" t="s">
        <v>724</v>
      </c>
      <c r="B105" s="8" t="s">
        <v>8</v>
      </c>
      <c r="C105" s="8" t="s">
        <v>9</v>
      </c>
      <c r="D105" s="194"/>
      <c r="E105" s="178"/>
      <c r="F105" s="194">
        <v>2.4</v>
      </c>
      <c r="G105" s="179"/>
      <c r="H105" s="194"/>
      <c r="I105" s="91"/>
      <c r="J105" s="196" t="s">
        <v>1243</v>
      </c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>
      <c r="A106" s="182" t="s">
        <v>1244</v>
      </c>
      <c r="B106" s="177" t="s">
        <v>8</v>
      </c>
      <c r="C106" s="177" t="s">
        <v>40</v>
      </c>
      <c r="D106" s="186"/>
      <c r="E106" s="186"/>
      <c r="F106" s="184">
        <v>2.4</v>
      </c>
      <c r="G106" s="184"/>
      <c r="H106" s="186"/>
      <c r="I106" s="186"/>
      <c r="J106" s="137" t="s">
        <v>698</v>
      </c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>
      <c r="A107" s="147"/>
      <c r="B107" s="8"/>
      <c r="C107" s="186"/>
      <c r="D107" s="91"/>
      <c r="E107" s="91"/>
      <c r="F107" s="91"/>
      <c r="G107" s="8"/>
      <c r="H107" s="8"/>
      <c r="I107" s="91"/>
      <c r="J107" s="137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>
      <c r="A108" s="147" t="s">
        <v>992</v>
      </c>
      <c r="B108" s="8"/>
      <c r="C108" s="186"/>
      <c r="D108" s="91">
        <v>63.0</v>
      </c>
      <c r="E108" s="91"/>
      <c r="F108" s="91"/>
      <c r="G108" s="8"/>
      <c r="H108" s="8">
        <v>60.0</v>
      </c>
      <c r="I108" s="91">
        <f>(D108+E108)/H108</f>
        <v>1.05</v>
      </c>
      <c r="J108" s="137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>
      <c r="A109" s="147" t="s">
        <v>1245</v>
      </c>
      <c r="B109" s="8" t="s">
        <v>54</v>
      </c>
      <c r="C109" s="8" t="s">
        <v>20</v>
      </c>
      <c r="D109" s="91"/>
      <c r="E109" s="91"/>
      <c r="F109" s="91"/>
      <c r="G109" s="8"/>
      <c r="H109" s="87"/>
      <c r="I109" s="87"/>
      <c r="J109" s="137" t="s">
        <v>682</v>
      </c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>
      <c r="A110" s="147" t="s">
        <v>1246</v>
      </c>
      <c r="B110" s="8" t="s">
        <v>54</v>
      </c>
      <c r="C110" s="8" t="s">
        <v>20</v>
      </c>
      <c r="D110" s="91"/>
      <c r="E110" s="91"/>
      <c r="F110" s="91"/>
      <c r="G110" s="8"/>
      <c r="H110" s="87"/>
      <c r="I110" s="87"/>
      <c r="J110" s="137" t="s">
        <v>684</v>
      </c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>
      <c r="A111" s="147" t="s">
        <v>992</v>
      </c>
      <c r="B111" s="8"/>
      <c r="C111" s="186"/>
      <c r="D111" s="91">
        <v>63.0</v>
      </c>
      <c r="E111" s="91"/>
      <c r="F111" s="91"/>
      <c r="G111" s="8"/>
      <c r="H111" s="8">
        <v>60.0</v>
      </c>
      <c r="I111" s="91">
        <f>(D111+E111)/H111</f>
        <v>1.05</v>
      </c>
      <c r="J111" s="137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>
      <c r="A112" s="147" t="s">
        <v>1247</v>
      </c>
      <c r="B112" s="8" t="s">
        <v>96</v>
      </c>
      <c r="C112" s="8" t="s">
        <v>40</v>
      </c>
      <c r="D112" s="91"/>
      <c r="E112" s="91"/>
      <c r="F112" s="91"/>
      <c r="G112" s="8"/>
      <c r="H112" s="87"/>
      <c r="I112" s="87"/>
      <c r="J112" s="137" t="s">
        <v>1248</v>
      </c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>
      <c r="A113" s="147" t="s">
        <v>1249</v>
      </c>
      <c r="B113" s="8" t="s">
        <v>54</v>
      </c>
      <c r="C113" s="8" t="s">
        <v>40</v>
      </c>
      <c r="D113" s="91"/>
      <c r="E113" s="91"/>
      <c r="F113" s="91"/>
      <c r="G113" s="8"/>
      <c r="H113" s="87"/>
      <c r="I113" s="87"/>
      <c r="J113" s="137" t="s">
        <v>1250</v>
      </c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>
      <c r="A114" s="147" t="s">
        <v>1179</v>
      </c>
      <c r="B114" s="8"/>
      <c r="C114" s="186"/>
      <c r="D114" s="91">
        <v>24.0</v>
      </c>
      <c r="E114" s="91"/>
      <c r="F114" s="91"/>
      <c r="G114" s="8"/>
      <c r="H114" s="8">
        <v>30.0</v>
      </c>
      <c r="I114" s="91">
        <f>(D114+E114)/H114</f>
        <v>0.8</v>
      </c>
      <c r="J114" s="137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>
      <c r="A115" s="147" t="s">
        <v>1251</v>
      </c>
      <c r="B115" s="8" t="s">
        <v>15</v>
      </c>
      <c r="C115" s="8" t="s">
        <v>9</v>
      </c>
      <c r="D115" s="91"/>
      <c r="E115" s="91"/>
      <c r="F115" s="91"/>
      <c r="G115" s="8"/>
      <c r="H115" s="87"/>
      <c r="I115" s="87"/>
      <c r="J115" s="137" t="s">
        <v>266</v>
      </c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>
      <c r="A116" s="147" t="s">
        <v>1252</v>
      </c>
      <c r="B116" s="8" t="s">
        <v>141</v>
      </c>
      <c r="C116" s="8" t="s">
        <v>9</v>
      </c>
      <c r="D116" s="91"/>
      <c r="E116" s="91"/>
      <c r="F116" s="91"/>
      <c r="G116" s="8"/>
      <c r="H116" s="87"/>
      <c r="I116" s="87"/>
      <c r="J116" s="137" t="s">
        <v>260</v>
      </c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>
      <c r="A117" s="147" t="s">
        <v>1179</v>
      </c>
      <c r="B117" s="8"/>
      <c r="C117" s="186"/>
      <c r="D117" s="91">
        <v>24.0</v>
      </c>
      <c r="E117" s="91"/>
      <c r="F117" s="91"/>
      <c r="G117" s="8"/>
      <c r="H117" s="8">
        <v>30.0</v>
      </c>
      <c r="I117" s="91">
        <f>(D117+E117)/H117</f>
        <v>0.8</v>
      </c>
      <c r="J117" s="137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>
      <c r="A118" s="147" t="s">
        <v>1253</v>
      </c>
      <c r="B118" s="8" t="s">
        <v>15</v>
      </c>
      <c r="C118" s="8" t="s">
        <v>16</v>
      </c>
      <c r="D118" s="91"/>
      <c r="E118" s="91"/>
      <c r="F118" s="91"/>
      <c r="G118" s="8"/>
      <c r="H118" s="87"/>
      <c r="I118" s="87"/>
      <c r="J118" s="137" t="s">
        <v>1254</v>
      </c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>
      <c r="A119" s="147" t="s">
        <v>1255</v>
      </c>
      <c r="B119" s="8" t="s">
        <v>15</v>
      </c>
      <c r="C119" s="8" t="s">
        <v>16</v>
      </c>
      <c r="D119" s="91"/>
      <c r="E119" s="91"/>
      <c r="F119" s="91"/>
      <c r="G119" s="8"/>
      <c r="H119" s="87"/>
      <c r="I119" s="87"/>
      <c r="J119" s="137" t="s">
        <v>1256</v>
      </c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>
      <c r="A120" s="147" t="s">
        <v>1182</v>
      </c>
      <c r="B120" s="8"/>
      <c r="C120" s="186"/>
      <c r="D120" s="91">
        <v>8.0</v>
      </c>
      <c r="E120" s="91"/>
      <c r="F120" s="91"/>
      <c r="G120" s="8"/>
      <c r="H120" s="8">
        <v>10.0</v>
      </c>
      <c r="I120" s="91">
        <f>(D120+E120)/H120</f>
        <v>0.8</v>
      </c>
      <c r="J120" s="137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>
      <c r="A121" s="147" t="s">
        <v>1257</v>
      </c>
      <c r="B121" s="8" t="s">
        <v>19</v>
      </c>
      <c r="C121" s="8" t="s">
        <v>9</v>
      </c>
      <c r="D121" s="91"/>
      <c r="E121" s="91"/>
      <c r="F121" s="91"/>
      <c r="G121" s="8"/>
      <c r="H121" s="87"/>
      <c r="I121" s="87"/>
      <c r="J121" s="137" t="s">
        <v>290</v>
      </c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>
      <c r="A122" s="147" t="s">
        <v>1258</v>
      </c>
      <c r="B122" s="8" t="s">
        <v>19</v>
      </c>
      <c r="C122" s="8" t="s">
        <v>12</v>
      </c>
      <c r="D122" s="91"/>
      <c r="E122" s="91"/>
      <c r="F122" s="91"/>
      <c r="G122" s="8"/>
      <c r="H122" s="87"/>
      <c r="I122" s="87"/>
      <c r="J122" s="137" t="s">
        <v>290</v>
      </c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>
      <c r="A123" s="147" t="s">
        <v>1259</v>
      </c>
      <c r="B123" s="8" t="s">
        <v>19</v>
      </c>
      <c r="C123" s="8" t="s">
        <v>20</v>
      </c>
      <c r="D123" s="91"/>
      <c r="E123" s="91"/>
      <c r="F123" s="91"/>
      <c r="G123" s="8"/>
      <c r="H123" s="87"/>
      <c r="I123" s="87"/>
      <c r="J123" s="137" t="s">
        <v>349</v>
      </c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>
      <c r="A124" s="147" t="s">
        <v>1260</v>
      </c>
      <c r="B124" s="8" t="s">
        <v>19</v>
      </c>
      <c r="C124" s="8" t="s">
        <v>16</v>
      </c>
      <c r="D124" s="91"/>
      <c r="E124" s="91"/>
      <c r="F124" s="91"/>
      <c r="G124" s="8"/>
      <c r="H124" s="87"/>
      <c r="I124" s="87"/>
      <c r="J124" s="137" t="s">
        <v>278</v>
      </c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>
      <c r="A125" s="147" t="s">
        <v>1261</v>
      </c>
      <c r="B125" s="8" t="s">
        <v>19</v>
      </c>
      <c r="C125" s="8" t="s">
        <v>40</v>
      </c>
      <c r="D125" s="91"/>
      <c r="E125" s="91"/>
      <c r="F125" s="91"/>
      <c r="G125" s="8"/>
      <c r="H125" s="87"/>
      <c r="I125" s="87"/>
      <c r="J125" s="137" t="s">
        <v>290</v>
      </c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>
      <c r="A126" s="147" t="s">
        <v>992</v>
      </c>
      <c r="B126" s="87"/>
      <c r="C126" s="87"/>
      <c r="D126" s="91"/>
      <c r="E126" s="87"/>
      <c r="F126" s="91">
        <v>1.8</v>
      </c>
      <c r="G126" s="87"/>
      <c r="H126" s="91"/>
      <c r="I126" s="87"/>
      <c r="J126" s="202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>
      <c r="A127" s="147" t="s">
        <v>1003</v>
      </c>
      <c r="B127" s="8" t="s">
        <v>54</v>
      </c>
      <c r="C127" s="8" t="s">
        <v>40</v>
      </c>
      <c r="D127" s="91"/>
      <c r="E127" s="87"/>
      <c r="F127" s="91"/>
      <c r="G127" s="87"/>
      <c r="H127" s="91"/>
      <c r="I127" s="87"/>
      <c r="J127" s="137" t="s">
        <v>618</v>
      </c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>
      <c r="A128" s="147" t="s">
        <v>1262</v>
      </c>
      <c r="B128" s="8" t="s">
        <v>8</v>
      </c>
      <c r="C128" s="8" t="s">
        <v>16</v>
      </c>
      <c r="D128" s="91"/>
      <c r="E128" s="87"/>
      <c r="F128" s="91"/>
      <c r="G128" s="87"/>
      <c r="H128" s="91"/>
      <c r="I128" s="87"/>
      <c r="J128" s="137" t="s">
        <v>811</v>
      </c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>
      <c r="A129" s="147" t="s">
        <v>993</v>
      </c>
      <c r="B129" s="8" t="s">
        <v>8</v>
      </c>
      <c r="C129" s="8"/>
      <c r="D129" s="91"/>
      <c r="E129" s="87"/>
      <c r="F129" s="91"/>
      <c r="G129" s="87"/>
      <c r="H129" s="91"/>
      <c r="I129" s="87"/>
      <c r="J129" s="137" t="s">
        <v>785</v>
      </c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>
      <c r="A130" s="147" t="s">
        <v>1263</v>
      </c>
      <c r="B130" s="8" t="s">
        <v>8</v>
      </c>
      <c r="C130" s="8" t="s">
        <v>12</v>
      </c>
      <c r="D130" s="91"/>
      <c r="E130" s="87"/>
      <c r="F130" s="91"/>
      <c r="G130" s="87"/>
      <c r="H130" s="91"/>
      <c r="I130" s="87"/>
      <c r="J130" s="137" t="s">
        <v>1264</v>
      </c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>
      <c r="A131" s="213" t="s">
        <v>1265</v>
      </c>
      <c r="B131" s="214"/>
      <c r="C131" s="214"/>
      <c r="D131" s="215"/>
      <c r="E131" s="214"/>
      <c r="F131" s="215">
        <f>sum(F95:G130)</f>
        <v>10.2</v>
      </c>
      <c r="G131" s="214"/>
      <c r="H131" s="214"/>
      <c r="I131" s="215">
        <f>sum(I95:I130)</f>
        <v>18.8</v>
      </c>
      <c r="J131" s="216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>
      <c r="A132" s="205"/>
      <c r="B132" s="134"/>
      <c r="C132" s="134"/>
      <c r="D132" s="134"/>
      <c r="E132" s="134"/>
      <c r="F132" s="134"/>
      <c r="G132" s="134"/>
      <c r="H132" s="134"/>
      <c r="I132" s="134"/>
      <c r="J132" s="149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>
      <c r="A133" s="205"/>
      <c r="B133" s="134"/>
      <c r="C133" s="134"/>
      <c r="D133" s="134"/>
      <c r="E133" s="134"/>
      <c r="F133" s="134"/>
      <c r="G133" s="134"/>
      <c r="H133" s="134"/>
      <c r="I133" s="134"/>
      <c r="J133" s="149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>
      <c r="A134" s="212" t="s">
        <v>1266</v>
      </c>
      <c r="B134" s="124" t="s">
        <v>1</v>
      </c>
      <c r="C134" s="124" t="s">
        <v>2</v>
      </c>
      <c r="D134" s="124" t="s">
        <v>66</v>
      </c>
      <c r="E134" s="124" t="s">
        <v>1141</v>
      </c>
      <c r="F134" s="124" t="s">
        <v>1142</v>
      </c>
      <c r="G134" s="124" t="s">
        <v>1143</v>
      </c>
      <c r="H134" s="124" t="s">
        <v>1144</v>
      </c>
      <c r="I134" s="124" t="s">
        <v>1145</v>
      </c>
      <c r="J134" s="129" t="s">
        <v>5</v>
      </c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>
      <c r="A135" s="176" t="s">
        <v>1267</v>
      </c>
      <c r="B135" s="177" t="s">
        <v>8</v>
      </c>
      <c r="C135" s="177" t="s">
        <v>20</v>
      </c>
      <c r="D135" s="178">
        <v>120.0</v>
      </c>
      <c r="E135" s="178">
        <v>100.0</v>
      </c>
      <c r="F135" s="179"/>
      <c r="G135" s="179"/>
      <c r="H135" s="178">
        <v>60.0</v>
      </c>
      <c r="I135" s="187">
        <f t="shared" ref="I135:I141" si="4">(D135+E135)/H135</f>
        <v>3.666666667</v>
      </c>
      <c r="J135" s="207" t="s">
        <v>1268</v>
      </c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>
      <c r="A136" s="176" t="s">
        <v>1193</v>
      </c>
      <c r="B136" s="177" t="s">
        <v>8</v>
      </c>
      <c r="C136" s="177" t="s">
        <v>40</v>
      </c>
      <c r="D136" s="178">
        <v>160.0</v>
      </c>
      <c r="E136" s="178"/>
      <c r="F136" s="179"/>
      <c r="G136" s="179"/>
      <c r="H136" s="178">
        <v>100.0</v>
      </c>
      <c r="I136" s="91">
        <f t="shared" si="4"/>
        <v>1.6</v>
      </c>
      <c r="J136" s="137" t="s">
        <v>1194</v>
      </c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>
      <c r="A137" s="176" t="s">
        <v>875</v>
      </c>
      <c r="B137" s="177" t="s">
        <v>8</v>
      </c>
      <c r="C137" s="177" t="s">
        <v>20</v>
      </c>
      <c r="D137" s="178">
        <v>160.0</v>
      </c>
      <c r="E137" s="178"/>
      <c r="F137" s="179"/>
      <c r="G137" s="179"/>
      <c r="H137" s="178">
        <v>100.0</v>
      </c>
      <c r="I137" s="91">
        <f t="shared" si="4"/>
        <v>1.6</v>
      </c>
      <c r="J137" s="137" t="s">
        <v>1195</v>
      </c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>
      <c r="A138" s="176" t="s">
        <v>653</v>
      </c>
      <c r="B138" s="8" t="s">
        <v>8</v>
      </c>
      <c r="C138" s="8" t="s">
        <v>16</v>
      </c>
      <c r="D138" s="194">
        <v>160.0</v>
      </c>
      <c r="E138" s="178"/>
      <c r="F138" s="195"/>
      <c r="G138" s="179"/>
      <c r="H138" s="178">
        <v>100.0</v>
      </c>
      <c r="I138" s="91">
        <f t="shared" si="4"/>
        <v>1.6</v>
      </c>
      <c r="J138" s="196" t="s">
        <v>1196</v>
      </c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>
      <c r="A139" s="176" t="s">
        <v>1238</v>
      </c>
      <c r="B139" s="8" t="s">
        <v>8</v>
      </c>
      <c r="C139" s="8" t="s">
        <v>12</v>
      </c>
      <c r="D139" s="194">
        <v>90.0</v>
      </c>
      <c r="E139" s="178"/>
      <c r="F139" s="195"/>
      <c r="G139" s="179"/>
      <c r="H139" s="194">
        <v>60.0</v>
      </c>
      <c r="I139" s="91">
        <f t="shared" si="4"/>
        <v>1.5</v>
      </c>
      <c r="J139" s="196" t="s">
        <v>558</v>
      </c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>
      <c r="A140" s="176" t="s">
        <v>1156</v>
      </c>
      <c r="B140" s="177" t="s">
        <v>8</v>
      </c>
      <c r="C140" s="177" t="s">
        <v>16</v>
      </c>
      <c r="D140" s="178">
        <v>90.0</v>
      </c>
      <c r="E140" s="178"/>
      <c r="F140" s="178"/>
      <c r="G140" s="179"/>
      <c r="H140" s="178">
        <v>60.0</v>
      </c>
      <c r="I140" s="91">
        <f t="shared" si="4"/>
        <v>1.5</v>
      </c>
      <c r="J140" s="137" t="s">
        <v>1030</v>
      </c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>
      <c r="A141" s="182" t="s">
        <v>1200</v>
      </c>
      <c r="B141" s="177" t="s">
        <v>8</v>
      </c>
      <c r="C141" s="177" t="s">
        <v>9</v>
      </c>
      <c r="D141" s="184">
        <v>90.0</v>
      </c>
      <c r="E141" s="186"/>
      <c r="F141" s="184"/>
      <c r="G141" s="186"/>
      <c r="H141" s="184">
        <v>60.0</v>
      </c>
      <c r="I141" s="91">
        <f t="shared" si="4"/>
        <v>1.5</v>
      </c>
      <c r="J141" s="137" t="s">
        <v>770</v>
      </c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>
      <c r="A142" s="182" t="s">
        <v>1269</v>
      </c>
      <c r="B142" s="177" t="s">
        <v>8</v>
      </c>
      <c r="C142" s="177" t="s">
        <v>20</v>
      </c>
      <c r="D142" s="186"/>
      <c r="E142" s="186"/>
      <c r="F142" s="184">
        <v>2.4</v>
      </c>
      <c r="G142" s="186"/>
      <c r="H142" s="186"/>
      <c r="I142" s="186"/>
      <c r="J142" s="137" t="s">
        <v>811</v>
      </c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>
      <c r="A143" s="182" t="s">
        <v>1270</v>
      </c>
      <c r="B143" s="177" t="s">
        <v>8</v>
      </c>
      <c r="C143" s="177" t="s">
        <v>40</v>
      </c>
      <c r="D143" s="186"/>
      <c r="E143" s="186"/>
      <c r="F143" s="184">
        <v>2.4</v>
      </c>
      <c r="G143" s="184"/>
      <c r="H143" s="186"/>
      <c r="I143" s="186"/>
      <c r="J143" s="137" t="s">
        <v>1271</v>
      </c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>
      <c r="A144" s="182" t="s">
        <v>1272</v>
      </c>
      <c r="B144" s="177" t="s">
        <v>8</v>
      </c>
      <c r="C144" s="177" t="s">
        <v>16</v>
      </c>
      <c r="D144" s="186"/>
      <c r="E144" s="186"/>
      <c r="F144" s="184">
        <v>2.4</v>
      </c>
      <c r="G144" s="184"/>
      <c r="H144" s="186"/>
      <c r="I144" s="186"/>
      <c r="J144" s="217" t="s">
        <v>698</v>
      </c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>
      <c r="A145" s="218"/>
      <c r="B145" s="219"/>
      <c r="C145" s="186"/>
      <c r="D145" s="186"/>
      <c r="E145" s="186"/>
      <c r="F145" s="186"/>
      <c r="G145" s="186"/>
      <c r="H145" s="186"/>
      <c r="I145" s="186"/>
      <c r="J145" s="220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>
      <c r="A146" s="191" t="s">
        <v>992</v>
      </c>
      <c r="B146" s="185"/>
      <c r="C146" s="186"/>
      <c r="D146" s="189">
        <v>63.0</v>
      </c>
      <c r="E146" s="185"/>
      <c r="F146" s="185"/>
      <c r="G146" s="185"/>
      <c r="H146" s="189">
        <v>60.0</v>
      </c>
      <c r="I146" s="189">
        <f>(D146+E146)/H146</f>
        <v>1.05</v>
      </c>
      <c r="J146" s="193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>
      <c r="A147" s="221" t="s">
        <v>1273</v>
      </c>
      <c r="B147" s="177" t="s">
        <v>8</v>
      </c>
      <c r="C147" s="177" t="s">
        <v>16</v>
      </c>
      <c r="D147" s="222"/>
      <c r="E147" s="222"/>
      <c r="F147" s="222"/>
      <c r="G147" s="222"/>
      <c r="H147" s="222"/>
      <c r="I147" s="222"/>
      <c r="J147" s="223" t="s">
        <v>770</v>
      </c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>
      <c r="A148" s="182" t="s">
        <v>993</v>
      </c>
      <c r="B148" s="177" t="s">
        <v>8</v>
      </c>
      <c r="C148" s="192"/>
      <c r="D148" s="185"/>
      <c r="E148" s="185"/>
      <c r="F148" s="185"/>
      <c r="G148" s="185"/>
      <c r="H148" s="185"/>
      <c r="I148" s="185"/>
      <c r="J148" s="188" t="s">
        <v>785</v>
      </c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>
      <c r="A149" s="191" t="s">
        <v>992</v>
      </c>
      <c r="B149" s="185"/>
      <c r="C149" s="186"/>
      <c r="D149" s="189">
        <v>63.0</v>
      </c>
      <c r="E149" s="185"/>
      <c r="F149" s="185"/>
      <c r="G149" s="185"/>
      <c r="H149" s="189">
        <v>60.0</v>
      </c>
      <c r="I149" s="189">
        <f>(D149+E149)/H149</f>
        <v>1.05</v>
      </c>
      <c r="J149" s="193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>
      <c r="A150" s="224" t="s">
        <v>1274</v>
      </c>
      <c r="B150" s="192" t="s">
        <v>54</v>
      </c>
      <c r="C150" s="192" t="s">
        <v>12</v>
      </c>
      <c r="D150" s="222"/>
      <c r="E150" s="222"/>
      <c r="F150" s="222"/>
      <c r="G150" s="222"/>
      <c r="H150" s="222"/>
      <c r="I150" s="222"/>
      <c r="J150" s="223" t="s">
        <v>1275</v>
      </c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>
      <c r="A151" s="191" t="s">
        <v>1276</v>
      </c>
      <c r="B151" s="192" t="s">
        <v>54</v>
      </c>
      <c r="C151" s="192" t="s">
        <v>12</v>
      </c>
      <c r="D151" s="185"/>
      <c r="E151" s="185"/>
      <c r="F151" s="185"/>
      <c r="G151" s="185"/>
      <c r="H151" s="185"/>
      <c r="I151" s="185"/>
      <c r="J151" s="188" t="s">
        <v>693</v>
      </c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>
      <c r="A152" s="224" t="s">
        <v>992</v>
      </c>
      <c r="B152" s="222"/>
      <c r="C152" s="186"/>
      <c r="D152" s="225">
        <v>63.0</v>
      </c>
      <c r="E152" s="222"/>
      <c r="F152" s="222"/>
      <c r="G152" s="222"/>
      <c r="H152" s="225">
        <v>60.0</v>
      </c>
      <c r="I152" s="189">
        <f>(D152+E152)/H152</f>
        <v>1.05</v>
      </c>
      <c r="J152" s="226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>
      <c r="A153" s="182" t="s">
        <v>1277</v>
      </c>
      <c r="B153" s="192" t="s">
        <v>54</v>
      </c>
      <c r="C153" s="177" t="s">
        <v>40</v>
      </c>
      <c r="D153" s="185"/>
      <c r="E153" s="185"/>
      <c r="F153" s="185"/>
      <c r="G153" s="185"/>
      <c r="H153" s="185"/>
      <c r="I153" s="185"/>
      <c r="J153" s="227" t="s">
        <v>641</v>
      </c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>
      <c r="A154" s="221" t="s">
        <v>1278</v>
      </c>
      <c r="B154" s="177" t="s">
        <v>8</v>
      </c>
      <c r="C154" s="177" t="s">
        <v>40</v>
      </c>
      <c r="D154" s="222"/>
      <c r="E154" s="222"/>
      <c r="F154" s="222"/>
      <c r="G154" s="222"/>
      <c r="H154" s="222"/>
      <c r="I154" s="222"/>
      <c r="J154" s="217" t="s">
        <v>1279</v>
      </c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>
      <c r="A155" s="224" t="s">
        <v>1179</v>
      </c>
      <c r="B155" s="222"/>
      <c r="C155" s="186"/>
      <c r="D155" s="225">
        <v>24.0</v>
      </c>
      <c r="E155" s="222"/>
      <c r="F155" s="222"/>
      <c r="G155" s="222"/>
      <c r="H155" s="225">
        <v>30.0</v>
      </c>
      <c r="I155" s="225">
        <f>(D155+E155)/H155</f>
        <v>0.8</v>
      </c>
      <c r="J155" s="226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>
      <c r="A156" s="191" t="s">
        <v>1280</v>
      </c>
      <c r="B156" s="192" t="s">
        <v>15</v>
      </c>
      <c r="C156" s="192" t="s">
        <v>16</v>
      </c>
      <c r="D156" s="185"/>
      <c r="E156" s="185"/>
      <c r="F156" s="185"/>
      <c r="G156" s="185"/>
      <c r="H156" s="185"/>
      <c r="I156" s="185"/>
      <c r="J156" s="188" t="s">
        <v>144</v>
      </c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>
      <c r="A157" s="224" t="s">
        <v>1281</v>
      </c>
      <c r="B157" s="192" t="s">
        <v>15</v>
      </c>
      <c r="C157" s="192" t="s">
        <v>12</v>
      </c>
      <c r="D157" s="222"/>
      <c r="E157" s="222"/>
      <c r="F157" s="222"/>
      <c r="G157" s="222"/>
      <c r="H157" s="222"/>
      <c r="I157" s="222"/>
      <c r="J157" s="217" t="s">
        <v>139</v>
      </c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>
      <c r="A158" s="191" t="s">
        <v>1182</v>
      </c>
      <c r="B158" s="185"/>
      <c r="C158" s="186"/>
      <c r="D158" s="189">
        <v>6.0</v>
      </c>
      <c r="E158" s="185"/>
      <c r="F158" s="185"/>
      <c r="G158" s="185"/>
      <c r="H158" s="189">
        <v>10.0</v>
      </c>
      <c r="I158" s="189">
        <f>(D158+E158)/H158</f>
        <v>0.6</v>
      </c>
      <c r="J158" s="193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>
      <c r="A159" s="224" t="s">
        <v>1282</v>
      </c>
      <c r="B159" s="192" t="s">
        <v>19</v>
      </c>
      <c r="C159" s="192" t="s">
        <v>20</v>
      </c>
      <c r="D159" s="222"/>
      <c r="E159" s="222"/>
      <c r="F159" s="222"/>
      <c r="G159" s="222"/>
      <c r="H159" s="222"/>
      <c r="I159" s="222"/>
      <c r="J159" s="217" t="s">
        <v>290</v>
      </c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>
      <c r="A160" s="191" t="s">
        <v>1283</v>
      </c>
      <c r="B160" s="192" t="s">
        <v>19</v>
      </c>
      <c r="C160" s="192" t="s">
        <v>16</v>
      </c>
      <c r="D160" s="185"/>
      <c r="E160" s="185"/>
      <c r="F160" s="185"/>
      <c r="G160" s="185"/>
      <c r="H160" s="185"/>
      <c r="I160" s="185"/>
      <c r="J160" s="217" t="s">
        <v>349</v>
      </c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>
      <c r="A161" s="224" t="s">
        <v>1284</v>
      </c>
      <c r="B161" s="192" t="s">
        <v>19</v>
      </c>
      <c r="C161" s="192" t="s">
        <v>12</v>
      </c>
      <c r="D161" s="222"/>
      <c r="E161" s="222"/>
      <c r="F161" s="222"/>
      <c r="G161" s="222"/>
      <c r="H161" s="222"/>
      <c r="I161" s="222"/>
      <c r="J161" s="217" t="s">
        <v>290</v>
      </c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>
      <c r="A162" s="147" t="s">
        <v>992</v>
      </c>
      <c r="B162" s="87"/>
      <c r="C162" s="87"/>
      <c r="D162" s="91"/>
      <c r="E162" s="87"/>
      <c r="F162" s="91">
        <v>1.8</v>
      </c>
      <c r="G162" s="87"/>
      <c r="H162" s="91"/>
      <c r="I162" s="87"/>
      <c r="J162" s="202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>
      <c r="A163" s="147" t="s">
        <v>1285</v>
      </c>
      <c r="B163" s="8" t="s">
        <v>8</v>
      </c>
      <c r="C163" s="8" t="s">
        <v>40</v>
      </c>
      <c r="D163" s="91"/>
      <c r="E163" s="87"/>
      <c r="F163" s="91"/>
      <c r="G163" s="87"/>
      <c r="H163" s="91"/>
      <c r="I163" s="87"/>
      <c r="J163" s="137" t="s">
        <v>558</v>
      </c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>
      <c r="A164" s="147" t="s">
        <v>1286</v>
      </c>
      <c r="B164" s="8" t="s">
        <v>8</v>
      </c>
      <c r="C164" s="8" t="s">
        <v>16</v>
      </c>
      <c r="D164" s="91"/>
      <c r="E164" s="87"/>
      <c r="F164" s="91"/>
      <c r="G164" s="87"/>
      <c r="H164" s="91"/>
      <c r="I164" s="87"/>
      <c r="J164" s="137" t="s">
        <v>811</v>
      </c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>
      <c r="A165" s="147" t="s">
        <v>993</v>
      </c>
      <c r="B165" s="8" t="s">
        <v>8</v>
      </c>
      <c r="C165" s="8"/>
      <c r="D165" s="91"/>
      <c r="E165" s="87"/>
      <c r="F165" s="91"/>
      <c r="G165" s="87"/>
      <c r="H165" s="91"/>
      <c r="I165" s="87"/>
      <c r="J165" s="137" t="s">
        <v>785</v>
      </c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>
      <c r="A166" s="147" t="s">
        <v>993</v>
      </c>
      <c r="B166" s="8" t="s">
        <v>8</v>
      </c>
      <c r="C166" s="8"/>
      <c r="D166" s="91"/>
      <c r="E166" s="87"/>
      <c r="F166" s="91"/>
      <c r="G166" s="87"/>
      <c r="H166" s="91"/>
      <c r="I166" s="87"/>
      <c r="J166" s="137" t="s">
        <v>785</v>
      </c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>
      <c r="A167" s="213" t="s">
        <v>1287</v>
      </c>
      <c r="B167" s="214"/>
      <c r="C167" s="214"/>
      <c r="D167" s="215"/>
      <c r="E167" s="214"/>
      <c r="F167" s="215">
        <f>sum(F135:G166)</f>
        <v>9</v>
      </c>
      <c r="G167" s="214"/>
      <c r="H167" s="214"/>
      <c r="I167" s="228">
        <f>sum(I135:I166)</f>
        <v>17.51666667</v>
      </c>
      <c r="J167" s="216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>
      <c r="A168" s="205"/>
      <c r="B168" s="134"/>
      <c r="C168" s="134"/>
      <c r="D168" s="134"/>
      <c r="E168" s="134"/>
      <c r="F168" s="134"/>
      <c r="G168" s="134"/>
      <c r="H168" s="134"/>
      <c r="I168" s="134"/>
      <c r="J168" s="149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>
      <c r="A169" s="205"/>
      <c r="B169" s="134"/>
      <c r="C169" s="134"/>
      <c r="D169" s="134"/>
      <c r="E169" s="134"/>
      <c r="F169" s="134"/>
      <c r="G169" s="134"/>
      <c r="H169" s="134"/>
      <c r="I169" s="134"/>
      <c r="J169" s="149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>
      <c r="A170" s="212" t="s">
        <v>1288</v>
      </c>
      <c r="B170" s="124" t="s">
        <v>1</v>
      </c>
      <c r="C170" s="124" t="s">
        <v>2</v>
      </c>
      <c r="D170" s="124" t="s">
        <v>66</v>
      </c>
      <c r="E170" s="124" t="s">
        <v>1141</v>
      </c>
      <c r="F170" s="124" t="s">
        <v>1142</v>
      </c>
      <c r="G170" s="124" t="s">
        <v>1143</v>
      </c>
      <c r="H170" s="124" t="s">
        <v>1144</v>
      </c>
      <c r="I170" s="124" t="s">
        <v>1145</v>
      </c>
      <c r="J170" s="129" t="s">
        <v>5</v>
      </c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>
      <c r="A171" s="221" t="s">
        <v>784</v>
      </c>
      <c r="B171" s="177" t="s">
        <v>8</v>
      </c>
      <c r="C171" s="177" t="s">
        <v>40</v>
      </c>
      <c r="D171" s="229">
        <v>48.0</v>
      </c>
      <c r="E171" s="229">
        <v>40.0</v>
      </c>
      <c r="F171" s="230"/>
      <c r="G171" s="230"/>
      <c r="H171" s="229">
        <v>60.0</v>
      </c>
      <c r="I171" s="231">
        <f t="shared" ref="I171:I184" si="5">(D171+E171)/H171</f>
        <v>1.466666667</v>
      </c>
      <c r="J171" s="232" t="s">
        <v>1289</v>
      </c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>
      <c r="A172" s="224" t="s">
        <v>1290</v>
      </c>
      <c r="B172" s="192" t="s">
        <v>15</v>
      </c>
      <c r="C172" s="192" t="s">
        <v>9</v>
      </c>
      <c r="D172" s="233">
        <v>18.0</v>
      </c>
      <c r="E172" s="233">
        <v>14.0</v>
      </c>
      <c r="F172" s="230"/>
      <c r="G172" s="230"/>
      <c r="H172" s="233">
        <v>30.0</v>
      </c>
      <c r="I172" s="231">
        <f t="shared" si="5"/>
        <v>1.066666667</v>
      </c>
      <c r="J172" s="226" t="s">
        <v>338</v>
      </c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>
      <c r="A173" s="191" t="s">
        <v>1291</v>
      </c>
      <c r="B173" s="192" t="s">
        <v>141</v>
      </c>
      <c r="C173" s="192" t="s">
        <v>20</v>
      </c>
      <c r="D173" s="234">
        <v>16.0</v>
      </c>
      <c r="E173" s="234">
        <v>14.0</v>
      </c>
      <c r="F173" s="186"/>
      <c r="G173" s="186"/>
      <c r="H173" s="234">
        <v>30.0</v>
      </c>
      <c r="I173" s="189">
        <f t="shared" si="5"/>
        <v>1</v>
      </c>
      <c r="J173" s="193" t="s">
        <v>400</v>
      </c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>
      <c r="A174" s="176" t="s">
        <v>1292</v>
      </c>
      <c r="B174" s="177" t="s">
        <v>8</v>
      </c>
      <c r="C174" s="177" t="s">
        <v>20</v>
      </c>
      <c r="D174" s="194">
        <v>30.0</v>
      </c>
      <c r="E174" s="178">
        <v>30.0</v>
      </c>
      <c r="F174" s="179"/>
      <c r="G174" s="179"/>
      <c r="H174" s="194">
        <v>60.0</v>
      </c>
      <c r="I174" s="91">
        <f t="shared" si="5"/>
        <v>1</v>
      </c>
      <c r="J174" s="235" t="s">
        <v>1293</v>
      </c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>
      <c r="A175" s="176" t="s">
        <v>1294</v>
      </c>
      <c r="B175" s="8" t="s">
        <v>8</v>
      </c>
      <c r="C175" s="8" t="s">
        <v>12</v>
      </c>
      <c r="D175" s="194">
        <v>30.0</v>
      </c>
      <c r="E175" s="178">
        <v>30.0</v>
      </c>
      <c r="F175" s="195"/>
      <c r="G175" s="179"/>
      <c r="H175" s="194">
        <v>60.0</v>
      </c>
      <c r="I175" s="91">
        <f t="shared" si="5"/>
        <v>1</v>
      </c>
      <c r="J175" s="196" t="s">
        <v>1295</v>
      </c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>
      <c r="A176" s="176" t="s">
        <v>1197</v>
      </c>
      <c r="B176" s="8" t="s">
        <v>8</v>
      </c>
      <c r="C176" s="8" t="s">
        <v>12</v>
      </c>
      <c r="D176" s="194">
        <v>30.0</v>
      </c>
      <c r="E176" s="178">
        <v>30.0</v>
      </c>
      <c r="F176" s="195"/>
      <c r="G176" s="179"/>
      <c r="H176" s="194">
        <v>60.0</v>
      </c>
      <c r="I176" s="91">
        <f t="shared" si="5"/>
        <v>1</v>
      </c>
      <c r="J176" s="196" t="s">
        <v>1198</v>
      </c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>
      <c r="A177" s="176" t="s">
        <v>771</v>
      </c>
      <c r="B177" s="8" t="s">
        <v>8</v>
      </c>
      <c r="C177" s="8" t="s">
        <v>12</v>
      </c>
      <c r="D177" s="194">
        <v>30.0</v>
      </c>
      <c r="E177" s="178">
        <v>30.0</v>
      </c>
      <c r="F177" s="195"/>
      <c r="G177" s="179"/>
      <c r="H177" s="194">
        <v>60.0</v>
      </c>
      <c r="I177" s="91">
        <f t="shared" si="5"/>
        <v>1</v>
      </c>
      <c r="J177" s="196" t="s">
        <v>1296</v>
      </c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>
      <c r="A178" s="176" t="s">
        <v>1238</v>
      </c>
      <c r="B178" s="8" t="s">
        <v>8</v>
      </c>
      <c r="C178" s="8" t="s">
        <v>12</v>
      </c>
      <c r="D178" s="194">
        <v>30.0</v>
      </c>
      <c r="E178" s="178">
        <v>30.0</v>
      </c>
      <c r="F178" s="195"/>
      <c r="G178" s="179"/>
      <c r="H178" s="194">
        <v>60.0</v>
      </c>
      <c r="I178" s="91">
        <f t="shared" si="5"/>
        <v>1</v>
      </c>
      <c r="J178" s="196" t="s">
        <v>558</v>
      </c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>
      <c r="A179" s="176" t="s">
        <v>1297</v>
      </c>
      <c r="B179" s="8" t="s">
        <v>8</v>
      </c>
      <c r="C179" s="8" t="s">
        <v>40</v>
      </c>
      <c r="D179" s="194">
        <v>30.0</v>
      </c>
      <c r="E179" s="178">
        <v>30.0</v>
      </c>
      <c r="F179" s="195"/>
      <c r="G179" s="179"/>
      <c r="H179" s="194">
        <v>60.0</v>
      </c>
      <c r="I179" s="91">
        <f t="shared" si="5"/>
        <v>1</v>
      </c>
      <c r="J179" s="196" t="s">
        <v>1298</v>
      </c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>
      <c r="A180" s="176" t="s">
        <v>1239</v>
      </c>
      <c r="B180" s="8" t="s">
        <v>8</v>
      </c>
      <c r="C180" s="8" t="s">
        <v>9</v>
      </c>
      <c r="D180" s="194">
        <v>30.0</v>
      </c>
      <c r="E180" s="179"/>
      <c r="F180" s="195"/>
      <c r="G180" s="179"/>
      <c r="H180" s="194">
        <v>60.0</v>
      </c>
      <c r="I180" s="91">
        <f t="shared" si="5"/>
        <v>0.5</v>
      </c>
      <c r="J180" s="196" t="s">
        <v>1240</v>
      </c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>
      <c r="A181" s="176" t="s">
        <v>1204</v>
      </c>
      <c r="B181" s="8" t="s">
        <v>8</v>
      </c>
      <c r="C181" s="8" t="s">
        <v>9</v>
      </c>
      <c r="D181" s="194">
        <v>30.0</v>
      </c>
      <c r="E181" s="179"/>
      <c r="F181" s="195"/>
      <c r="G181" s="179"/>
      <c r="H181" s="194">
        <v>60.0</v>
      </c>
      <c r="I181" s="91">
        <f t="shared" si="5"/>
        <v>0.5</v>
      </c>
      <c r="J181" s="196" t="s">
        <v>1299</v>
      </c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>
      <c r="A182" s="176" t="s">
        <v>1199</v>
      </c>
      <c r="B182" s="8" t="s">
        <v>8</v>
      </c>
      <c r="C182" s="8" t="s">
        <v>12</v>
      </c>
      <c r="D182" s="194">
        <v>30.0</v>
      </c>
      <c r="E182" s="178"/>
      <c r="F182" s="195"/>
      <c r="G182" s="179"/>
      <c r="H182" s="194">
        <v>60.0</v>
      </c>
      <c r="I182" s="91">
        <f t="shared" si="5"/>
        <v>0.5</v>
      </c>
      <c r="J182" s="196" t="s">
        <v>887</v>
      </c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>
      <c r="A183" s="176" t="s">
        <v>724</v>
      </c>
      <c r="B183" s="8" t="s">
        <v>8</v>
      </c>
      <c r="C183" s="8" t="s">
        <v>9</v>
      </c>
      <c r="D183" s="194">
        <v>30.0</v>
      </c>
      <c r="E183" s="178"/>
      <c r="F183" s="195"/>
      <c r="G183" s="179"/>
      <c r="H183" s="194">
        <v>60.0</v>
      </c>
      <c r="I183" s="91">
        <f t="shared" si="5"/>
        <v>0.5</v>
      </c>
      <c r="J183" s="196" t="s">
        <v>1243</v>
      </c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>
      <c r="A184" s="182" t="s">
        <v>1300</v>
      </c>
      <c r="B184" s="177" t="s">
        <v>23</v>
      </c>
      <c r="C184" s="177" t="s">
        <v>12</v>
      </c>
      <c r="D184" s="184">
        <v>3.0</v>
      </c>
      <c r="E184" s="186"/>
      <c r="F184" s="184"/>
      <c r="G184" s="184"/>
      <c r="H184" s="184">
        <v>10.0</v>
      </c>
      <c r="I184" s="91">
        <f t="shared" si="5"/>
        <v>0.3</v>
      </c>
      <c r="J184" s="196" t="s">
        <v>1301</v>
      </c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>
      <c r="A185" s="147"/>
      <c r="B185" s="8"/>
      <c r="C185" s="186"/>
      <c r="D185" s="91"/>
      <c r="E185" s="91"/>
      <c r="F185" s="91"/>
      <c r="G185" s="8"/>
      <c r="H185" s="8"/>
      <c r="I185" s="91"/>
      <c r="J185" s="207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>
      <c r="A186" s="147" t="s">
        <v>992</v>
      </c>
      <c r="B186" s="8"/>
      <c r="C186" s="186"/>
      <c r="D186" s="91">
        <v>24.0</v>
      </c>
      <c r="E186" s="91"/>
      <c r="F186" s="91"/>
      <c r="G186" s="8"/>
      <c r="H186" s="8">
        <v>60.0</v>
      </c>
      <c r="I186" s="91">
        <f>(D186+E186)/H186</f>
        <v>0.4</v>
      </c>
      <c r="J186" s="207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>
      <c r="A187" s="147" t="s">
        <v>1302</v>
      </c>
      <c r="B187" s="8" t="s">
        <v>8</v>
      </c>
      <c r="C187" s="8" t="s">
        <v>9</v>
      </c>
      <c r="D187" s="91"/>
      <c r="E187" s="91"/>
      <c r="F187" s="91"/>
      <c r="G187" s="8"/>
      <c r="H187" s="87"/>
      <c r="I187" s="87"/>
      <c r="J187" s="196" t="s">
        <v>1240</v>
      </c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>
      <c r="A188" s="147" t="s">
        <v>1303</v>
      </c>
      <c r="B188" s="8" t="s">
        <v>8</v>
      </c>
      <c r="C188" s="8" t="s">
        <v>9</v>
      </c>
      <c r="D188" s="91"/>
      <c r="E188" s="91"/>
      <c r="F188" s="91"/>
      <c r="G188" s="8"/>
      <c r="H188" s="87"/>
      <c r="I188" s="87"/>
      <c r="J188" s="235" t="s">
        <v>729</v>
      </c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>
      <c r="A189" s="176" t="s">
        <v>1304</v>
      </c>
      <c r="B189" s="8" t="s">
        <v>8</v>
      </c>
      <c r="C189" s="8" t="s">
        <v>12</v>
      </c>
      <c r="D189" s="195"/>
      <c r="E189" s="179"/>
      <c r="F189" s="195"/>
      <c r="G189" s="179"/>
      <c r="H189" s="179"/>
      <c r="I189" s="200"/>
      <c r="J189" s="196" t="s">
        <v>568</v>
      </c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>
      <c r="A190" s="147" t="s">
        <v>1179</v>
      </c>
      <c r="B190" s="8"/>
      <c r="C190" s="186"/>
      <c r="D190" s="91">
        <v>9.0</v>
      </c>
      <c r="E190" s="91"/>
      <c r="F190" s="91"/>
      <c r="G190" s="8"/>
      <c r="H190" s="8">
        <v>30.0</v>
      </c>
      <c r="I190" s="91">
        <f>(D190+E190)/H190</f>
        <v>0.3</v>
      </c>
      <c r="J190" s="207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>
      <c r="A191" s="147" t="s">
        <v>1305</v>
      </c>
      <c r="B191" s="8" t="s">
        <v>15</v>
      </c>
      <c r="C191" s="8" t="s">
        <v>16</v>
      </c>
      <c r="D191" s="91"/>
      <c r="E191" s="91"/>
      <c r="F191" s="91"/>
      <c r="G191" s="8"/>
      <c r="H191" s="87"/>
      <c r="I191" s="87"/>
      <c r="J191" s="137" t="s">
        <v>146</v>
      </c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>
      <c r="A192" s="147" t="s">
        <v>1181</v>
      </c>
      <c r="B192" s="8" t="s">
        <v>15</v>
      </c>
      <c r="C192" s="8" t="s">
        <v>12</v>
      </c>
      <c r="D192" s="91"/>
      <c r="E192" s="91"/>
      <c r="F192" s="91"/>
      <c r="G192" s="8"/>
      <c r="H192" s="87"/>
      <c r="I192" s="87"/>
      <c r="J192" s="235" t="s">
        <v>570</v>
      </c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>
      <c r="A193" s="176" t="s">
        <v>1306</v>
      </c>
      <c r="B193" s="8" t="s">
        <v>15</v>
      </c>
      <c r="C193" s="8" t="s">
        <v>40</v>
      </c>
      <c r="D193" s="195"/>
      <c r="E193" s="179"/>
      <c r="F193" s="195"/>
      <c r="G193" s="179"/>
      <c r="H193" s="179"/>
      <c r="I193" s="200"/>
      <c r="J193" s="196" t="s">
        <v>84</v>
      </c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>
      <c r="A194" s="147" t="s">
        <v>992</v>
      </c>
      <c r="B194" s="8"/>
      <c r="C194" s="186"/>
      <c r="D194" s="91"/>
      <c r="E194" s="91"/>
      <c r="F194" s="91">
        <v>1.2</v>
      </c>
      <c r="G194" s="8"/>
      <c r="H194" s="8"/>
      <c r="I194" s="91"/>
      <c r="J194" s="207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>
      <c r="A195" s="147" t="s">
        <v>1002</v>
      </c>
      <c r="B195" s="8" t="s">
        <v>54</v>
      </c>
      <c r="C195" s="8" t="s">
        <v>40</v>
      </c>
      <c r="D195" s="91"/>
      <c r="E195" s="91"/>
      <c r="F195" s="91"/>
      <c r="G195" s="8"/>
      <c r="H195" s="87"/>
      <c r="I195" s="87"/>
      <c r="J195" s="137" t="s">
        <v>601</v>
      </c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>
      <c r="A196" s="147" t="s">
        <v>1307</v>
      </c>
      <c r="B196" s="8" t="s">
        <v>8</v>
      </c>
      <c r="C196" s="8" t="s">
        <v>20</v>
      </c>
      <c r="D196" s="91"/>
      <c r="E196" s="91"/>
      <c r="F196" s="91"/>
      <c r="G196" s="8"/>
      <c r="H196" s="87"/>
      <c r="I196" s="87"/>
      <c r="J196" s="235" t="s">
        <v>1293</v>
      </c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>
      <c r="A197" s="176" t="s">
        <v>1308</v>
      </c>
      <c r="B197" s="8" t="s">
        <v>8</v>
      </c>
      <c r="C197" s="8" t="s">
        <v>12</v>
      </c>
      <c r="D197" s="195"/>
      <c r="E197" s="179"/>
      <c r="F197" s="195"/>
      <c r="G197" s="179"/>
      <c r="H197" s="179"/>
      <c r="I197" s="200"/>
      <c r="J197" s="196" t="s">
        <v>770</v>
      </c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>
      <c r="A198" s="176" t="s">
        <v>1309</v>
      </c>
      <c r="B198" s="8" t="s">
        <v>8</v>
      </c>
      <c r="C198" s="8" t="s">
        <v>16</v>
      </c>
      <c r="D198" s="195"/>
      <c r="E198" s="179"/>
      <c r="F198" s="195"/>
      <c r="G198" s="179"/>
      <c r="H198" s="179"/>
      <c r="I198" s="200"/>
      <c r="J198" s="196" t="s">
        <v>558</v>
      </c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>
      <c r="A199" s="176" t="s">
        <v>1310</v>
      </c>
      <c r="B199" s="8" t="s">
        <v>8</v>
      </c>
      <c r="C199" s="8" t="s">
        <v>9</v>
      </c>
      <c r="D199" s="195"/>
      <c r="E199" s="179"/>
      <c r="F199" s="195"/>
      <c r="G199" s="179"/>
      <c r="H199" s="179"/>
      <c r="I199" s="200"/>
      <c r="J199" s="196" t="s">
        <v>1299</v>
      </c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>
      <c r="A200" s="176" t="s">
        <v>1210</v>
      </c>
      <c r="B200" s="8" t="s">
        <v>8</v>
      </c>
      <c r="C200" s="8" t="s">
        <v>40</v>
      </c>
      <c r="D200" s="195"/>
      <c r="E200" s="179"/>
      <c r="F200" s="195"/>
      <c r="G200" s="179"/>
      <c r="H200" s="179"/>
      <c r="I200" s="200"/>
      <c r="J200" s="137" t="s">
        <v>1311</v>
      </c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>
      <c r="A201" s="213" t="s">
        <v>1312</v>
      </c>
      <c r="B201" s="214"/>
      <c r="C201" s="214"/>
      <c r="D201" s="215"/>
      <c r="E201" s="214"/>
      <c r="F201" s="215">
        <f>sum(F171:G200)</f>
        <v>1.2</v>
      </c>
      <c r="G201" s="214"/>
      <c r="H201" s="214"/>
      <c r="I201" s="228">
        <f>sum(I171:I200)</f>
        <v>12.53333333</v>
      </c>
      <c r="J201" s="216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>
      <c r="A206" s="236" t="s">
        <v>94</v>
      </c>
      <c r="B206" s="237"/>
      <c r="C206" s="237"/>
      <c r="D206" s="237"/>
      <c r="E206" s="237"/>
      <c r="F206" s="237"/>
      <c r="G206" s="237"/>
      <c r="H206" s="237"/>
      <c r="I206" s="237"/>
      <c r="J206" s="238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>
      <c r="A207" s="148" t="s">
        <v>1140</v>
      </c>
      <c r="B207" s="124" t="s">
        <v>1</v>
      </c>
      <c r="C207" s="124" t="s">
        <v>2</v>
      </c>
      <c r="D207" s="124" t="s">
        <v>66</v>
      </c>
      <c r="E207" s="124" t="s">
        <v>1141</v>
      </c>
      <c r="F207" s="124" t="s">
        <v>1142</v>
      </c>
      <c r="G207" s="124" t="s">
        <v>1143</v>
      </c>
      <c r="H207" s="124" t="s">
        <v>1144</v>
      </c>
      <c r="I207" s="124" t="s">
        <v>1145</v>
      </c>
      <c r="J207" s="129" t="s">
        <v>5</v>
      </c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>
      <c r="A208" s="147" t="s">
        <v>775</v>
      </c>
      <c r="B208" s="8" t="s">
        <v>15</v>
      </c>
      <c r="C208" s="8" t="s">
        <v>12</v>
      </c>
      <c r="D208" s="91">
        <v>360.0</v>
      </c>
      <c r="E208" s="8">
        <v>280.0</v>
      </c>
      <c r="F208" s="8"/>
      <c r="G208" s="8"/>
      <c r="H208" s="8">
        <v>30.0</v>
      </c>
      <c r="I208" s="187">
        <f t="shared" ref="I208:I213" si="6">(D208+E208)/H208</f>
        <v>21.33333333</v>
      </c>
      <c r="J208" s="137" t="s">
        <v>1313</v>
      </c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>
      <c r="A209" s="147" t="s">
        <v>1314</v>
      </c>
      <c r="B209" s="8" t="s">
        <v>141</v>
      </c>
      <c r="C209" s="8" t="s">
        <v>40</v>
      </c>
      <c r="D209" s="91">
        <v>280.0</v>
      </c>
      <c r="E209" s="8">
        <v>280.0</v>
      </c>
      <c r="F209" s="8"/>
      <c r="G209" s="8"/>
      <c r="H209" s="8">
        <v>30.0</v>
      </c>
      <c r="I209" s="187">
        <f t="shared" si="6"/>
        <v>18.66666667</v>
      </c>
      <c r="J209" s="137" t="s">
        <v>1315</v>
      </c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>
      <c r="A210" s="147" t="s">
        <v>1316</v>
      </c>
      <c r="B210" s="8" t="s">
        <v>54</v>
      </c>
      <c r="C210" s="8" t="s">
        <v>9</v>
      </c>
      <c r="D210" s="91">
        <v>990.0</v>
      </c>
      <c r="E210" s="91"/>
      <c r="F210" s="91"/>
      <c r="G210" s="87"/>
      <c r="H210" s="8">
        <v>60.0</v>
      </c>
      <c r="I210" s="91">
        <f t="shared" si="6"/>
        <v>16.5</v>
      </c>
      <c r="J210" s="137" t="s">
        <v>606</v>
      </c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>
      <c r="A211" s="147" t="s">
        <v>1317</v>
      </c>
      <c r="B211" s="8" t="s">
        <v>54</v>
      </c>
      <c r="C211" s="8" t="s">
        <v>20</v>
      </c>
      <c r="D211" s="91">
        <v>900.0</v>
      </c>
      <c r="E211" s="8"/>
      <c r="F211" s="91"/>
      <c r="G211" s="87"/>
      <c r="H211" s="91">
        <v>60.0</v>
      </c>
      <c r="I211" s="91">
        <f t="shared" si="6"/>
        <v>15</v>
      </c>
      <c r="J211" s="137" t="s">
        <v>307</v>
      </c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>
      <c r="A212" s="147" t="s">
        <v>1318</v>
      </c>
      <c r="B212" s="8" t="s">
        <v>15</v>
      </c>
      <c r="C212" s="8" t="s">
        <v>40</v>
      </c>
      <c r="D212" s="91">
        <v>360.0</v>
      </c>
      <c r="E212" s="8"/>
      <c r="F212" s="8"/>
      <c r="G212" s="8"/>
      <c r="H212" s="8">
        <v>30.0</v>
      </c>
      <c r="I212" s="91">
        <f t="shared" si="6"/>
        <v>12</v>
      </c>
      <c r="J212" s="137" t="s">
        <v>1036</v>
      </c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>
      <c r="A213" s="147" t="s">
        <v>1319</v>
      </c>
      <c r="B213" s="8" t="s">
        <v>19</v>
      </c>
      <c r="C213" s="8" t="s">
        <v>40</v>
      </c>
      <c r="D213" s="91">
        <v>50.0</v>
      </c>
      <c r="E213" s="91">
        <v>50.0</v>
      </c>
      <c r="F213" s="91"/>
      <c r="G213" s="8"/>
      <c r="H213" s="8">
        <v>10.0</v>
      </c>
      <c r="I213" s="91">
        <f t="shared" si="6"/>
        <v>10</v>
      </c>
      <c r="J213" s="137" t="s">
        <v>349</v>
      </c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>
      <c r="A214" s="147" t="s">
        <v>1320</v>
      </c>
      <c r="B214" s="8" t="s">
        <v>8</v>
      </c>
      <c r="C214" s="8" t="s">
        <v>9</v>
      </c>
      <c r="D214" s="91"/>
      <c r="E214" s="91"/>
      <c r="F214" s="91">
        <v>12.0</v>
      </c>
      <c r="G214" s="8"/>
      <c r="H214" s="87"/>
      <c r="I214" s="87"/>
      <c r="J214" s="137" t="s">
        <v>811</v>
      </c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>
      <c r="A215" s="147" t="s">
        <v>1015</v>
      </c>
      <c r="B215" s="8" t="s">
        <v>54</v>
      </c>
      <c r="C215" s="8" t="s">
        <v>16</v>
      </c>
      <c r="D215" s="91"/>
      <c r="E215" s="91"/>
      <c r="F215" s="91">
        <v>11.0</v>
      </c>
      <c r="G215" s="8"/>
      <c r="H215" s="87"/>
      <c r="I215" s="87"/>
      <c r="J215" s="137" t="s">
        <v>674</v>
      </c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>
      <c r="A216" s="147" t="s">
        <v>1321</v>
      </c>
      <c r="B216" s="8" t="s">
        <v>96</v>
      </c>
      <c r="C216" s="8" t="s">
        <v>9</v>
      </c>
      <c r="D216" s="91"/>
      <c r="E216" s="91"/>
      <c r="F216" s="91">
        <v>10.0</v>
      </c>
      <c r="G216" s="8"/>
      <c r="H216" s="87"/>
      <c r="I216" s="87"/>
      <c r="J216" s="207" t="s">
        <v>1322</v>
      </c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>
      <c r="A217" s="147" t="s">
        <v>1091</v>
      </c>
      <c r="B217" s="8" t="s">
        <v>15</v>
      </c>
      <c r="C217" s="8" t="s">
        <v>9</v>
      </c>
      <c r="D217" s="91"/>
      <c r="E217" s="91"/>
      <c r="F217" s="91">
        <v>9.0</v>
      </c>
      <c r="G217" s="8"/>
      <c r="H217" s="87"/>
      <c r="I217" s="87"/>
      <c r="J217" s="137" t="s">
        <v>1323</v>
      </c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>
      <c r="A218" s="147" t="s">
        <v>1324</v>
      </c>
      <c r="B218" s="8" t="s">
        <v>19</v>
      </c>
      <c r="C218" s="8" t="s">
        <v>9</v>
      </c>
      <c r="D218" s="91"/>
      <c r="E218" s="91"/>
      <c r="F218" s="91">
        <v>5.0</v>
      </c>
      <c r="G218" s="8">
        <v>5.0</v>
      </c>
      <c r="H218" s="87"/>
      <c r="I218" s="87"/>
      <c r="J218" s="207" t="s">
        <v>1322</v>
      </c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>
      <c r="A219" s="147" t="s">
        <v>1325</v>
      </c>
      <c r="B219" s="8" t="s">
        <v>19</v>
      </c>
      <c r="C219" s="8" t="s">
        <v>40</v>
      </c>
      <c r="D219" s="91"/>
      <c r="E219" s="91"/>
      <c r="F219" s="91">
        <v>5.0</v>
      </c>
      <c r="G219" s="8">
        <v>5.0</v>
      </c>
      <c r="H219" s="87"/>
      <c r="I219" s="87"/>
      <c r="J219" s="137" t="s">
        <v>290</v>
      </c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>
      <c r="A220" s="147"/>
      <c r="B220" s="8"/>
      <c r="C220" s="186"/>
      <c r="D220" s="91"/>
      <c r="E220" s="91"/>
      <c r="F220" s="91"/>
      <c r="G220" s="8"/>
      <c r="H220" s="8"/>
      <c r="I220" s="91"/>
      <c r="J220" s="137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>
      <c r="A221" s="147" t="s">
        <v>1182</v>
      </c>
      <c r="B221" s="8"/>
      <c r="C221" s="186"/>
      <c r="D221" s="91">
        <v>50.0</v>
      </c>
      <c r="E221" s="91"/>
      <c r="F221" s="91"/>
      <c r="G221" s="8"/>
      <c r="H221" s="8">
        <v>10.0</v>
      </c>
      <c r="I221" s="91">
        <f>(D221+E221)/H221</f>
        <v>5</v>
      </c>
      <c r="J221" s="137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>
      <c r="A222" s="147" t="s">
        <v>1283</v>
      </c>
      <c r="B222" s="8" t="s">
        <v>19</v>
      </c>
      <c r="C222" s="8" t="s">
        <v>16</v>
      </c>
      <c r="D222" s="91"/>
      <c r="E222" s="91"/>
      <c r="F222" s="91"/>
      <c r="G222" s="8"/>
      <c r="H222" s="87"/>
      <c r="I222" s="87"/>
      <c r="J222" s="137" t="s">
        <v>349</v>
      </c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>
      <c r="A223" s="147" t="s">
        <v>1260</v>
      </c>
      <c r="B223" s="8" t="s">
        <v>19</v>
      </c>
      <c r="C223" s="8" t="s">
        <v>16</v>
      </c>
      <c r="D223" s="91"/>
      <c r="E223" s="91"/>
      <c r="F223" s="91"/>
      <c r="G223" s="8"/>
      <c r="H223" s="87"/>
      <c r="I223" s="87"/>
      <c r="J223" s="137" t="s">
        <v>278</v>
      </c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>
      <c r="A224" s="147" t="s">
        <v>1179</v>
      </c>
      <c r="B224" s="87"/>
      <c r="C224" s="87"/>
      <c r="D224" s="91"/>
      <c r="E224" s="87"/>
      <c r="F224" s="91">
        <v>6.0</v>
      </c>
      <c r="G224" s="87"/>
      <c r="H224" s="91"/>
      <c r="I224" s="87"/>
      <c r="J224" s="202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>
      <c r="A225" s="147" t="s">
        <v>1326</v>
      </c>
      <c r="B225" s="8" t="s">
        <v>15</v>
      </c>
      <c r="C225" s="8" t="s">
        <v>20</v>
      </c>
      <c r="D225" s="91"/>
      <c r="E225" s="87"/>
      <c r="F225" s="91"/>
      <c r="G225" s="87"/>
      <c r="H225" s="91"/>
      <c r="I225" s="87"/>
      <c r="J225" s="137" t="s">
        <v>1036</v>
      </c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>
      <c r="A226" s="147" t="s">
        <v>1327</v>
      </c>
      <c r="B226" s="8" t="s">
        <v>15</v>
      </c>
      <c r="C226" s="8" t="s">
        <v>20</v>
      </c>
      <c r="D226" s="91"/>
      <c r="E226" s="87"/>
      <c r="F226" s="91"/>
      <c r="G226" s="87"/>
      <c r="H226" s="91"/>
      <c r="I226" s="87"/>
      <c r="J226" s="137" t="s">
        <v>1036</v>
      </c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>
      <c r="A227" s="52" t="s">
        <v>1187</v>
      </c>
      <c r="B227" s="93"/>
      <c r="C227" s="93"/>
      <c r="D227" s="94"/>
      <c r="E227" s="93"/>
      <c r="F227" s="94">
        <f>sum(F210:G226)</f>
        <v>68</v>
      </c>
      <c r="G227" s="93"/>
      <c r="H227" s="94"/>
      <c r="I227" s="93">
        <f>sum(I210:I226)</f>
        <v>58.5</v>
      </c>
      <c r="J227" s="20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>
      <c r="A228" s="205"/>
      <c r="B228" s="134"/>
      <c r="C228" s="134"/>
      <c r="D228" s="134"/>
      <c r="E228" s="134"/>
      <c r="F228" s="134"/>
      <c r="G228" s="134"/>
      <c r="H228" s="134"/>
      <c r="I228" s="134"/>
      <c r="J228" s="149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>
      <c r="A229" s="205"/>
      <c r="B229" s="134"/>
      <c r="C229" s="134"/>
      <c r="D229" s="134"/>
      <c r="E229" s="134"/>
      <c r="F229" s="134"/>
      <c r="G229" s="134"/>
      <c r="H229" s="134"/>
      <c r="I229" s="134"/>
      <c r="J229" s="149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>
      <c r="A230" s="148" t="s">
        <v>1188</v>
      </c>
      <c r="B230" s="124" t="s">
        <v>1</v>
      </c>
      <c r="C230" s="124" t="s">
        <v>2</v>
      </c>
      <c r="D230" s="124" t="s">
        <v>66</v>
      </c>
      <c r="E230" s="124" t="s">
        <v>1141</v>
      </c>
      <c r="F230" s="124" t="s">
        <v>1142</v>
      </c>
      <c r="G230" s="124" t="s">
        <v>1143</v>
      </c>
      <c r="H230" s="124" t="s">
        <v>1144</v>
      </c>
      <c r="I230" s="124" t="s">
        <v>1145</v>
      </c>
      <c r="J230" s="206" t="s">
        <v>5</v>
      </c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>
      <c r="A231" s="239" t="s">
        <v>1328</v>
      </c>
      <c r="B231" s="192" t="s">
        <v>8</v>
      </c>
      <c r="C231" s="192" t="s">
        <v>9</v>
      </c>
      <c r="D231" s="240">
        <v>90.0</v>
      </c>
      <c r="E231" s="178">
        <v>90.0</v>
      </c>
      <c r="F231" s="209"/>
      <c r="G231" s="179"/>
      <c r="H231" s="240">
        <v>60.0</v>
      </c>
      <c r="I231" s="210">
        <f t="shared" ref="I231:I237" si="7">(D231+E231)/H231</f>
        <v>3</v>
      </c>
      <c r="J231" s="196" t="s">
        <v>156</v>
      </c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>
      <c r="A232" s="147" t="s">
        <v>1318</v>
      </c>
      <c r="B232" s="8" t="s">
        <v>15</v>
      </c>
      <c r="C232" s="8" t="s">
        <v>40</v>
      </c>
      <c r="D232" s="91">
        <v>36.0</v>
      </c>
      <c r="E232" s="8">
        <v>28.0</v>
      </c>
      <c r="F232" s="8"/>
      <c r="G232" s="8"/>
      <c r="H232" s="8">
        <v>30.0</v>
      </c>
      <c r="I232" s="187">
        <f t="shared" si="7"/>
        <v>2.133333333</v>
      </c>
      <c r="J232" s="137" t="s">
        <v>1036</v>
      </c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>
      <c r="A233" s="147" t="s">
        <v>1316</v>
      </c>
      <c r="B233" s="8" t="s">
        <v>54</v>
      </c>
      <c r="C233" s="8" t="s">
        <v>9</v>
      </c>
      <c r="D233" s="91">
        <v>99.0</v>
      </c>
      <c r="E233" s="91"/>
      <c r="F233" s="91"/>
      <c r="G233" s="87"/>
      <c r="H233" s="8">
        <v>60.0</v>
      </c>
      <c r="I233" s="91">
        <f t="shared" si="7"/>
        <v>1.65</v>
      </c>
      <c r="J233" s="137" t="s">
        <v>606</v>
      </c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>
      <c r="A234" s="147" t="s">
        <v>1317</v>
      </c>
      <c r="B234" s="8" t="s">
        <v>54</v>
      </c>
      <c r="C234" s="8" t="s">
        <v>20</v>
      </c>
      <c r="D234" s="91">
        <v>90.0</v>
      </c>
      <c r="E234" s="8"/>
      <c r="F234" s="91"/>
      <c r="G234" s="87"/>
      <c r="H234" s="91">
        <v>60.0</v>
      </c>
      <c r="I234" s="91">
        <f t="shared" si="7"/>
        <v>1.5</v>
      </c>
      <c r="J234" s="92" t="s">
        <v>307</v>
      </c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>
      <c r="A235" s="147" t="s">
        <v>775</v>
      </c>
      <c r="B235" s="8" t="s">
        <v>15</v>
      </c>
      <c r="C235" s="8" t="s">
        <v>12</v>
      </c>
      <c r="D235" s="91">
        <v>36.0</v>
      </c>
      <c r="E235" s="8"/>
      <c r="F235" s="8"/>
      <c r="G235" s="8"/>
      <c r="H235" s="8">
        <v>30.0</v>
      </c>
      <c r="I235" s="91">
        <f t="shared" si="7"/>
        <v>1.2</v>
      </c>
      <c r="J235" s="137" t="s">
        <v>633</v>
      </c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>
      <c r="A236" s="176" t="s">
        <v>1329</v>
      </c>
      <c r="B236" s="177" t="s">
        <v>19</v>
      </c>
      <c r="C236" s="177" t="s">
        <v>9</v>
      </c>
      <c r="D236" s="178">
        <v>5.0</v>
      </c>
      <c r="E236" s="178">
        <v>5.0</v>
      </c>
      <c r="F236" s="178"/>
      <c r="G236" s="179"/>
      <c r="H236" s="178">
        <v>10.0</v>
      </c>
      <c r="I236" s="210">
        <f t="shared" si="7"/>
        <v>1</v>
      </c>
      <c r="J236" s="137" t="s">
        <v>349</v>
      </c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>
      <c r="A237" s="147" t="s">
        <v>1314</v>
      </c>
      <c r="B237" s="8" t="s">
        <v>141</v>
      </c>
      <c r="C237" s="8" t="s">
        <v>40</v>
      </c>
      <c r="D237" s="91">
        <v>28.0</v>
      </c>
      <c r="E237" s="8"/>
      <c r="F237" s="8"/>
      <c r="G237" s="8"/>
      <c r="H237" s="8">
        <v>30.0</v>
      </c>
      <c r="I237" s="187">
        <f t="shared" si="7"/>
        <v>0.9333333333</v>
      </c>
      <c r="J237" s="137" t="s">
        <v>1315</v>
      </c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>
      <c r="A238" s="176" t="s">
        <v>1272</v>
      </c>
      <c r="B238" s="177" t="s">
        <v>8</v>
      </c>
      <c r="C238" s="177" t="s">
        <v>16</v>
      </c>
      <c r="D238" s="178"/>
      <c r="E238" s="178"/>
      <c r="F238" s="178">
        <v>12.0</v>
      </c>
      <c r="G238" s="179"/>
      <c r="H238" s="178"/>
      <c r="I238" s="200"/>
      <c r="J238" s="137" t="s">
        <v>698</v>
      </c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>
      <c r="A239" s="176" t="s">
        <v>1156</v>
      </c>
      <c r="B239" s="177" t="s">
        <v>8</v>
      </c>
      <c r="C239" s="177" t="s">
        <v>16</v>
      </c>
      <c r="D239" s="178"/>
      <c r="E239" s="178"/>
      <c r="F239" s="178">
        <v>12.0</v>
      </c>
      <c r="G239" s="179"/>
      <c r="H239" s="178"/>
      <c r="I239" s="200"/>
      <c r="J239" s="137" t="s">
        <v>1030</v>
      </c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>
      <c r="A240" s="147" t="s">
        <v>1330</v>
      </c>
      <c r="B240" s="8" t="s">
        <v>54</v>
      </c>
      <c r="C240" s="8" t="s">
        <v>9</v>
      </c>
      <c r="D240" s="91"/>
      <c r="E240" s="91"/>
      <c r="F240" s="91">
        <v>11.0</v>
      </c>
      <c r="G240" s="8"/>
      <c r="H240" s="87"/>
      <c r="I240" s="87"/>
      <c r="J240" s="207" t="s">
        <v>1322</v>
      </c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>
      <c r="A241" s="176" t="s">
        <v>1331</v>
      </c>
      <c r="B241" s="177" t="s">
        <v>15</v>
      </c>
      <c r="C241" s="177" t="s">
        <v>12</v>
      </c>
      <c r="D241" s="178"/>
      <c r="E241" s="178"/>
      <c r="F241" s="178">
        <v>9.0</v>
      </c>
      <c r="G241" s="179"/>
      <c r="H241" s="178"/>
      <c r="I241" s="200"/>
      <c r="J241" s="137" t="s">
        <v>1036</v>
      </c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>
      <c r="A242" s="147" t="s">
        <v>1332</v>
      </c>
      <c r="B242" s="8" t="s">
        <v>19</v>
      </c>
      <c r="C242" s="8" t="s">
        <v>9</v>
      </c>
      <c r="D242" s="91"/>
      <c r="E242" s="91"/>
      <c r="F242" s="91">
        <v>5.0</v>
      </c>
      <c r="G242" s="8">
        <v>5.0</v>
      </c>
      <c r="H242" s="87"/>
      <c r="I242" s="87"/>
      <c r="J242" s="137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>
      <c r="A243" s="147"/>
      <c r="B243" s="186"/>
      <c r="C243" s="186"/>
      <c r="D243" s="91"/>
      <c r="E243" s="91"/>
      <c r="F243" s="91"/>
      <c r="G243" s="87"/>
      <c r="H243" s="87"/>
      <c r="I243" s="87"/>
      <c r="J243" s="137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>
      <c r="A244" s="147" t="s">
        <v>1182</v>
      </c>
      <c r="B244" s="186"/>
      <c r="C244" s="186"/>
      <c r="D244" s="91">
        <v>6.0</v>
      </c>
      <c r="E244" s="91"/>
      <c r="F244" s="91"/>
      <c r="G244" s="8"/>
      <c r="H244" s="8">
        <v>10.0</v>
      </c>
      <c r="I244" s="91">
        <f>(D244+E244)/H244</f>
        <v>0.6</v>
      </c>
      <c r="J244" s="137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>
      <c r="A245" s="147" t="s">
        <v>1333</v>
      </c>
      <c r="B245" s="8" t="s">
        <v>19</v>
      </c>
      <c r="C245" s="8" t="s">
        <v>40</v>
      </c>
      <c r="D245" s="91"/>
      <c r="E245" s="91"/>
      <c r="F245" s="91"/>
      <c r="G245" s="8"/>
      <c r="H245" s="87"/>
      <c r="I245" s="87"/>
      <c r="J245" s="137" t="s">
        <v>1334</v>
      </c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>
      <c r="A246" s="147" t="s">
        <v>1335</v>
      </c>
      <c r="B246" s="8" t="s">
        <v>19</v>
      </c>
      <c r="C246" s="8" t="s">
        <v>20</v>
      </c>
      <c r="D246" s="91"/>
      <c r="E246" s="91"/>
      <c r="F246" s="91"/>
      <c r="G246" s="8"/>
      <c r="H246" s="87"/>
      <c r="I246" s="87"/>
      <c r="J246" s="137" t="s">
        <v>1336</v>
      </c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>
      <c r="A247" s="147" t="s">
        <v>1337</v>
      </c>
      <c r="B247" s="8" t="s">
        <v>19</v>
      </c>
      <c r="C247" s="8" t="s">
        <v>9</v>
      </c>
      <c r="D247" s="91"/>
      <c r="E247" s="91"/>
      <c r="F247" s="91"/>
      <c r="G247" s="8"/>
      <c r="H247" s="87"/>
      <c r="I247" s="87"/>
      <c r="J247" s="137" t="s">
        <v>746</v>
      </c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>
      <c r="A248" s="147" t="s">
        <v>1182</v>
      </c>
      <c r="B248" s="8"/>
      <c r="C248" s="186"/>
      <c r="D248" s="91">
        <v>5.0</v>
      </c>
      <c r="E248" s="91"/>
      <c r="F248" s="91"/>
      <c r="G248" s="8"/>
      <c r="H248" s="8">
        <v>10.0</v>
      </c>
      <c r="I248" s="91">
        <f>(D248+E248)/H248</f>
        <v>0.5</v>
      </c>
      <c r="J248" s="137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>
      <c r="A249" s="147" t="s">
        <v>1338</v>
      </c>
      <c r="B249" s="8" t="s">
        <v>19</v>
      </c>
      <c r="C249" s="8" t="s">
        <v>20</v>
      </c>
      <c r="D249" s="91"/>
      <c r="E249" s="91"/>
      <c r="F249" s="91"/>
      <c r="G249" s="8"/>
      <c r="H249" s="87"/>
      <c r="I249" s="87"/>
      <c r="J249" s="137" t="s">
        <v>290</v>
      </c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>
      <c r="A250" s="147" t="s">
        <v>1339</v>
      </c>
      <c r="B250" s="8" t="s">
        <v>19</v>
      </c>
      <c r="C250" s="8" t="s">
        <v>20</v>
      </c>
      <c r="D250" s="91"/>
      <c r="E250" s="91"/>
      <c r="F250" s="91"/>
      <c r="G250" s="8"/>
      <c r="H250" s="87"/>
      <c r="I250" s="87"/>
      <c r="J250" s="137" t="s">
        <v>278</v>
      </c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>
      <c r="A251" s="176" t="s">
        <v>1179</v>
      </c>
      <c r="B251" s="186"/>
      <c r="C251" s="186"/>
      <c r="D251" s="210"/>
      <c r="E251" s="209"/>
      <c r="F251" s="178">
        <v>6.0</v>
      </c>
      <c r="G251" s="179"/>
      <c r="H251" s="195"/>
      <c r="I251" s="195"/>
      <c r="J251" s="211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>
      <c r="A252" s="182" t="s">
        <v>1340</v>
      </c>
      <c r="B252" s="177" t="s">
        <v>141</v>
      </c>
      <c r="C252" s="177" t="s">
        <v>9</v>
      </c>
      <c r="D252" s="185"/>
      <c r="E252" s="185"/>
      <c r="F252" s="185"/>
      <c r="G252" s="186"/>
      <c r="H252" s="186"/>
      <c r="I252" s="186"/>
      <c r="J252" s="188" t="s">
        <v>698</v>
      </c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>
      <c r="A253" s="176" t="s">
        <v>1341</v>
      </c>
      <c r="B253" s="177" t="s">
        <v>15</v>
      </c>
      <c r="C253" s="177" t="s">
        <v>9</v>
      </c>
      <c r="D253" s="209"/>
      <c r="E253" s="209"/>
      <c r="F253" s="209"/>
      <c r="G253" s="179"/>
      <c r="H253" s="179"/>
      <c r="I253" s="179"/>
      <c r="J253" s="196" t="s">
        <v>1036</v>
      </c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>
      <c r="A254" s="52" t="s">
        <v>1236</v>
      </c>
      <c r="B254" s="93"/>
      <c r="C254" s="93"/>
      <c r="D254" s="94"/>
      <c r="E254" s="93"/>
      <c r="F254" s="94">
        <f>sum(F231:G253)</f>
        <v>60</v>
      </c>
      <c r="G254" s="93"/>
      <c r="H254" s="94"/>
      <c r="I254" s="203">
        <f>sum(I231:I253)</f>
        <v>12.51666667</v>
      </c>
      <c r="J254" s="20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>
      <c r="A255" s="205"/>
      <c r="B255" s="134"/>
      <c r="C255" s="134"/>
      <c r="D255" s="134"/>
      <c r="E255" s="134"/>
      <c r="F255" s="134"/>
      <c r="G255" s="134"/>
      <c r="H255" s="134"/>
      <c r="I255" s="134"/>
      <c r="J255" s="149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>
      <c r="A256" s="205"/>
      <c r="B256" s="134"/>
      <c r="C256" s="134"/>
      <c r="D256" s="134"/>
      <c r="E256" s="134"/>
      <c r="F256" s="134"/>
      <c r="G256" s="134"/>
      <c r="H256" s="134"/>
      <c r="I256" s="134"/>
      <c r="J256" s="149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>
      <c r="A257" s="212" t="s">
        <v>1237</v>
      </c>
      <c r="B257" s="124" t="s">
        <v>1</v>
      </c>
      <c r="C257" s="124" t="s">
        <v>2</v>
      </c>
      <c r="D257" s="124" t="s">
        <v>66</v>
      </c>
      <c r="E257" s="124" t="s">
        <v>1141</v>
      </c>
      <c r="F257" s="124" t="s">
        <v>1142</v>
      </c>
      <c r="G257" s="124" t="s">
        <v>1143</v>
      </c>
      <c r="H257" s="124" t="s">
        <v>1144</v>
      </c>
      <c r="I257" s="124" t="s">
        <v>1145</v>
      </c>
      <c r="J257" s="206" t="s">
        <v>5</v>
      </c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>
      <c r="A258" s="176" t="s">
        <v>874</v>
      </c>
      <c r="B258" s="177" t="s">
        <v>8</v>
      </c>
      <c r="C258" s="177" t="s">
        <v>20</v>
      </c>
      <c r="D258" s="194">
        <v>90.0</v>
      </c>
      <c r="E258" s="178"/>
      <c r="F258" s="179"/>
      <c r="G258" s="179"/>
      <c r="H258" s="194">
        <v>60.0</v>
      </c>
      <c r="I258" s="195">
        <f t="shared" ref="I258:I260" si="8">(D258+E258)/H258</f>
        <v>1.5</v>
      </c>
      <c r="J258" s="196" t="s">
        <v>442</v>
      </c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>
      <c r="A259" s="182" t="s">
        <v>1328</v>
      </c>
      <c r="B259" s="177" t="s">
        <v>8</v>
      </c>
      <c r="C259" s="177" t="s">
        <v>9</v>
      </c>
      <c r="D259" s="184">
        <v>90.0</v>
      </c>
      <c r="E259" s="186"/>
      <c r="F259" s="186"/>
      <c r="G259" s="186"/>
      <c r="H259" s="184">
        <v>60.0</v>
      </c>
      <c r="I259" s="195">
        <f t="shared" si="8"/>
        <v>1.5</v>
      </c>
      <c r="J259" s="188" t="s">
        <v>156</v>
      </c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>
      <c r="A260" s="176" t="s">
        <v>1342</v>
      </c>
      <c r="B260" s="177" t="s">
        <v>15</v>
      </c>
      <c r="C260" s="177" t="s">
        <v>9</v>
      </c>
      <c r="D260" s="178">
        <v>36.0</v>
      </c>
      <c r="E260" s="178"/>
      <c r="F260" s="179"/>
      <c r="G260" s="179"/>
      <c r="H260" s="178">
        <v>30.0</v>
      </c>
      <c r="I260" s="200">
        <f t="shared" si="8"/>
        <v>1.2</v>
      </c>
      <c r="J260" s="137" t="s">
        <v>813</v>
      </c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>
      <c r="A261" s="182" t="s">
        <v>1343</v>
      </c>
      <c r="B261" s="177" t="s">
        <v>8</v>
      </c>
      <c r="C261" s="177" t="s">
        <v>9</v>
      </c>
      <c r="D261" s="186"/>
      <c r="E261" s="186"/>
      <c r="F261" s="184">
        <v>12.0</v>
      </c>
      <c r="G261" s="184"/>
      <c r="H261" s="186"/>
      <c r="I261" s="186"/>
      <c r="J261" s="190" t="s">
        <v>785</v>
      </c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>
      <c r="A262" s="182" t="s">
        <v>1344</v>
      </c>
      <c r="B262" s="177" t="s">
        <v>8</v>
      </c>
      <c r="C262" s="177" t="s">
        <v>9</v>
      </c>
      <c r="D262" s="186"/>
      <c r="E262" s="186"/>
      <c r="F262" s="184">
        <v>12.0</v>
      </c>
      <c r="G262" s="184"/>
      <c r="H262" s="186"/>
      <c r="I262" s="186"/>
      <c r="J262" s="190" t="s">
        <v>813</v>
      </c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>
      <c r="A263" s="182" t="s">
        <v>1345</v>
      </c>
      <c r="B263" s="177" t="s">
        <v>8</v>
      </c>
      <c r="C263" s="177" t="s">
        <v>9</v>
      </c>
      <c r="D263" s="186"/>
      <c r="E263" s="186"/>
      <c r="F263" s="184">
        <v>12.0</v>
      </c>
      <c r="G263" s="184"/>
      <c r="H263" s="186"/>
      <c r="I263" s="186"/>
      <c r="J263" s="188" t="s">
        <v>698</v>
      </c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>
      <c r="A264" s="182" t="s">
        <v>1346</v>
      </c>
      <c r="B264" s="177" t="s">
        <v>54</v>
      </c>
      <c r="C264" s="177" t="s">
        <v>9</v>
      </c>
      <c r="D264" s="186"/>
      <c r="E264" s="186"/>
      <c r="F264" s="184">
        <v>11.0</v>
      </c>
      <c r="G264" s="184"/>
      <c r="H264" s="186"/>
      <c r="I264" s="186"/>
      <c r="J264" s="207" t="s">
        <v>1322</v>
      </c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>
      <c r="A265" s="182" t="s">
        <v>1347</v>
      </c>
      <c r="B265" s="177" t="s">
        <v>15</v>
      </c>
      <c r="C265" s="177" t="s">
        <v>9</v>
      </c>
      <c r="D265" s="186"/>
      <c r="E265" s="186"/>
      <c r="F265" s="184">
        <v>9.0</v>
      </c>
      <c r="G265" s="184"/>
      <c r="H265" s="186"/>
      <c r="I265" s="186"/>
      <c r="J265" s="137" t="s">
        <v>813</v>
      </c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>
      <c r="A266" s="182" t="s">
        <v>1348</v>
      </c>
      <c r="B266" s="177" t="s">
        <v>19</v>
      </c>
      <c r="C266" s="177" t="s">
        <v>9</v>
      </c>
      <c r="D266" s="186"/>
      <c r="E266" s="186"/>
      <c r="F266" s="184">
        <v>5.0</v>
      </c>
      <c r="G266" s="184">
        <v>5.0</v>
      </c>
      <c r="H266" s="186"/>
      <c r="I266" s="186"/>
      <c r="J266" s="207" t="s">
        <v>1322</v>
      </c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>
      <c r="A267" s="182" t="s">
        <v>1349</v>
      </c>
      <c r="B267" s="177" t="s">
        <v>19</v>
      </c>
      <c r="C267" s="177" t="s">
        <v>16</v>
      </c>
      <c r="D267" s="186"/>
      <c r="E267" s="186"/>
      <c r="F267" s="184">
        <v>5.0</v>
      </c>
      <c r="G267" s="184">
        <v>5.0</v>
      </c>
      <c r="H267" s="186"/>
      <c r="I267" s="186"/>
      <c r="J267" s="137" t="s">
        <v>813</v>
      </c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>
      <c r="A268" s="218"/>
      <c r="B268" s="186"/>
      <c r="C268" s="186"/>
      <c r="D268" s="186"/>
      <c r="E268" s="186"/>
      <c r="F268" s="186"/>
      <c r="G268" s="186"/>
      <c r="H268" s="186"/>
      <c r="I268" s="186"/>
      <c r="J268" s="220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>
      <c r="A269" s="147" t="s">
        <v>1182</v>
      </c>
      <c r="B269" s="186"/>
      <c r="C269" s="186"/>
      <c r="D269" s="91">
        <v>5.0</v>
      </c>
      <c r="E269" s="91"/>
      <c r="F269" s="91"/>
      <c r="G269" s="8"/>
      <c r="H269" s="8">
        <v>10.0</v>
      </c>
      <c r="I269" s="91">
        <f>(D269+E269)/H269</f>
        <v>0.5</v>
      </c>
      <c r="J269" s="137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>
      <c r="A270" s="147" t="s">
        <v>1350</v>
      </c>
      <c r="B270" s="8" t="s">
        <v>19</v>
      </c>
      <c r="C270" s="8" t="s">
        <v>20</v>
      </c>
      <c r="D270" s="91"/>
      <c r="E270" s="91"/>
      <c r="F270" s="91"/>
      <c r="G270" s="8"/>
      <c r="H270" s="87"/>
      <c r="I270" s="87"/>
      <c r="J270" s="137" t="s">
        <v>813</v>
      </c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>
      <c r="A271" s="147" t="s">
        <v>1227</v>
      </c>
      <c r="B271" s="8" t="s">
        <v>19</v>
      </c>
      <c r="C271" s="8" t="s">
        <v>12</v>
      </c>
      <c r="D271" s="91"/>
      <c r="E271" s="91"/>
      <c r="F271" s="91"/>
      <c r="G271" s="8"/>
      <c r="H271" s="87"/>
      <c r="I271" s="87"/>
      <c r="J271" s="137" t="s">
        <v>813</v>
      </c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>
      <c r="A272" s="147" t="s">
        <v>1179</v>
      </c>
      <c r="B272" s="87"/>
      <c r="C272" s="87"/>
      <c r="D272" s="91"/>
      <c r="E272" s="87"/>
      <c r="F272" s="91">
        <v>6.0</v>
      </c>
      <c r="G272" s="87"/>
      <c r="H272" s="91"/>
      <c r="I272" s="87"/>
      <c r="J272" s="202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>
      <c r="A273" s="147" t="s">
        <v>1351</v>
      </c>
      <c r="B273" s="8" t="s">
        <v>15</v>
      </c>
      <c r="C273" s="8" t="s">
        <v>20</v>
      </c>
      <c r="D273" s="91"/>
      <c r="E273" s="87"/>
      <c r="F273" s="91"/>
      <c r="G273" s="87"/>
      <c r="H273" s="91"/>
      <c r="I273" s="87"/>
      <c r="J273" s="137" t="s">
        <v>813</v>
      </c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>
      <c r="A274" s="147" t="s">
        <v>1352</v>
      </c>
      <c r="B274" s="8" t="s">
        <v>15</v>
      </c>
      <c r="C274" s="8" t="s">
        <v>40</v>
      </c>
      <c r="D274" s="91"/>
      <c r="E274" s="87"/>
      <c r="F274" s="91"/>
      <c r="G274" s="87"/>
      <c r="H274" s="91"/>
      <c r="I274" s="87"/>
      <c r="J274" s="137" t="s">
        <v>813</v>
      </c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>
      <c r="A275" s="213" t="s">
        <v>1265</v>
      </c>
      <c r="B275" s="214"/>
      <c r="C275" s="214"/>
      <c r="D275" s="215"/>
      <c r="E275" s="214"/>
      <c r="F275" s="215">
        <f>sum(F258:G274)</f>
        <v>82</v>
      </c>
      <c r="G275" s="214"/>
      <c r="H275" s="214"/>
      <c r="I275" s="215">
        <f>sum(I258:I274)</f>
        <v>4.7</v>
      </c>
      <c r="J275" s="216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>
      <c r="A276" s="205"/>
      <c r="B276" s="134"/>
      <c r="C276" s="134"/>
      <c r="D276" s="134"/>
      <c r="E276" s="134"/>
      <c r="F276" s="134"/>
      <c r="G276" s="134"/>
      <c r="H276" s="134"/>
      <c r="I276" s="134"/>
      <c r="J276" s="149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>
      <c r="A277" s="205"/>
      <c r="B277" s="134"/>
      <c r="C277" s="134"/>
      <c r="D277" s="134"/>
      <c r="E277" s="134"/>
      <c r="F277" s="134"/>
      <c r="G277" s="134"/>
      <c r="H277" s="134"/>
      <c r="I277" s="134"/>
      <c r="J277" s="149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>
      <c r="A278" s="212" t="s">
        <v>1266</v>
      </c>
      <c r="B278" s="124" t="s">
        <v>1</v>
      </c>
      <c r="C278" s="124" t="s">
        <v>2</v>
      </c>
      <c r="D278" s="124" t="s">
        <v>66</v>
      </c>
      <c r="E278" s="124" t="s">
        <v>1141</v>
      </c>
      <c r="F278" s="124" t="s">
        <v>1142</v>
      </c>
      <c r="G278" s="124" t="s">
        <v>1143</v>
      </c>
      <c r="H278" s="124" t="s">
        <v>1144</v>
      </c>
      <c r="I278" s="124" t="s">
        <v>1145</v>
      </c>
      <c r="J278" s="206" t="s">
        <v>5</v>
      </c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>
      <c r="A279" s="241" t="s">
        <v>1342</v>
      </c>
      <c r="B279" s="242" t="s">
        <v>15</v>
      </c>
      <c r="C279" s="242" t="s">
        <v>9</v>
      </c>
      <c r="D279" s="243">
        <v>36.0</v>
      </c>
      <c r="E279" s="243">
        <v>28.0</v>
      </c>
      <c r="F279" s="244"/>
      <c r="G279" s="244"/>
      <c r="H279" s="243">
        <v>30.0</v>
      </c>
      <c r="I279" s="245">
        <f t="shared" ref="I279:I282" si="9">(D279+E279)/H279</f>
        <v>2.133333333</v>
      </c>
      <c r="J279" s="206" t="s">
        <v>813</v>
      </c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>
      <c r="A280" s="176" t="s">
        <v>874</v>
      </c>
      <c r="B280" s="177" t="s">
        <v>8</v>
      </c>
      <c r="C280" s="177" t="s">
        <v>20</v>
      </c>
      <c r="D280" s="194">
        <v>90.0</v>
      </c>
      <c r="E280" s="178"/>
      <c r="F280" s="179"/>
      <c r="G280" s="179"/>
      <c r="H280" s="194">
        <v>60.0</v>
      </c>
      <c r="I280" s="195">
        <f t="shared" si="9"/>
        <v>1.5</v>
      </c>
      <c r="J280" s="196" t="s">
        <v>442</v>
      </c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>
      <c r="A281" s="182" t="s">
        <v>880</v>
      </c>
      <c r="B281" s="177" t="s">
        <v>141</v>
      </c>
      <c r="C281" s="177" t="s">
        <v>20</v>
      </c>
      <c r="D281" s="184">
        <v>28.0</v>
      </c>
      <c r="E281" s="186"/>
      <c r="F281" s="186"/>
      <c r="G281" s="186"/>
      <c r="H281" s="184">
        <v>30.0</v>
      </c>
      <c r="I281" s="200">
        <f t="shared" si="9"/>
        <v>0.9333333333</v>
      </c>
      <c r="J281" s="188" t="s">
        <v>1353</v>
      </c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>
      <c r="A282" s="182" t="s">
        <v>1354</v>
      </c>
      <c r="B282" s="177" t="s">
        <v>54</v>
      </c>
      <c r="C282" s="177" t="s">
        <v>9</v>
      </c>
      <c r="D282" s="184">
        <v>90.0</v>
      </c>
      <c r="E282" s="186"/>
      <c r="F282" s="184">
        <v>11.0</v>
      </c>
      <c r="G282" s="186"/>
      <c r="H282" s="184">
        <v>60.0</v>
      </c>
      <c r="I282" s="200">
        <f t="shared" si="9"/>
        <v>1.5</v>
      </c>
      <c r="J282" s="137" t="s">
        <v>1355</v>
      </c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>
      <c r="A283" s="182" t="s">
        <v>651</v>
      </c>
      <c r="B283" s="177" t="s">
        <v>54</v>
      </c>
      <c r="C283" s="177" t="s">
        <v>9</v>
      </c>
      <c r="D283" s="186"/>
      <c r="E283" s="186"/>
      <c r="F283" s="184">
        <v>11.0</v>
      </c>
      <c r="G283" s="186"/>
      <c r="H283" s="186"/>
      <c r="I283" s="186"/>
      <c r="J283" s="137" t="s">
        <v>813</v>
      </c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>
      <c r="A284" s="182" t="s">
        <v>1070</v>
      </c>
      <c r="B284" s="177" t="s">
        <v>141</v>
      </c>
      <c r="C284" s="177" t="s">
        <v>20</v>
      </c>
      <c r="D284" s="186"/>
      <c r="E284" s="186"/>
      <c r="F284" s="184">
        <v>8.0</v>
      </c>
      <c r="G284" s="186"/>
      <c r="H284" s="186"/>
      <c r="I284" s="186"/>
      <c r="J284" s="137" t="s">
        <v>813</v>
      </c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>
      <c r="A285" s="182" t="s">
        <v>1356</v>
      </c>
      <c r="B285" s="177" t="s">
        <v>19</v>
      </c>
      <c r="C285" s="177" t="s">
        <v>9</v>
      </c>
      <c r="D285" s="186"/>
      <c r="E285" s="186"/>
      <c r="F285" s="184">
        <v>5.0</v>
      </c>
      <c r="G285" s="184">
        <v>5.0</v>
      </c>
      <c r="H285" s="186"/>
      <c r="I285" s="186"/>
      <c r="J285" s="137" t="s">
        <v>813</v>
      </c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>
      <c r="A286" s="182" t="s">
        <v>1357</v>
      </c>
      <c r="B286" s="177" t="s">
        <v>19</v>
      </c>
      <c r="C286" s="177" t="s">
        <v>9</v>
      </c>
      <c r="D286" s="186"/>
      <c r="E286" s="186"/>
      <c r="F286" s="184">
        <v>5.0</v>
      </c>
      <c r="G286" s="184">
        <v>5.0</v>
      </c>
      <c r="H286" s="186"/>
      <c r="I286" s="186"/>
      <c r="J286" s="207" t="s">
        <v>1322</v>
      </c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>
      <c r="A287" s="218"/>
      <c r="B287" s="219"/>
      <c r="C287" s="186"/>
      <c r="D287" s="186"/>
      <c r="E287" s="186"/>
      <c r="F287" s="186"/>
      <c r="G287" s="186"/>
      <c r="H287" s="186"/>
      <c r="I287" s="186"/>
      <c r="J287" s="220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>
      <c r="A288" s="147" t="s">
        <v>1182</v>
      </c>
      <c r="B288" s="8"/>
      <c r="C288" s="186"/>
      <c r="D288" s="91">
        <v>5.0</v>
      </c>
      <c r="E288" s="91"/>
      <c r="F288" s="91"/>
      <c r="G288" s="8"/>
      <c r="H288" s="8">
        <v>10.0</v>
      </c>
      <c r="I288" s="91">
        <f>(D288+E288)/H288</f>
        <v>0.5</v>
      </c>
      <c r="J288" s="137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>
      <c r="A289" s="147" t="s">
        <v>1358</v>
      </c>
      <c r="B289" s="8" t="s">
        <v>19</v>
      </c>
      <c r="C289" s="8" t="s">
        <v>9</v>
      </c>
      <c r="D289" s="91"/>
      <c r="E289" s="91"/>
      <c r="F289" s="91"/>
      <c r="G289" s="8"/>
      <c r="H289" s="87"/>
      <c r="I289" s="87"/>
      <c r="J289" s="137" t="s">
        <v>813</v>
      </c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>
      <c r="A290" s="147" t="s">
        <v>1359</v>
      </c>
      <c r="B290" s="8" t="s">
        <v>19</v>
      </c>
      <c r="C290" s="8" t="s">
        <v>9</v>
      </c>
      <c r="D290" s="91"/>
      <c r="E290" s="91"/>
      <c r="F290" s="91"/>
      <c r="G290" s="8"/>
      <c r="H290" s="87"/>
      <c r="I290" s="87"/>
      <c r="J290" s="137" t="s">
        <v>813</v>
      </c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>
      <c r="A291" s="147" t="s">
        <v>1179</v>
      </c>
      <c r="B291" s="87"/>
      <c r="C291" s="87"/>
      <c r="D291" s="91"/>
      <c r="E291" s="87"/>
      <c r="F291" s="91">
        <v>6.0</v>
      </c>
      <c r="G291" s="87"/>
      <c r="H291" s="91"/>
      <c r="I291" s="87"/>
      <c r="J291" s="202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>
      <c r="A292" s="147" t="s">
        <v>1360</v>
      </c>
      <c r="B292" s="8" t="s">
        <v>15</v>
      </c>
      <c r="C292" s="8" t="s">
        <v>12</v>
      </c>
      <c r="D292" s="91"/>
      <c r="E292" s="87"/>
      <c r="F292" s="91"/>
      <c r="G292" s="87"/>
      <c r="H292" s="91"/>
      <c r="I292" s="87"/>
      <c r="J292" s="137" t="s">
        <v>813</v>
      </c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>
      <c r="A293" s="147" t="s">
        <v>1361</v>
      </c>
      <c r="B293" s="8" t="s">
        <v>417</v>
      </c>
      <c r="C293" s="8" t="s">
        <v>12</v>
      </c>
      <c r="D293" s="91"/>
      <c r="E293" s="87"/>
      <c r="F293" s="91"/>
      <c r="G293" s="87"/>
      <c r="H293" s="91"/>
      <c r="I293" s="87"/>
      <c r="J293" s="137" t="s">
        <v>813</v>
      </c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>
      <c r="A294" s="213" t="s">
        <v>1287</v>
      </c>
      <c r="B294" s="214"/>
      <c r="C294" s="214"/>
      <c r="D294" s="215"/>
      <c r="E294" s="214"/>
      <c r="F294" s="215">
        <f>sum(F279:G293)</f>
        <v>56</v>
      </c>
      <c r="G294" s="214"/>
      <c r="H294" s="214"/>
      <c r="I294" s="228">
        <f>sum(I279:I293)</f>
        <v>6.566666667</v>
      </c>
      <c r="J294" s="216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>
      <c r="A295" s="205"/>
      <c r="B295" s="134"/>
      <c r="C295" s="134"/>
      <c r="D295" s="134"/>
      <c r="E295" s="134"/>
      <c r="F295" s="134"/>
      <c r="G295" s="134"/>
      <c r="H295" s="134"/>
      <c r="I295" s="134"/>
      <c r="J295" s="149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>
      <c r="A296" s="205"/>
      <c r="B296" s="134"/>
      <c r="C296" s="134"/>
      <c r="D296" s="134"/>
      <c r="E296" s="134"/>
      <c r="F296" s="134"/>
      <c r="G296" s="134"/>
      <c r="H296" s="134"/>
      <c r="I296" s="134"/>
      <c r="J296" s="149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>
      <c r="A297" s="212" t="s">
        <v>1288</v>
      </c>
      <c r="B297" s="124" t="s">
        <v>1</v>
      </c>
      <c r="C297" s="124" t="s">
        <v>2</v>
      </c>
      <c r="D297" s="124" t="s">
        <v>66</v>
      </c>
      <c r="E297" s="124" t="s">
        <v>1141</v>
      </c>
      <c r="F297" s="124" t="s">
        <v>1142</v>
      </c>
      <c r="G297" s="124" t="s">
        <v>1143</v>
      </c>
      <c r="H297" s="124" t="s">
        <v>1144</v>
      </c>
      <c r="I297" s="124" t="s">
        <v>1145</v>
      </c>
      <c r="J297" s="206" t="s">
        <v>5</v>
      </c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>
      <c r="A298" s="176" t="s">
        <v>1331</v>
      </c>
      <c r="B298" s="177" t="s">
        <v>15</v>
      </c>
      <c r="C298" s="177" t="s">
        <v>12</v>
      </c>
      <c r="D298" s="178">
        <v>18.0</v>
      </c>
      <c r="E298" s="178">
        <v>14.0</v>
      </c>
      <c r="F298" s="179"/>
      <c r="G298" s="179"/>
      <c r="H298" s="178">
        <v>30.0</v>
      </c>
      <c r="I298" s="200">
        <f t="shared" ref="I298:I302" si="10">(D298+E298)/H298</f>
        <v>1.066666667</v>
      </c>
      <c r="J298" s="137" t="s">
        <v>813</v>
      </c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>
      <c r="A299" s="176" t="s">
        <v>874</v>
      </c>
      <c r="B299" s="177" t="s">
        <v>8</v>
      </c>
      <c r="C299" s="177" t="s">
        <v>20</v>
      </c>
      <c r="D299" s="194">
        <v>30.0</v>
      </c>
      <c r="E299" s="178">
        <v>30.0</v>
      </c>
      <c r="F299" s="179"/>
      <c r="G299" s="179"/>
      <c r="H299" s="194">
        <v>60.0</v>
      </c>
      <c r="I299" s="195">
        <f t="shared" si="10"/>
        <v>1</v>
      </c>
      <c r="J299" s="196" t="s">
        <v>442</v>
      </c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>
      <c r="A300" s="246" t="s">
        <v>1317</v>
      </c>
      <c r="B300" s="219" t="s">
        <v>54</v>
      </c>
      <c r="C300" s="219" t="s">
        <v>20</v>
      </c>
      <c r="D300" s="194">
        <v>30.0</v>
      </c>
      <c r="E300" s="178">
        <v>30.0</v>
      </c>
      <c r="F300" s="179"/>
      <c r="G300" s="179"/>
      <c r="H300" s="195">
        <v>60.0</v>
      </c>
      <c r="I300" s="195">
        <f t="shared" si="10"/>
        <v>1</v>
      </c>
      <c r="J300" s="196" t="s">
        <v>307</v>
      </c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>
      <c r="A301" s="247" t="s">
        <v>1362</v>
      </c>
      <c r="B301" s="177" t="s">
        <v>19</v>
      </c>
      <c r="C301" s="177" t="s">
        <v>16</v>
      </c>
      <c r="D301" s="184">
        <v>5.0</v>
      </c>
      <c r="E301" s="184">
        <v>5.0</v>
      </c>
      <c r="F301" s="186"/>
      <c r="G301" s="186"/>
      <c r="H301" s="184">
        <v>10.0</v>
      </c>
      <c r="I301" s="195">
        <f t="shared" si="10"/>
        <v>1</v>
      </c>
      <c r="J301" s="137" t="s">
        <v>813</v>
      </c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>
      <c r="A302" s="176" t="s">
        <v>871</v>
      </c>
      <c r="B302" s="177" t="s">
        <v>19</v>
      </c>
      <c r="C302" s="177" t="s">
        <v>16</v>
      </c>
      <c r="D302" s="178">
        <v>5.0</v>
      </c>
      <c r="E302" s="178">
        <v>3.0</v>
      </c>
      <c r="F302" s="179"/>
      <c r="G302" s="179"/>
      <c r="H302" s="178">
        <v>10.0</v>
      </c>
      <c r="I302" s="195">
        <f t="shared" si="10"/>
        <v>0.8</v>
      </c>
      <c r="J302" s="196" t="s">
        <v>45</v>
      </c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>
      <c r="A303" s="182" t="s">
        <v>1347</v>
      </c>
      <c r="B303" s="177" t="s">
        <v>15</v>
      </c>
      <c r="C303" s="177" t="s">
        <v>9</v>
      </c>
      <c r="D303" s="186"/>
      <c r="E303" s="186"/>
      <c r="F303" s="184">
        <v>2.7</v>
      </c>
      <c r="G303" s="184">
        <v>2.1</v>
      </c>
      <c r="H303" s="186"/>
      <c r="I303" s="186"/>
      <c r="J303" s="137" t="s">
        <v>813</v>
      </c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>
      <c r="A304" s="147"/>
      <c r="B304" s="8"/>
      <c r="C304" s="186"/>
      <c r="D304" s="91"/>
      <c r="E304" s="91"/>
      <c r="F304" s="91"/>
      <c r="G304" s="8"/>
      <c r="H304" s="8"/>
      <c r="I304" s="91"/>
      <c r="J304" s="137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>
      <c r="A305" s="147" t="s">
        <v>992</v>
      </c>
      <c r="B305" s="8"/>
      <c r="C305" s="186"/>
      <c r="D305" s="91">
        <v>21.0</v>
      </c>
      <c r="E305" s="91"/>
      <c r="F305" s="91"/>
      <c r="G305" s="8"/>
      <c r="H305" s="8">
        <v>60.0</v>
      </c>
      <c r="I305" s="91">
        <f>(D305+E305)/H305</f>
        <v>0.35</v>
      </c>
      <c r="J305" s="137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>
      <c r="A306" s="147" t="s">
        <v>1071</v>
      </c>
      <c r="B306" s="8" t="s">
        <v>8</v>
      </c>
      <c r="C306" s="8" t="s">
        <v>9</v>
      </c>
      <c r="D306" s="91"/>
      <c r="E306" s="91"/>
      <c r="F306" s="91"/>
      <c r="G306" s="8"/>
      <c r="H306" s="87"/>
      <c r="I306" s="87"/>
      <c r="J306" s="137" t="s">
        <v>813</v>
      </c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>
      <c r="A307" s="147" t="s">
        <v>993</v>
      </c>
      <c r="B307" s="8" t="s">
        <v>8</v>
      </c>
      <c r="C307" s="8"/>
      <c r="D307" s="91"/>
      <c r="E307" s="91"/>
      <c r="F307" s="91"/>
      <c r="G307" s="8"/>
      <c r="H307" s="87"/>
      <c r="I307" s="87"/>
      <c r="J307" s="207" t="s">
        <v>785</v>
      </c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>
      <c r="A308" s="213" t="s">
        <v>1312</v>
      </c>
      <c r="B308" s="214"/>
      <c r="C308" s="214"/>
      <c r="D308" s="215"/>
      <c r="E308" s="214"/>
      <c r="F308" s="215">
        <f>sum(F298:G307)</f>
        <v>4.8</v>
      </c>
      <c r="G308" s="214"/>
      <c r="H308" s="214"/>
      <c r="I308" s="228">
        <f>sum(I298:I307)</f>
        <v>5.216666667</v>
      </c>
      <c r="J308" s="216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>
      <c r="A313" s="248" t="s">
        <v>100</v>
      </c>
      <c r="B313" s="249"/>
      <c r="C313" s="249"/>
      <c r="D313" s="249"/>
      <c r="E313" s="249"/>
      <c r="F313" s="249"/>
      <c r="G313" s="249"/>
      <c r="H313" s="249"/>
      <c r="I313" s="249"/>
      <c r="J313" s="250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>
      <c r="A314" s="251" t="s">
        <v>1140</v>
      </c>
      <c r="B314" s="252" t="s">
        <v>1</v>
      </c>
      <c r="C314" s="252" t="s">
        <v>2</v>
      </c>
      <c r="D314" s="252" t="s">
        <v>66</v>
      </c>
      <c r="E314" s="252" t="s">
        <v>1141</v>
      </c>
      <c r="F314" s="252" t="s">
        <v>1142</v>
      </c>
      <c r="G314" s="252" t="s">
        <v>1143</v>
      </c>
      <c r="H314" s="252" t="s">
        <v>1144</v>
      </c>
      <c r="I314" s="252" t="s">
        <v>1145</v>
      </c>
      <c r="J314" s="253" t="s">
        <v>5</v>
      </c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>
      <c r="A315" s="182" t="s">
        <v>1363</v>
      </c>
      <c r="B315" s="177" t="s">
        <v>141</v>
      </c>
      <c r="C315" s="177" t="s">
        <v>16</v>
      </c>
      <c r="D315" s="254">
        <v>360.0</v>
      </c>
      <c r="E315" s="254">
        <v>280.0</v>
      </c>
      <c r="F315" s="186"/>
      <c r="G315" s="186"/>
      <c r="H315" s="254">
        <v>30.0</v>
      </c>
      <c r="I315" s="255">
        <f t="shared" ref="I315:I319" si="11">(D315+E315)/H315</f>
        <v>21.33333333</v>
      </c>
      <c r="J315" s="220" t="s">
        <v>813</v>
      </c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>
      <c r="A316" s="182" t="s">
        <v>1364</v>
      </c>
      <c r="B316" s="177" t="s">
        <v>8</v>
      </c>
      <c r="C316" s="177" t="s">
        <v>16</v>
      </c>
      <c r="D316" s="183">
        <v>1080.0</v>
      </c>
      <c r="E316" s="186"/>
      <c r="F316" s="186"/>
      <c r="G316" s="186"/>
      <c r="H316" s="254">
        <v>60.0</v>
      </c>
      <c r="I316" s="254">
        <f t="shared" si="11"/>
        <v>18</v>
      </c>
      <c r="J316" s="188" t="s">
        <v>698</v>
      </c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>
      <c r="A317" s="182" t="s">
        <v>923</v>
      </c>
      <c r="B317" s="177" t="s">
        <v>8</v>
      </c>
      <c r="C317" s="219" t="s">
        <v>20</v>
      </c>
      <c r="D317" s="195">
        <v>900.0</v>
      </c>
      <c r="E317" s="179"/>
      <c r="F317" s="179"/>
      <c r="G317" s="179"/>
      <c r="H317" s="195">
        <v>60.0</v>
      </c>
      <c r="I317" s="195">
        <f t="shared" si="11"/>
        <v>15</v>
      </c>
      <c r="J317" s="92" t="s">
        <v>924</v>
      </c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>
      <c r="A318" s="182" t="s">
        <v>1365</v>
      </c>
      <c r="B318" s="219" t="s">
        <v>15</v>
      </c>
      <c r="C318" s="177" t="s">
        <v>20</v>
      </c>
      <c r="D318" s="183">
        <v>280.0</v>
      </c>
      <c r="E318" s="186"/>
      <c r="F318" s="186"/>
      <c r="G318" s="186"/>
      <c r="H318" s="254">
        <v>30.0</v>
      </c>
      <c r="I318" s="255">
        <f t="shared" si="11"/>
        <v>9.333333333</v>
      </c>
      <c r="J318" s="188" t="s">
        <v>324</v>
      </c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>
      <c r="A319" s="176" t="s">
        <v>1366</v>
      </c>
      <c r="B319" s="219" t="s">
        <v>19</v>
      </c>
      <c r="C319" s="177" t="s">
        <v>16</v>
      </c>
      <c r="D319" s="195">
        <v>50.0</v>
      </c>
      <c r="E319" s="195">
        <v>50.0</v>
      </c>
      <c r="F319" s="179"/>
      <c r="G319" s="179"/>
      <c r="H319" s="195">
        <v>10.0</v>
      </c>
      <c r="I319" s="195">
        <f t="shared" si="11"/>
        <v>10</v>
      </c>
      <c r="J319" s="256" t="s">
        <v>813</v>
      </c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>
      <c r="A320" s="182" t="s">
        <v>1367</v>
      </c>
      <c r="B320" s="177" t="s">
        <v>8</v>
      </c>
      <c r="C320" s="177" t="s">
        <v>16</v>
      </c>
      <c r="D320" s="186"/>
      <c r="E320" s="186"/>
      <c r="F320" s="183">
        <v>12.0</v>
      </c>
      <c r="G320" s="186"/>
      <c r="H320" s="186"/>
      <c r="I320" s="186"/>
      <c r="J320" s="188" t="s">
        <v>1368</v>
      </c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>
      <c r="A321" s="182" t="s">
        <v>1369</v>
      </c>
      <c r="B321" s="219" t="s">
        <v>54</v>
      </c>
      <c r="C321" s="177" t="s">
        <v>12</v>
      </c>
      <c r="D321" s="186"/>
      <c r="E321" s="186"/>
      <c r="F321" s="254">
        <v>11.0</v>
      </c>
      <c r="G321" s="186"/>
      <c r="H321" s="186"/>
      <c r="I321" s="186"/>
      <c r="J321" s="220" t="s">
        <v>813</v>
      </c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>
      <c r="A322" s="176" t="s">
        <v>1370</v>
      </c>
      <c r="B322" s="177" t="s">
        <v>96</v>
      </c>
      <c r="C322" s="177" t="s">
        <v>16</v>
      </c>
      <c r="D322" s="179"/>
      <c r="E322" s="179"/>
      <c r="F322" s="194">
        <v>10.0</v>
      </c>
      <c r="G322" s="179"/>
      <c r="H322" s="179"/>
      <c r="I322" s="179"/>
      <c r="J322" s="207" t="s">
        <v>1322</v>
      </c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>
      <c r="A323" s="176" t="s">
        <v>1371</v>
      </c>
      <c r="B323" s="219" t="s">
        <v>15</v>
      </c>
      <c r="C323" s="177" t="s">
        <v>20</v>
      </c>
      <c r="D323" s="179"/>
      <c r="E323" s="179"/>
      <c r="F323" s="195">
        <v>9.0</v>
      </c>
      <c r="G323" s="179"/>
      <c r="H323" s="179"/>
      <c r="I323" s="179"/>
      <c r="J323" s="256" t="s">
        <v>813</v>
      </c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>
      <c r="A324" s="182" t="s">
        <v>1372</v>
      </c>
      <c r="B324" s="219" t="s">
        <v>19</v>
      </c>
      <c r="C324" s="177" t="s">
        <v>20</v>
      </c>
      <c r="D324" s="186"/>
      <c r="E324" s="186"/>
      <c r="F324" s="254">
        <v>5.0</v>
      </c>
      <c r="G324" s="254">
        <v>5.0</v>
      </c>
      <c r="H324" s="186"/>
      <c r="I324" s="186"/>
      <c r="J324" s="220" t="s">
        <v>813</v>
      </c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>
      <c r="A325" s="257"/>
      <c r="B325" s="179"/>
      <c r="C325" s="186"/>
      <c r="D325" s="179"/>
      <c r="E325" s="179"/>
      <c r="F325" s="179"/>
      <c r="G325" s="179"/>
      <c r="H325" s="179"/>
      <c r="I325" s="179"/>
      <c r="J325" s="256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>
      <c r="A326" s="218" t="s">
        <v>1182</v>
      </c>
      <c r="B326" s="186"/>
      <c r="C326" s="186"/>
      <c r="D326" s="254">
        <v>50.0</v>
      </c>
      <c r="E326" s="186"/>
      <c r="F326" s="186"/>
      <c r="G326" s="186"/>
      <c r="H326" s="254">
        <v>10.0</v>
      </c>
      <c r="I326" s="254">
        <f>(D326+E326)/H326</f>
        <v>5</v>
      </c>
      <c r="J326" s="220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>
      <c r="A327" s="176" t="s">
        <v>1373</v>
      </c>
      <c r="B327" s="219" t="s">
        <v>19</v>
      </c>
      <c r="C327" s="177" t="s">
        <v>40</v>
      </c>
      <c r="D327" s="179"/>
      <c r="E327" s="179"/>
      <c r="F327" s="179"/>
      <c r="G327" s="179"/>
      <c r="H327" s="179"/>
      <c r="I327" s="179"/>
      <c r="J327" s="256" t="s">
        <v>813</v>
      </c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>
      <c r="A328" s="182" t="s">
        <v>1374</v>
      </c>
      <c r="B328" s="219" t="s">
        <v>19</v>
      </c>
      <c r="C328" s="177" t="s">
        <v>40</v>
      </c>
      <c r="D328" s="186"/>
      <c r="E328" s="186"/>
      <c r="F328" s="186"/>
      <c r="G328" s="186"/>
      <c r="H328" s="186"/>
      <c r="I328" s="186"/>
      <c r="J328" s="220" t="s">
        <v>813</v>
      </c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>
      <c r="A329" s="246" t="s">
        <v>1179</v>
      </c>
      <c r="B329" s="179"/>
      <c r="C329" s="179"/>
      <c r="D329" s="179"/>
      <c r="E329" s="179"/>
      <c r="F329" s="195">
        <v>6.0</v>
      </c>
      <c r="G329" s="179"/>
      <c r="H329" s="179"/>
      <c r="I329" s="179"/>
      <c r="J329" s="256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>
      <c r="A330" s="182" t="s">
        <v>1375</v>
      </c>
      <c r="B330" s="219" t="s">
        <v>15</v>
      </c>
      <c r="C330" s="177" t="s">
        <v>12</v>
      </c>
      <c r="D330" s="186"/>
      <c r="E330" s="186"/>
      <c r="F330" s="186"/>
      <c r="G330" s="186"/>
      <c r="H330" s="186"/>
      <c r="I330" s="186"/>
      <c r="J330" s="220" t="s">
        <v>813</v>
      </c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>
      <c r="A331" s="176" t="s">
        <v>1376</v>
      </c>
      <c r="B331" s="219" t="s">
        <v>15</v>
      </c>
      <c r="C331" s="177" t="s">
        <v>12</v>
      </c>
      <c r="D331" s="179"/>
      <c r="E331" s="179"/>
      <c r="F331" s="179"/>
      <c r="G331" s="179"/>
      <c r="H331" s="179"/>
      <c r="I331" s="179"/>
      <c r="J331" s="256" t="s">
        <v>813</v>
      </c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>
      <c r="A332" s="258" t="s">
        <v>1187</v>
      </c>
      <c r="B332" s="259"/>
      <c r="C332" s="259"/>
      <c r="D332" s="259"/>
      <c r="E332" s="259"/>
      <c r="F332" s="260">
        <f>sum(F316:G331)</f>
        <v>58</v>
      </c>
      <c r="G332" s="259"/>
      <c r="H332" s="259"/>
      <c r="I332" s="261">
        <f>sum(I316:I331)</f>
        <v>57.33333333</v>
      </c>
      <c r="J332" s="262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>
      <c r="A335" s="251" t="s">
        <v>1188</v>
      </c>
      <c r="B335" s="252" t="s">
        <v>1</v>
      </c>
      <c r="C335" s="252" t="s">
        <v>2</v>
      </c>
      <c r="D335" s="252" t="s">
        <v>66</v>
      </c>
      <c r="E335" s="252" t="s">
        <v>1141</v>
      </c>
      <c r="F335" s="252" t="s">
        <v>1142</v>
      </c>
      <c r="G335" s="252" t="s">
        <v>1143</v>
      </c>
      <c r="H335" s="252" t="s">
        <v>1144</v>
      </c>
      <c r="I335" s="252" t="s">
        <v>1145</v>
      </c>
      <c r="J335" s="253" t="s">
        <v>5</v>
      </c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>
      <c r="A336" s="182" t="s">
        <v>866</v>
      </c>
      <c r="B336" s="219" t="s">
        <v>8</v>
      </c>
      <c r="C336" s="177" t="s">
        <v>16</v>
      </c>
      <c r="D336" s="265">
        <v>90.0</v>
      </c>
      <c r="E336" s="265">
        <v>90.0</v>
      </c>
      <c r="F336" s="186"/>
      <c r="G336" s="186"/>
      <c r="H336" s="265">
        <v>60.0</v>
      </c>
      <c r="I336" s="254">
        <f t="shared" ref="I336:I342" si="12">(D336+E336)/H336</f>
        <v>3</v>
      </c>
      <c r="J336" s="188" t="s">
        <v>1377</v>
      </c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>
      <c r="A337" s="176" t="s">
        <v>1378</v>
      </c>
      <c r="B337" s="219" t="s">
        <v>15</v>
      </c>
      <c r="C337" s="219" t="s">
        <v>40</v>
      </c>
      <c r="D337" s="194">
        <v>32.0</v>
      </c>
      <c r="E337" s="195">
        <v>28.0</v>
      </c>
      <c r="F337" s="179"/>
      <c r="G337" s="179"/>
      <c r="H337" s="195">
        <v>30.0</v>
      </c>
      <c r="I337" s="200">
        <f t="shared" si="12"/>
        <v>2</v>
      </c>
      <c r="J337" s="256" t="s">
        <v>813</v>
      </c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>
      <c r="A338" s="182" t="s">
        <v>1364</v>
      </c>
      <c r="B338" s="177" t="s">
        <v>8</v>
      </c>
      <c r="C338" s="177" t="s">
        <v>16</v>
      </c>
      <c r="D338" s="183">
        <v>108.0</v>
      </c>
      <c r="E338" s="186"/>
      <c r="F338" s="186"/>
      <c r="G338" s="186"/>
      <c r="H338" s="194">
        <v>60.0</v>
      </c>
      <c r="I338" s="200">
        <f t="shared" si="12"/>
        <v>1.8</v>
      </c>
      <c r="J338" s="188" t="s">
        <v>698</v>
      </c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>
      <c r="A339" s="182" t="s">
        <v>1379</v>
      </c>
      <c r="B339" s="219" t="s">
        <v>54</v>
      </c>
      <c r="C339" s="177" t="s">
        <v>20</v>
      </c>
      <c r="D339" s="183">
        <v>90.0</v>
      </c>
      <c r="E339" s="186"/>
      <c r="F339" s="186"/>
      <c r="G339" s="186"/>
      <c r="H339" s="254">
        <v>60.0</v>
      </c>
      <c r="I339" s="254">
        <f t="shared" si="12"/>
        <v>1.5</v>
      </c>
      <c r="J339" s="188" t="s">
        <v>329</v>
      </c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>
      <c r="A340" s="176" t="s">
        <v>1380</v>
      </c>
      <c r="B340" s="219" t="s">
        <v>54</v>
      </c>
      <c r="C340" s="177" t="s">
        <v>9</v>
      </c>
      <c r="D340" s="195">
        <v>90.0</v>
      </c>
      <c r="E340" s="179"/>
      <c r="F340" s="179"/>
      <c r="G340" s="179"/>
      <c r="H340" s="195">
        <v>60.0</v>
      </c>
      <c r="I340" s="195">
        <f t="shared" si="12"/>
        <v>1.5</v>
      </c>
      <c r="J340" s="196" t="s">
        <v>152</v>
      </c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>
      <c r="A341" s="176" t="s">
        <v>1381</v>
      </c>
      <c r="B341" s="219" t="s">
        <v>19</v>
      </c>
      <c r="C341" s="219" t="s">
        <v>9</v>
      </c>
      <c r="D341" s="266">
        <v>5.0</v>
      </c>
      <c r="E341" s="266">
        <v>5.0</v>
      </c>
      <c r="F341" s="179"/>
      <c r="G341" s="179"/>
      <c r="H341" s="266">
        <v>10.0</v>
      </c>
      <c r="I341" s="195">
        <f t="shared" si="12"/>
        <v>1</v>
      </c>
      <c r="J341" s="196" t="s">
        <v>813</v>
      </c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>
      <c r="A342" s="182" t="s">
        <v>1382</v>
      </c>
      <c r="B342" s="219" t="s">
        <v>15</v>
      </c>
      <c r="C342" s="177" t="s">
        <v>20</v>
      </c>
      <c r="D342" s="267">
        <v>28.0</v>
      </c>
      <c r="E342" s="265"/>
      <c r="F342" s="186"/>
      <c r="G342" s="186"/>
      <c r="H342" s="265">
        <v>30.0</v>
      </c>
      <c r="I342" s="255">
        <f t="shared" si="12"/>
        <v>0.9333333333</v>
      </c>
      <c r="J342" s="188" t="s">
        <v>1383</v>
      </c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>
      <c r="A343" s="176" t="s">
        <v>1384</v>
      </c>
      <c r="B343" s="177" t="s">
        <v>8</v>
      </c>
      <c r="C343" s="177" t="s">
        <v>12</v>
      </c>
      <c r="D343" s="179"/>
      <c r="E343" s="179"/>
      <c r="F343" s="268">
        <v>12.0</v>
      </c>
      <c r="G343" s="179"/>
      <c r="H343" s="179"/>
      <c r="I343" s="269"/>
      <c r="J343" s="190" t="s">
        <v>785</v>
      </c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>
      <c r="A344" s="176" t="s">
        <v>1345</v>
      </c>
      <c r="B344" s="219" t="s">
        <v>8</v>
      </c>
      <c r="C344" s="177" t="s">
        <v>9</v>
      </c>
      <c r="D344" s="179"/>
      <c r="E344" s="179"/>
      <c r="F344" s="266">
        <v>12.0</v>
      </c>
      <c r="G344" s="179"/>
      <c r="H344" s="179"/>
      <c r="I344" s="269"/>
      <c r="J344" s="188" t="s">
        <v>698</v>
      </c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>
      <c r="A345" s="182" t="s">
        <v>1385</v>
      </c>
      <c r="B345" s="219" t="s">
        <v>8</v>
      </c>
      <c r="C345" s="177" t="s">
        <v>9</v>
      </c>
      <c r="D345" s="186"/>
      <c r="E345" s="186"/>
      <c r="F345" s="265">
        <v>12.0</v>
      </c>
      <c r="G345" s="186"/>
      <c r="H345" s="186"/>
      <c r="I345" s="270"/>
      <c r="J345" s="188" t="s">
        <v>1386</v>
      </c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>
      <c r="A346" s="176" t="s">
        <v>1035</v>
      </c>
      <c r="B346" s="219" t="s">
        <v>15</v>
      </c>
      <c r="C346" s="177" t="s">
        <v>40</v>
      </c>
      <c r="D346" s="179"/>
      <c r="E346" s="179"/>
      <c r="F346" s="266">
        <v>9.0</v>
      </c>
      <c r="G346" s="179"/>
      <c r="H346" s="179"/>
      <c r="I346" s="269"/>
      <c r="J346" s="256" t="s">
        <v>813</v>
      </c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>
      <c r="A347" s="182" t="s">
        <v>1387</v>
      </c>
      <c r="B347" s="219" t="s">
        <v>19</v>
      </c>
      <c r="C347" s="219" t="s">
        <v>9</v>
      </c>
      <c r="D347" s="186"/>
      <c r="E347" s="186"/>
      <c r="F347" s="254">
        <v>5.0</v>
      </c>
      <c r="G347" s="254">
        <v>5.0</v>
      </c>
      <c r="H347" s="186"/>
      <c r="I347" s="186"/>
      <c r="J347" s="220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>
      <c r="A348" s="257"/>
      <c r="B348" s="186"/>
      <c r="C348" s="186"/>
      <c r="D348" s="179"/>
      <c r="E348" s="179"/>
      <c r="F348" s="179"/>
      <c r="G348" s="179"/>
      <c r="H348" s="179"/>
      <c r="I348" s="179"/>
      <c r="J348" s="256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>
      <c r="A349" s="218" t="s">
        <v>1182</v>
      </c>
      <c r="B349" s="186"/>
      <c r="C349" s="186"/>
      <c r="D349" s="183">
        <v>5.0</v>
      </c>
      <c r="E349" s="186"/>
      <c r="F349" s="186"/>
      <c r="G349" s="186"/>
      <c r="H349" s="254">
        <v>10.0</v>
      </c>
      <c r="I349" s="254">
        <f>(D349+E349)/H349</f>
        <v>0.5</v>
      </c>
      <c r="J349" s="220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>
      <c r="A350" s="176" t="s">
        <v>1388</v>
      </c>
      <c r="B350" s="219" t="s">
        <v>19</v>
      </c>
      <c r="C350" s="177" t="s">
        <v>9</v>
      </c>
      <c r="D350" s="179"/>
      <c r="E350" s="179"/>
      <c r="F350" s="179"/>
      <c r="G350" s="179"/>
      <c r="H350" s="179"/>
      <c r="I350" s="179"/>
      <c r="J350" s="196" t="s">
        <v>807</v>
      </c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>
      <c r="A351" s="246" t="s">
        <v>1337</v>
      </c>
      <c r="B351" s="219" t="s">
        <v>19</v>
      </c>
      <c r="C351" s="219" t="s">
        <v>9</v>
      </c>
      <c r="D351" s="179"/>
      <c r="E351" s="179"/>
      <c r="F351" s="179"/>
      <c r="G351" s="179"/>
      <c r="H351" s="179"/>
      <c r="I351" s="179"/>
      <c r="J351" s="196" t="s">
        <v>746</v>
      </c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>
      <c r="A352" s="218" t="s">
        <v>1182</v>
      </c>
      <c r="B352" s="186"/>
      <c r="C352" s="186"/>
      <c r="D352" s="254">
        <v>5.0</v>
      </c>
      <c r="E352" s="186"/>
      <c r="F352" s="186"/>
      <c r="G352" s="186"/>
      <c r="H352" s="254">
        <v>10.0</v>
      </c>
      <c r="I352" s="254">
        <f>(D352+E352)/H352</f>
        <v>0.5</v>
      </c>
      <c r="J352" s="220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>
      <c r="A353" s="176" t="s">
        <v>1389</v>
      </c>
      <c r="B353" s="219" t="s">
        <v>19</v>
      </c>
      <c r="C353" s="219" t="s">
        <v>20</v>
      </c>
      <c r="D353" s="179"/>
      <c r="E353" s="179"/>
      <c r="F353" s="179"/>
      <c r="G353" s="179"/>
      <c r="H353" s="179"/>
      <c r="I353" s="179"/>
      <c r="J353" s="256" t="s">
        <v>813</v>
      </c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>
      <c r="A354" s="182" t="s">
        <v>1282</v>
      </c>
      <c r="B354" s="219" t="s">
        <v>19</v>
      </c>
      <c r="C354" s="219" t="s">
        <v>20</v>
      </c>
      <c r="D354" s="186"/>
      <c r="E354" s="186"/>
      <c r="F354" s="186"/>
      <c r="G354" s="186"/>
      <c r="H354" s="186"/>
      <c r="I354" s="186"/>
      <c r="J354" s="220" t="s">
        <v>813</v>
      </c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>
      <c r="A355" s="246" t="s">
        <v>1179</v>
      </c>
      <c r="B355" s="186"/>
      <c r="C355" s="186"/>
      <c r="D355" s="179"/>
      <c r="E355" s="179"/>
      <c r="F355" s="266">
        <v>6.0</v>
      </c>
      <c r="G355" s="179"/>
      <c r="H355" s="179"/>
      <c r="I355" s="179"/>
      <c r="J355" s="256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>
      <c r="A356" s="182" t="s">
        <v>1390</v>
      </c>
      <c r="B356" s="219" t="s">
        <v>141</v>
      </c>
      <c r="C356" s="177" t="s">
        <v>16</v>
      </c>
      <c r="D356" s="186"/>
      <c r="E356" s="186"/>
      <c r="F356" s="186"/>
      <c r="G356" s="186"/>
      <c r="H356" s="186"/>
      <c r="I356" s="186"/>
      <c r="J356" s="220" t="s">
        <v>813</v>
      </c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>
      <c r="A357" s="176" t="s">
        <v>1391</v>
      </c>
      <c r="B357" s="177" t="s">
        <v>141</v>
      </c>
      <c r="C357" s="177" t="s">
        <v>16</v>
      </c>
      <c r="D357" s="179"/>
      <c r="E357" s="179"/>
      <c r="F357" s="179"/>
      <c r="G357" s="179"/>
      <c r="H357" s="179"/>
      <c r="I357" s="179"/>
      <c r="J357" s="256" t="s">
        <v>813</v>
      </c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>
      <c r="A358" s="258" t="s">
        <v>1236</v>
      </c>
      <c r="B358" s="259"/>
      <c r="C358" s="259"/>
      <c r="D358" s="259"/>
      <c r="E358" s="259"/>
      <c r="F358" s="260">
        <f>sum(F336:G357)</f>
        <v>61</v>
      </c>
      <c r="G358" s="259"/>
      <c r="H358" s="259"/>
      <c r="I358" s="261">
        <f>sum(I336:I357)</f>
        <v>12.73333333</v>
      </c>
      <c r="J358" s="262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>
      <c r="A361" s="251" t="s">
        <v>1237</v>
      </c>
      <c r="B361" s="252" t="s">
        <v>1</v>
      </c>
      <c r="C361" s="252" t="s">
        <v>2</v>
      </c>
      <c r="D361" s="252" t="s">
        <v>66</v>
      </c>
      <c r="E361" s="252" t="s">
        <v>1141</v>
      </c>
      <c r="F361" s="252" t="s">
        <v>1142</v>
      </c>
      <c r="G361" s="252" t="s">
        <v>1143</v>
      </c>
      <c r="H361" s="252" t="s">
        <v>1144</v>
      </c>
      <c r="I361" s="252" t="s">
        <v>1145</v>
      </c>
      <c r="J361" s="253" t="s">
        <v>5</v>
      </c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>
      <c r="A362" s="182" t="s">
        <v>923</v>
      </c>
      <c r="B362" s="219" t="s">
        <v>8</v>
      </c>
      <c r="C362" s="219" t="s">
        <v>20</v>
      </c>
      <c r="D362" s="254">
        <v>90.0</v>
      </c>
      <c r="E362" s="186"/>
      <c r="F362" s="186"/>
      <c r="G362" s="186"/>
      <c r="H362" s="254">
        <v>60.0</v>
      </c>
      <c r="I362" s="254">
        <f t="shared" ref="I362:I365" si="13">(D362+E362)/H362</f>
        <v>1.5</v>
      </c>
      <c r="J362" s="92" t="s">
        <v>924</v>
      </c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>
      <c r="A363" s="176" t="s">
        <v>866</v>
      </c>
      <c r="B363" s="219" t="s">
        <v>8</v>
      </c>
      <c r="C363" s="177" t="s">
        <v>16</v>
      </c>
      <c r="D363" s="266">
        <v>90.0</v>
      </c>
      <c r="E363" s="179"/>
      <c r="F363" s="179"/>
      <c r="G363" s="179"/>
      <c r="H363" s="266">
        <v>60.0</v>
      </c>
      <c r="I363" s="195">
        <f t="shared" si="13"/>
        <v>1.5</v>
      </c>
      <c r="J363" s="196" t="s">
        <v>1377</v>
      </c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>
      <c r="A364" s="182" t="s">
        <v>1378</v>
      </c>
      <c r="B364" s="219" t="s">
        <v>15</v>
      </c>
      <c r="C364" s="219" t="s">
        <v>9</v>
      </c>
      <c r="D364" s="267">
        <v>32.0</v>
      </c>
      <c r="E364" s="186"/>
      <c r="F364" s="186"/>
      <c r="G364" s="186"/>
      <c r="H364" s="265">
        <v>30.0</v>
      </c>
      <c r="I364" s="255">
        <f t="shared" si="13"/>
        <v>1.066666667</v>
      </c>
      <c r="J364" s="220" t="s">
        <v>813</v>
      </c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>
      <c r="A365" s="176" t="s">
        <v>1392</v>
      </c>
      <c r="B365" s="177" t="s">
        <v>15</v>
      </c>
      <c r="C365" s="177" t="s">
        <v>12</v>
      </c>
      <c r="D365" s="178">
        <v>28.0</v>
      </c>
      <c r="E365" s="179"/>
      <c r="F365" s="266"/>
      <c r="G365" s="179"/>
      <c r="H365" s="265">
        <v>30.0</v>
      </c>
      <c r="I365" s="255">
        <f t="shared" si="13"/>
        <v>0.9333333333</v>
      </c>
      <c r="J365" s="196" t="s">
        <v>312</v>
      </c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>
      <c r="A366" s="176" t="s">
        <v>1393</v>
      </c>
      <c r="B366" s="177" t="s">
        <v>8</v>
      </c>
      <c r="C366" s="177" t="s">
        <v>16</v>
      </c>
      <c r="D366" s="179"/>
      <c r="E366" s="179"/>
      <c r="F366" s="268">
        <v>12.0</v>
      </c>
      <c r="G366" s="268"/>
      <c r="H366" s="179"/>
      <c r="I366" s="179"/>
      <c r="J366" s="207" t="s">
        <v>785</v>
      </c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>
      <c r="A367" s="176" t="s">
        <v>1394</v>
      </c>
      <c r="B367" s="177" t="s">
        <v>8</v>
      </c>
      <c r="C367" s="177" t="s">
        <v>16</v>
      </c>
      <c r="D367" s="179"/>
      <c r="E367" s="179"/>
      <c r="F367" s="268">
        <v>12.0</v>
      </c>
      <c r="G367" s="268"/>
      <c r="H367" s="179"/>
      <c r="I367" s="179"/>
      <c r="J367" s="207" t="s">
        <v>1395</v>
      </c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>
      <c r="A368" s="176" t="s">
        <v>1396</v>
      </c>
      <c r="B368" s="177" t="s">
        <v>8</v>
      </c>
      <c r="C368" s="177" t="s">
        <v>16</v>
      </c>
      <c r="D368" s="179"/>
      <c r="E368" s="179"/>
      <c r="F368" s="268">
        <v>12.0</v>
      </c>
      <c r="G368" s="179"/>
      <c r="H368" s="179"/>
      <c r="I368" s="179"/>
      <c r="J368" s="196" t="s">
        <v>1397</v>
      </c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>
      <c r="A369" s="176" t="s">
        <v>1068</v>
      </c>
      <c r="B369" s="219" t="s">
        <v>8</v>
      </c>
      <c r="C369" s="177" t="s">
        <v>20</v>
      </c>
      <c r="D369" s="179"/>
      <c r="E369" s="179"/>
      <c r="F369" s="266">
        <v>12.0</v>
      </c>
      <c r="G369" s="179"/>
      <c r="H369" s="179"/>
      <c r="I369" s="179"/>
      <c r="J369" s="196" t="s">
        <v>1069</v>
      </c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>
      <c r="A370" s="176" t="s">
        <v>1398</v>
      </c>
      <c r="B370" s="177" t="s">
        <v>54</v>
      </c>
      <c r="C370" s="177" t="s">
        <v>16</v>
      </c>
      <c r="D370" s="179"/>
      <c r="E370" s="179"/>
      <c r="F370" s="268">
        <v>11.0</v>
      </c>
      <c r="G370" s="266"/>
      <c r="H370" s="179"/>
      <c r="I370" s="179"/>
      <c r="J370" s="207" t="s">
        <v>1322</v>
      </c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>
      <c r="A371" s="176" t="s">
        <v>1399</v>
      </c>
      <c r="B371" s="177" t="s">
        <v>19</v>
      </c>
      <c r="C371" s="177" t="s">
        <v>16</v>
      </c>
      <c r="D371" s="179"/>
      <c r="E371" s="179"/>
      <c r="F371" s="268">
        <v>5.0</v>
      </c>
      <c r="G371" s="268">
        <v>5.0</v>
      </c>
      <c r="H371" s="179"/>
      <c r="I371" s="179"/>
      <c r="J371" s="207" t="s">
        <v>1322</v>
      </c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>
      <c r="A372" s="176" t="s">
        <v>1400</v>
      </c>
      <c r="B372" s="219" t="s">
        <v>19</v>
      </c>
      <c r="C372" s="219" t="s">
        <v>16</v>
      </c>
      <c r="D372" s="179"/>
      <c r="E372" s="179"/>
      <c r="F372" s="266">
        <v>5.0</v>
      </c>
      <c r="G372" s="266">
        <v>5.0</v>
      </c>
      <c r="H372" s="179"/>
      <c r="I372" s="179"/>
      <c r="J372" s="256" t="s">
        <v>813</v>
      </c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>
      <c r="A373" s="271"/>
      <c r="B373" s="219"/>
      <c r="C373" s="186"/>
      <c r="D373" s="186"/>
      <c r="E373" s="186"/>
      <c r="F373" s="186"/>
      <c r="G373" s="186"/>
      <c r="H373" s="186"/>
      <c r="I373" s="186"/>
      <c r="J373" s="220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>
      <c r="A374" s="246" t="s">
        <v>1182</v>
      </c>
      <c r="B374" s="179"/>
      <c r="C374" s="186"/>
      <c r="D374" s="195">
        <v>5.0</v>
      </c>
      <c r="E374" s="179"/>
      <c r="F374" s="179"/>
      <c r="G374" s="179"/>
      <c r="H374" s="195">
        <v>10.0</v>
      </c>
      <c r="I374" s="195">
        <f>(D374+E374)/H374</f>
        <v>0.5</v>
      </c>
      <c r="J374" s="256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>
      <c r="A375" s="182" t="s">
        <v>1401</v>
      </c>
      <c r="B375" s="219" t="s">
        <v>19</v>
      </c>
      <c r="C375" s="177" t="s">
        <v>12</v>
      </c>
      <c r="D375" s="186"/>
      <c r="E375" s="186"/>
      <c r="F375" s="186"/>
      <c r="G375" s="186"/>
      <c r="H375" s="186"/>
      <c r="I375" s="186"/>
      <c r="J375" s="220" t="s">
        <v>813</v>
      </c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>
      <c r="A376" s="176" t="s">
        <v>1402</v>
      </c>
      <c r="B376" s="219" t="s">
        <v>19</v>
      </c>
      <c r="C376" s="219" t="s">
        <v>12</v>
      </c>
      <c r="D376" s="179"/>
      <c r="E376" s="179"/>
      <c r="F376" s="179"/>
      <c r="G376" s="179"/>
      <c r="H376" s="179"/>
      <c r="I376" s="179"/>
      <c r="J376" s="256" t="s">
        <v>813</v>
      </c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>
      <c r="A377" s="218" t="s">
        <v>1179</v>
      </c>
      <c r="B377" s="186"/>
      <c r="C377" s="186"/>
      <c r="D377" s="186"/>
      <c r="E377" s="186"/>
      <c r="F377" s="254">
        <v>6.0</v>
      </c>
      <c r="G377" s="186"/>
      <c r="H377" s="186"/>
      <c r="I377" s="186"/>
      <c r="J377" s="220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>
      <c r="A378" s="176" t="s">
        <v>1403</v>
      </c>
      <c r="B378" s="219" t="s">
        <v>15</v>
      </c>
      <c r="C378" s="219" t="s">
        <v>20</v>
      </c>
      <c r="D378" s="179"/>
      <c r="E378" s="179"/>
      <c r="F378" s="179"/>
      <c r="G378" s="179"/>
      <c r="H378" s="179"/>
      <c r="I378" s="179"/>
      <c r="J378" s="256" t="s">
        <v>813</v>
      </c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>
      <c r="A379" s="182" t="s">
        <v>1404</v>
      </c>
      <c r="B379" s="219" t="s">
        <v>15</v>
      </c>
      <c r="C379" s="177" t="s">
        <v>20</v>
      </c>
      <c r="D379" s="186"/>
      <c r="E379" s="186"/>
      <c r="F379" s="186"/>
      <c r="G379" s="186"/>
      <c r="H379" s="186"/>
      <c r="I379" s="186"/>
      <c r="J379" s="220" t="s">
        <v>813</v>
      </c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>
      <c r="A380" s="272" t="s">
        <v>1265</v>
      </c>
      <c r="B380" s="214"/>
      <c r="C380" s="214"/>
      <c r="D380" s="214"/>
      <c r="E380" s="214"/>
      <c r="F380" s="215">
        <f>sum(F362:G379)</f>
        <v>85</v>
      </c>
      <c r="G380" s="214"/>
      <c r="H380" s="214"/>
      <c r="I380" s="215">
        <f>sum(I362:I379)</f>
        <v>5.5</v>
      </c>
      <c r="J380" s="216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>
      <c r="A383" s="273" t="s">
        <v>1266</v>
      </c>
      <c r="B383" s="274" t="s">
        <v>1</v>
      </c>
      <c r="C383" s="274" t="s">
        <v>2</v>
      </c>
      <c r="D383" s="274" t="s">
        <v>66</v>
      </c>
      <c r="E383" s="274" t="s">
        <v>1141</v>
      </c>
      <c r="F383" s="274" t="s">
        <v>1142</v>
      </c>
      <c r="G383" s="274" t="s">
        <v>1143</v>
      </c>
      <c r="H383" s="274" t="s">
        <v>1144</v>
      </c>
      <c r="I383" s="274" t="s">
        <v>1145</v>
      </c>
      <c r="J383" s="275" t="s">
        <v>5</v>
      </c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>
      <c r="A384" s="182" t="s">
        <v>1382</v>
      </c>
      <c r="B384" s="219" t="s">
        <v>15</v>
      </c>
      <c r="C384" s="177" t="s">
        <v>20</v>
      </c>
      <c r="D384" s="267">
        <v>28.0</v>
      </c>
      <c r="E384" s="265">
        <v>28.0</v>
      </c>
      <c r="F384" s="186"/>
      <c r="G384" s="186"/>
      <c r="H384" s="265">
        <v>30.0</v>
      </c>
      <c r="I384" s="255">
        <f t="shared" ref="I384:I386" si="14">(D384+E384)/H384</f>
        <v>1.866666667</v>
      </c>
      <c r="J384" s="188" t="s">
        <v>1383</v>
      </c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>
      <c r="A385" s="176" t="s">
        <v>1379</v>
      </c>
      <c r="B385" s="219" t="s">
        <v>8</v>
      </c>
      <c r="C385" s="219" t="s">
        <v>20</v>
      </c>
      <c r="D385" s="195">
        <v>90.0</v>
      </c>
      <c r="E385" s="179"/>
      <c r="F385" s="179"/>
      <c r="G385" s="179"/>
      <c r="H385" s="195">
        <v>60.0</v>
      </c>
      <c r="I385" s="195">
        <f t="shared" si="14"/>
        <v>1.5</v>
      </c>
      <c r="J385" s="196" t="s">
        <v>329</v>
      </c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>
      <c r="A386" s="176" t="s">
        <v>1363</v>
      </c>
      <c r="B386" s="177" t="s">
        <v>141</v>
      </c>
      <c r="C386" s="177" t="s">
        <v>16</v>
      </c>
      <c r="D386" s="178">
        <v>32.0</v>
      </c>
      <c r="E386" s="179"/>
      <c r="F386" s="266"/>
      <c r="G386" s="179"/>
      <c r="H386" s="265">
        <v>30.0</v>
      </c>
      <c r="I386" s="255">
        <f t="shared" si="14"/>
        <v>1.066666667</v>
      </c>
      <c r="J386" s="256" t="s">
        <v>813</v>
      </c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>
      <c r="A387" s="176" t="s">
        <v>1405</v>
      </c>
      <c r="B387" s="177" t="s">
        <v>54</v>
      </c>
      <c r="C387" s="177" t="s">
        <v>16</v>
      </c>
      <c r="D387" s="179"/>
      <c r="E387" s="179"/>
      <c r="F387" s="268">
        <v>11.0</v>
      </c>
      <c r="G387" s="179"/>
      <c r="H387" s="179"/>
      <c r="I387" s="179"/>
      <c r="J387" s="207" t="s">
        <v>1322</v>
      </c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>
      <c r="A388" s="176" t="s">
        <v>1369</v>
      </c>
      <c r="B388" s="219" t="s">
        <v>54</v>
      </c>
      <c r="C388" s="177" t="s">
        <v>12</v>
      </c>
      <c r="D388" s="179"/>
      <c r="E388" s="179"/>
      <c r="F388" s="266">
        <v>11.0</v>
      </c>
      <c r="G388" s="179"/>
      <c r="H388" s="179"/>
      <c r="I388" s="179"/>
      <c r="J388" s="256" t="s">
        <v>813</v>
      </c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>
      <c r="A389" s="182" t="s">
        <v>1078</v>
      </c>
      <c r="B389" s="219" t="s">
        <v>141</v>
      </c>
      <c r="C389" s="177" t="s">
        <v>40</v>
      </c>
      <c r="D389" s="186"/>
      <c r="E389" s="186"/>
      <c r="F389" s="265">
        <v>8.0</v>
      </c>
      <c r="G389" s="186"/>
      <c r="H389" s="186"/>
      <c r="I389" s="186"/>
      <c r="J389" s="220" t="s">
        <v>813</v>
      </c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>
      <c r="A390" s="176" t="s">
        <v>1406</v>
      </c>
      <c r="B390" s="177" t="s">
        <v>19</v>
      </c>
      <c r="C390" s="177" t="s">
        <v>16</v>
      </c>
      <c r="D390" s="179"/>
      <c r="E390" s="179"/>
      <c r="F390" s="268">
        <v>5.0</v>
      </c>
      <c r="G390" s="268">
        <v>5.0</v>
      </c>
      <c r="H390" s="179"/>
      <c r="I390" s="179"/>
      <c r="J390" s="207" t="s">
        <v>1322</v>
      </c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>
      <c r="A391" s="176" t="s">
        <v>1407</v>
      </c>
      <c r="B391" s="219" t="s">
        <v>19</v>
      </c>
      <c r="C391" s="177" t="s">
        <v>20</v>
      </c>
      <c r="D391" s="179"/>
      <c r="E391" s="179"/>
      <c r="F391" s="266">
        <v>5.0</v>
      </c>
      <c r="G391" s="266">
        <v>5.0</v>
      </c>
      <c r="H391" s="179"/>
      <c r="I391" s="179"/>
      <c r="J391" s="256" t="s">
        <v>813</v>
      </c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>
      <c r="A392" s="257"/>
      <c r="B392" s="179"/>
      <c r="C392" s="186"/>
      <c r="D392" s="179"/>
      <c r="E392" s="179"/>
      <c r="F392" s="179"/>
      <c r="G392" s="179"/>
      <c r="H392" s="179"/>
      <c r="I392" s="179"/>
      <c r="J392" s="256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>
      <c r="A393" s="218" t="s">
        <v>1182</v>
      </c>
      <c r="B393" s="186"/>
      <c r="C393" s="186"/>
      <c r="D393" s="254">
        <v>5.0</v>
      </c>
      <c r="E393" s="186"/>
      <c r="F393" s="186"/>
      <c r="G393" s="186"/>
      <c r="H393" s="254">
        <v>10.0</v>
      </c>
      <c r="I393" s="254">
        <f>(D393+E393)/H393</f>
        <v>0.5</v>
      </c>
      <c r="J393" s="220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>
      <c r="A394" s="176" t="s">
        <v>1408</v>
      </c>
      <c r="B394" s="219" t="s">
        <v>19</v>
      </c>
      <c r="C394" s="177" t="s">
        <v>16</v>
      </c>
      <c r="D394" s="179"/>
      <c r="E394" s="179"/>
      <c r="F394" s="179"/>
      <c r="G394" s="179"/>
      <c r="H394" s="179"/>
      <c r="I394" s="179"/>
      <c r="J394" s="256" t="s">
        <v>813</v>
      </c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>
      <c r="A395" s="182" t="s">
        <v>1409</v>
      </c>
      <c r="B395" s="219" t="s">
        <v>19</v>
      </c>
      <c r="C395" s="177" t="s">
        <v>16</v>
      </c>
      <c r="D395" s="186"/>
      <c r="E395" s="186"/>
      <c r="F395" s="186"/>
      <c r="G395" s="186"/>
      <c r="H395" s="186"/>
      <c r="I395" s="186"/>
      <c r="J395" s="220" t="s">
        <v>813</v>
      </c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>
      <c r="A396" s="246" t="s">
        <v>1179</v>
      </c>
      <c r="B396" s="179"/>
      <c r="C396" s="179"/>
      <c r="D396" s="179"/>
      <c r="E396" s="179"/>
      <c r="F396" s="195">
        <v>6.0</v>
      </c>
      <c r="G396" s="179"/>
      <c r="H396" s="179"/>
      <c r="I396" s="179"/>
      <c r="J396" s="256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>
      <c r="A397" s="182" t="s">
        <v>1410</v>
      </c>
      <c r="B397" s="219" t="s">
        <v>15</v>
      </c>
      <c r="C397" s="219" t="s">
        <v>12</v>
      </c>
      <c r="D397" s="186"/>
      <c r="E397" s="186"/>
      <c r="F397" s="186"/>
      <c r="G397" s="186"/>
      <c r="H397" s="186"/>
      <c r="I397" s="186"/>
      <c r="J397" s="220" t="s">
        <v>813</v>
      </c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>
      <c r="A398" s="176" t="s">
        <v>1411</v>
      </c>
      <c r="B398" s="177" t="s">
        <v>15</v>
      </c>
      <c r="C398" s="219" t="s">
        <v>12</v>
      </c>
      <c r="D398" s="179"/>
      <c r="E398" s="179"/>
      <c r="F398" s="179"/>
      <c r="G398" s="179"/>
      <c r="H398" s="179"/>
      <c r="I398" s="179"/>
      <c r="J398" s="196" t="s">
        <v>633</v>
      </c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>
      <c r="A399" s="258" t="s">
        <v>1287</v>
      </c>
      <c r="B399" s="259"/>
      <c r="C399" s="259"/>
      <c r="D399" s="259"/>
      <c r="E399" s="259"/>
      <c r="F399" s="260">
        <f>sum(F384:G398)</f>
        <v>56</v>
      </c>
      <c r="G399" s="259"/>
      <c r="H399" s="259"/>
      <c r="I399" s="261">
        <f>sum(I384:I398)</f>
        <v>4.933333333</v>
      </c>
      <c r="J399" s="262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>
      <c r="A402" s="251" t="s">
        <v>1288</v>
      </c>
      <c r="B402" s="252" t="s">
        <v>1</v>
      </c>
      <c r="C402" s="252" t="s">
        <v>2</v>
      </c>
      <c r="D402" s="252" t="s">
        <v>66</v>
      </c>
      <c r="E402" s="252" t="s">
        <v>1141</v>
      </c>
      <c r="F402" s="252" t="s">
        <v>1142</v>
      </c>
      <c r="G402" s="252" t="s">
        <v>1143</v>
      </c>
      <c r="H402" s="252" t="s">
        <v>1144</v>
      </c>
      <c r="I402" s="252" t="s">
        <v>1145</v>
      </c>
      <c r="J402" s="253" t="s">
        <v>5</v>
      </c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>
      <c r="A403" s="182" t="s">
        <v>1371</v>
      </c>
      <c r="B403" s="219" t="s">
        <v>15</v>
      </c>
      <c r="C403" s="177" t="s">
        <v>20</v>
      </c>
      <c r="D403" s="265">
        <v>18.0</v>
      </c>
      <c r="E403" s="265">
        <v>14.0</v>
      </c>
      <c r="F403" s="186"/>
      <c r="G403" s="186"/>
      <c r="H403" s="265">
        <v>30.0</v>
      </c>
      <c r="I403" s="255">
        <f t="shared" ref="I403:I408" si="15">(D403+E403)/H403</f>
        <v>1.066666667</v>
      </c>
      <c r="J403" s="220" t="s">
        <v>813</v>
      </c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>
      <c r="A404" s="176" t="s">
        <v>923</v>
      </c>
      <c r="B404" s="219" t="s">
        <v>8</v>
      </c>
      <c r="C404" s="219" t="s">
        <v>20</v>
      </c>
      <c r="D404" s="195">
        <v>30.0</v>
      </c>
      <c r="E404" s="266">
        <v>30.0</v>
      </c>
      <c r="F404" s="179"/>
      <c r="G404" s="179"/>
      <c r="H404" s="195">
        <v>60.0</v>
      </c>
      <c r="I404" s="195">
        <f t="shared" si="15"/>
        <v>1</v>
      </c>
      <c r="J404" s="92" t="s">
        <v>924</v>
      </c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>
      <c r="A405" s="182" t="s">
        <v>1379</v>
      </c>
      <c r="B405" s="219" t="s">
        <v>54</v>
      </c>
      <c r="C405" s="219" t="s">
        <v>20</v>
      </c>
      <c r="D405" s="254">
        <v>30.0</v>
      </c>
      <c r="E405" s="265">
        <v>30.0</v>
      </c>
      <c r="F405" s="186"/>
      <c r="G405" s="186"/>
      <c r="H405" s="254">
        <v>60.0</v>
      </c>
      <c r="I405" s="254">
        <f t="shared" si="15"/>
        <v>1</v>
      </c>
      <c r="J405" s="188" t="s">
        <v>1412</v>
      </c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>
      <c r="A406" s="276" t="s">
        <v>1413</v>
      </c>
      <c r="B406" s="219" t="s">
        <v>19</v>
      </c>
      <c r="C406" s="177" t="s">
        <v>20</v>
      </c>
      <c r="D406" s="266">
        <v>5.0</v>
      </c>
      <c r="E406" s="266">
        <v>5.0</v>
      </c>
      <c r="F406" s="179"/>
      <c r="G406" s="179"/>
      <c r="H406" s="266">
        <v>10.0</v>
      </c>
      <c r="I406" s="195">
        <f t="shared" si="15"/>
        <v>1</v>
      </c>
      <c r="J406" s="256" t="s">
        <v>813</v>
      </c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>
      <c r="A407" s="182" t="s">
        <v>1414</v>
      </c>
      <c r="B407" s="219" t="s">
        <v>19</v>
      </c>
      <c r="C407" s="219" t="s">
        <v>16</v>
      </c>
      <c r="D407" s="265">
        <v>5.0</v>
      </c>
      <c r="E407" s="265">
        <v>3.0</v>
      </c>
      <c r="F407" s="186"/>
      <c r="G407" s="186"/>
      <c r="H407" s="265">
        <v>10.0</v>
      </c>
      <c r="I407" s="254">
        <f t="shared" si="15"/>
        <v>0.8</v>
      </c>
      <c r="J407" s="188" t="s">
        <v>1415</v>
      </c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>
      <c r="A408" s="176" t="s">
        <v>1380</v>
      </c>
      <c r="B408" s="177" t="s">
        <v>54</v>
      </c>
      <c r="C408" s="177" t="s">
        <v>9</v>
      </c>
      <c r="D408" s="178">
        <v>30.0</v>
      </c>
      <c r="E408" s="179"/>
      <c r="F408" s="266"/>
      <c r="G408" s="266"/>
      <c r="H408" s="265">
        <v>10.0</v>
      </c>
      <c r="I408" s="254">
        <f t="shared" si="15"/>
        <v>3</v>
      </c>
      <c r="J408" s="196" t="s">
        <v>152</v>
      </c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>
      <c r="A409" s="176" t="s">
        <v>1416</v>
      </c>
      <c r="B409" s="277" t="s">
        <v>15</v>
      </c>
      <c r="C409" s="277" t="s">
        <v>16</v>
      </c>
      <c r="D409" s="278"/>
      <c r="E409" s="279"/>
      <c r="F409" s="194">
        <v>2.7</v>
      </c>
      <c r="G409" s="194">
        <v>2.1</v>
      </c>
      <c r="H409" s="254"/>
      <c r="I409" s="254"/>
      <c r="J409" s="220" t="s">
        <v>813</v>
      </c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>
      <c r="A410" s="271"/>
      <c r="B410" s="186"/>
      <c r="C410" s="186"/>
      <c r="D410" s="186"/>
      <c r="E410" s="186"/>
      <c r="F410" s="186"/>
      <c r="G410" s="186"/>
      <c r="H410" s="186"/>
      <c r="I410" s="186"/>
      <c r="J410" s="220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>
      <c r="A411" s="246" t="s">
        <v>992</v>
      </c>
      <c r="B411" s="179"/>
      <c r="C411" s="186"/>
      <c r="D411" s="195">
        <v>21.0</v>
      </c>
      <c r="E411" s="179"/>
      <c r="F411" s="179"/>
      <c r="G411" s="179"/>
      <c r="H411" s="195">
        <v>60.0</v>
      </c>
      <c r="I411" s="195">
        <f>(D411+E411)/H411</f>
        <v>0.35</v>
      </c>
      <c r="J411" s="256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>
      <c r="A412" s="182" t="s">
        <v>1417</v>
      </c>
      <c r="B412" s="219" t="s">
        <v>8</v>
      </c>
      <c r="C412" s="177" t="s">
        <v>20</v>
      </c>
      <c r="D412" s="186"/>
      <c r="E412" s="186"/>
      <c r="F412" s="186"/>
      <c r="G412" s="186"/>
      <c r="H412" s="186"/>
      <c r="I412" s="186"/>
      <c r="J412" s="280" t="s">
        <v>873</v>
      </c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>
      <c r="A413" s="246" t="s">
        <v>993</v>
      </c>
      <c r="B413" s="219" t="s">
        <v>8</v>
      </c>
      <c r="C413" s="219"/>
      <c r="D413" s="179"/>
      <c r="E413" s="179"/>
      <c r="F413" s="179"/>
      <c r="G413" s="179"/>
      <c r="H413" s="179"/>
      <c r="I413" s="179"/>
      <c r="J413" s="281" t="s">
        <v>785</v>
      </c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>
      <c r="A414" s="258" t="s">
        <v>1312</v>
      </c>
      <c r="B414" s="259"/>
      <c r="C414" s="259"/>
      <c r="D414" s="259"/>
      <c r="E414" s="259"/>
      <c r="F414" s="260">
        <f>sum(F403:G413)</f>
        <v>4.8</v>
      </c>
      <c r="G414" s="259"/>
      <c r="H414" s="259"/>
      <c r="I414" s="261">
        <f>sum(I403:I413)</f>
        <v>8.216666667</v>
      </c>
      <c r="J414" s="262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>
      <c r="A419" s="248" t="s">
        <v>107</v>
      </c>
      <c r="B419" s="249"/>
      <c r="C419" s="249"/>
      <c r="D419" s="249"/>
      <c r="E419" s="249"/>
      <c r="F419" s="249"/>
      <c r="G419" s="249"/>
      <c r="H419" s="249"/>
      <c r="I419" s="249"/>
      <c r="J419" s="250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>
      <c r="A420" s="282" t="s">
        <v>1140</v>
      </c>
      <c r="B420" s="283" t="s">
        <v>1</v>
      </c>
      <c r="C420" s="283" t="s">
        <v>2</v>
      </c>
      <c r="D420" s="283" t="s">
        <v>66</v>
      </c>
      <c r="E420" s="283" t="s">
        <v>1141</v>
      </c>
      <c r="F420" s="283" t="s">
        <v>1142</v>
      </c>
      <c r="G420" s="283" t="s">
        <v>1143</v>
      </c>
      <c r="H420" s="283" t="s">
        <v>1144</v>
      </c>
      <c r="I420" s="283" t="s">
        <v>1145</v>
      </c>
      <c r="J420" s="253" t="s">
        <v>5</v>
      </c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>
      <c r="A421" s="182" t="s">
        <v>1418</v>
      </c>
      <c r="B421" s="177" t="s">
        <v>15</v>
      </c>
      <c r="C421" s="177" t="s">
        <v>20</v>
      </c>
      <c r="D421" s="183">
        <v>280.0</v>
      </c>
      <c r="E421" s="254">
        <v>280.0</v>
      </c>
      <c r="F421" s="186"/>
      <c r="G421" s="186"/>
      <c r="H421" s="254">
        <v>30.0</v>
      </c>
      <c r="I421" s="255">
        <f t="shared" ref="I421:I425" si="16">(D421+E421)/H421</f>
        <v>18.66666667</v>
      </c>
      <c r="J421" s="196" t="s">
        <v>1419</v>
      </c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>
      <c r="A422" s="182" t="s">
        <v>1420</v>
      </c>
      <c r="B422" s="177" t="s">
        <v>8</v>
      </c>
      <c r="C422" s="177" t="s">
        <v>20</v>
      </c>
      <c r="D422" s="183">
        <v>1080.0</v>
      </c>
      <c r="E422" s="186"/>
      <c r="F422" s="186"/>
      <c r="G422" s="186"/>
      <c r="H422" s="254">
        <v>60.0</v>
      </c>
      <c r="I422" s="254">
        <f t="shared" si="16"/>
        <v>18</v>
      </c>
      <c r="J422" s="188" t="s">
        <v>698</v>
      </c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>
      <c r="A423" s="182" t="s">
        <v>916</v>
      </c>
      <c r="B423" s="177" t="s">
        <v>54</v>
      </c>
      <c r="C423" s="219" t="s">
        <v>20</v>
      </c>
      <c r="D423" s="195">
        <v>900.0</v>
      </c>
      <c r="E423" s="179"/>
      <c r="F423" s="179"/>
      <c r="G423" s="179"/>
      <c r="H423" s="195">
        <v>60.0</v>
      </c>
      <c r="I423" s="195">
        <f t="shared" si="16"/>
        <v>15</v>
      </c>
      <c r="J423" s="196" t="s">
        <v>365</v>
      </c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>
      <c r="A424" s="182" t="s">
        <v>1421</v>
      </c>
      <c r="B424" s="219" t="s">
        <v>15</v>
      </c>
      <c r="C424" s="177" t="s">
        <v>20</v>
      </c>
      <c r="D424" s="183">
        <v>360.0</v>
      </c>
      <c r="E424" s="186"/>
      <c r="F424" s="186"/>
      <c r="G424" s="186"/>
      <c r="H424" s="254">
        <v>30.0</v>
      </c>
      <c r="I424" s="255">
        <f t="shared" si="16"/>
        <v>12</v>
      </c>
      <c r="J424" s="256" t="s">
        <v>813</v>
      </c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>
      <c r="A425" s="176" t="s">
        <v>1422</v>
      </c>
      <c r="B425" s="219" t="s">
        <v>19</v>
      </c>
      <c r="C425" s="177" t="s">
        <v>16</v>
      </c>
      <c r="D425" s="195">
        <v>50.0</v>
      </c>
      <c r="E425" s="195">
        <v>50.0</v>
      </c>
      <c r="F425" s="179"/>
      <c r="G425" s="179"/>
      <c r="H425" s="195">
        <v>10.0</v>
      </c>
      <c r="I425" s="195">
        <f t="shared" si="16"/>
        <v>10</v>
      </c>
      <c r="J425" s="256" t="s">
        <v>813</v>
      </c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>
      <c r="A426" s="182" t="s">
        <v>1423</v>
      </c>
      <c r="B426" s="177" t="s">
        <v>8</v>
      </c>
      <c r="C426" s="177" t="s">
        <v>20</v>
      </c>
      <c r="D426" s="186"/>
      <c r="E426" s="186"/>
      <c r="F426" s="183">
        <v>12.0</v>
      </c>
      <c r="G426" s="186"/>
      <c r="H426" s="186"/>
      <c r="I426" s="186"/>
      <c r="J426" s="207" t="s">
        <v>1424</v>
      </c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>
      <c r="A427" s="182" t="s">
        <v>1425</v>
      </c>
      <c r="B427" s="177" t="s">
        <v>54</v>
      </c>
      <c r="C427" s="177" t="s">
        <v>20</v>
      </c>
      <c r="D427" s="186"/>
      <c r="E427" s="186"/>
      <c r="F427" s="183">
        <v>11.0</v>
      </c>
      <c r="G427" s="186"/>
      <c r="H427" s="186"/>
      <c r="I427" s="186"/>
      <c r="J427" s="207" t="s">
        <v>1322</v>
      </c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>
      <c r="A428" s="182" t="s">
        <v>713</v>
      </c>
      <c r="B428" s="219" t="s">
        <v>54</v>
      </c>
      <c r="C428" s="177" t="s">
        <v>16</v>
      </c>
      <c r="D428" s="186"/>
      <c r="E428" s="186"/>
      <c r="F428" s="254">
        <v>11.0</v>
      </c>
      <c r="G428" s="186"/>
      <c r="H428" s="186"/>
      <c r="I428" s="186"/>
      <c r="J428" s="220" t="s">
        <v>813</v>
      </c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>
      <c r="A429" s="176" t="s">
        <v>1426</v>
      </c>
      <c r="B429" s="219" t="s">
        <v>15</v>
      </c>
      <c r="C429" s="177" t="s">
        <v>20</v>
      </c>
      <c r="D429" s="179"/>
      <c r="E429" s="179"/>
      <c r="F429" s="195">
        <v>9.0</v>
      </c>
      <c r="G429" s="179"/>
      <c r="H429" s="179"/>
      <c r="I429" s="179"/>
      <c r="J429" s="196" t="s">
        <v>1427</v>
      </c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>
      <c r="A430" s="182" t="s">
        <v>1428</v>
      </c>
      <c r="B430" s="177" t="s">
        <v>19</v>
      </c>
      <c r="C430" s="177" t="s">
        <v>20</v>
      </c>
      <c r="D430" s="186"/>
      <c r="E430" s="186"/>
      <c r="F430" s="183">
        <v>5.0</v>
      </c>
      <c r="G430" s="183">
        <v>5.0</v>
      </c>
      <c r="H430" s="186"/>
      <c r="I430" s="186"/>
      <c r="J430" s="207" t="s">
        <v>1322</v>
      </c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>
      <c r="A431" s="182" t="s">
        <v>1429</v>
      </c>
      <c r="B431" s="219" t="s">
        <v>19</v>
      </c>
      <c r="C431" s="177" t="s">
        <v>16</v>
      </c>
      <c r="D431" s="186"/>
      <c r="E431" s="186"/>
      <c r="F431" s="254">
        <v>5.0</v>
      </c>
      <c r="G431" s="254">
        <v>5.0</v>
      </c>
      <c r="H431" s="186"/>
      <c r="I431" s="186"/>
      <c r="J431" s="220" t="s">
        <v>813</v>
      </c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>
      <c r="A432" s="257"/>
      <c r="B432" s="179"/>
      <c r="C432" s="186"/>
      <c r="D432" s="179"/>
      <c r="E432" s="179"/>
      <c r="F432" s="179"/>
      <c r="G432" s="179"/>
      <c r="H432" s="179"/>
      <c r="I432" s="179"/>
      <c r="J432" s="256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>
      <c r="A433" s="218" t="s">
        <v>1182</v>
      </c>
      <c r="B433" s="186"/>
      <c r="C433" s="186"/>
      <c r="D433" s="254">
        <v>50.0</v>
      </c>
      <c r="E433" s="186"/>
      <c r="F433" s="186"/>
      <c r="G433" s="186"/>
      <c r="H433" s="254">
        <v>10.0</v>
      </c>
      <c r="I433" s="254">
        <f>(D433+E433)/H433</f>
        <v>5</v>
      </c>
      <c r="J433" s="220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>
      <c r="A434" s="176" t="s">
        <v>1430</v>
      </c>
      <c r="B434" s="219" t="s">
        <v>19</v>
      </c>
      <c r="C434" s="177" t="s">
        <v>9</v>
      </c>
      <c r="D434" s="179"/>
      <c r="E434" s="179"/>
      <c r="F434" s="179"/>
      <c r="G434" s="179"/>
      <c r="H434" s="179"/>
      <c r="I434" s="179"/>
      <c r="J434" s="256" t="s">
        <v>813</v>
      </c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>
      <c r="A435" s="182" t="s">
        <v>1431</v>
      </c>
      <c r="B435" s="219" t="s">
        <v>19</v>
      </c>
      <c r="C435" s="177" t="s">
        <v>9</v>
      </c>
      <c r="D435" s="186"/>
      <c r="E435" s="186"/>
      <c r="F435" s="186"/>
      <c r="G435" s="186"/>
      <c r="H435" s="186"/>
      <c r="I435" s="186"/>
      <c r="J435" s="220" t="s">
        <v>813</v>
      </c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>
      <c r="A436" s="246" t="s">
        <v>1179</v>
      </c>
      <c r="B436" s="179"/>
      <c r="C436" s="179"/>
      <c r="D436" s="179"/>
      <c r="E436" s="179"/>
      <c r="F436" s="195">
        <v>6.0</v>
      </c>
      <c r="G436" s="179"/>
      <c r="H436" s="179"/>
      <c r="I436" s="179"/>
      <c r="J436" s="256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>
      <c r="A437" s="182" t="s">
        <v>1432</v>
      </c>
      <c r="B437" s="219" t="s">
        <v>15</v>
      </c>
      <c r="C437" s="177" t="s">
        <v>20</v>
      </c>
      <c r="D437" s="186"/>
      <c r="E437" s="186"/>
      <c r="F437" s="186"/>
      <c r="G437" s="186"/>
      <c r="H437" s="186"/>
      <c r="I437" s="186"/>
      <c r="J437" s="188" t="s">
        <v>1427</v>
      </c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>
      <c r="A438" s="176" t="s">
        <v>1433</v>
      </c>
      <c r="B438" s="219" t="s">
        <v>15</v>
      </c>
      <c r="C438" s="177" t="s">
        <v>20</v>
      </c>
      <c r="D438" s="179"/>
      <c r="E438" s="179"/>
      <c r="F438" s="179"/>
      <c r="G438" s="179"/>
      <c r="H438" s="179"/>
      <c r="I438" s="179"/>
      <c r="J438" s="256" t="s">
        <v>813</v>
      </c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>
      <c r="A439" s="258" t="s">
        <v>1187</v>
      </c>
      <c r="B439" s="259"/>
      <c r="C439" s="259"/>
      <c r="D439" s="259"/>
      <c r="E439" s="259"/>
      <c r="F439" s="260">
        <f>sum(F422:G438)</f>
        <v>69</v>
      </c>
      <c r="G439" s="259"/>
      <c r="H439" s="259"/>
      <c r="I439" s="261">
        <f>sum(I422:I438)</f>
        <v>60</v>
      </c>
      <c r="J439" s="262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>
      <c r="A440" s="284"/>
      <c r="B440" s="263"/>
      <c r="C440" s="263"/>
      <c r="D440" s="263"/>
      <c r="E440" s="263"/>
      <c r="F440" s="263"/>
      <c r="G440" s="263"/>
      <c r="H440" s="263"/>
      <c r="I440" s="263"/>
      <c r="J440" s="285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>
      <c r="A441" s="286"/>
      <c r="B441" s="264"/>
      <c r="C441" s="264"/>
      <c r="D441" s="264"/>
      <c r="E441" s="264"/>
      <c r="F441" s="264"/>
      <c r="G441" s="264"/>
      <c r="H441" s="264"/>
      <c r="I441" s="264"/>
      <c r="J441" s="287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>
      <c r="A442" s="282" t="s">
        <v>1188</v>
      </c>
      <c r="B442" s="283" t="s">
        <v>1</v>
      </c>
      <c r="C442" s="283" t="s">
        <v>2</v>
      </c>
      <c r="D442" s="283" t="s">
        <v>66</v>
      </c>
      <c r="E442" s="283" t="s">
        <v>1141</v>
      </c>
      <c r="F442" s="283" t="s">
        <v>1142</v>
      </c>
      <c r="G442" s="283" t="s">
        <v>1143</v>
      </c>
      <c r="H442" s="283" t="s">
        <v>1144</v>
      </c>
      <c r="I442" s="283" t="s">
        <v>1145</v>
      </c>
      <c r="J442" s="253" t="s">
        <v>5</v>
      </c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>
      <c r="A443" s="182" t="s">
        <v>1434</v>
      </c>
      <c r="B443" s="219" t="s">
        <v>8</v>
      </c>
      <c r="C443" s="177" t="s">
        <v>12</v>
      </c>
      <c r="D443" s="265">
        <v>90.0</v>
      </c>
      <c r="E443" s="265">
        <v>90.0</v>
      </c>
      <c r="F443" s="186"/>
      <c r="G443" s="186"/>
      <c r="H443" s="265">
        <v>60.0</v>
      </c>
      <c r="I443" s="254">
        <f t="shared" ref="I443:I447" si="17">(D443+E443)/H443</f>
        <v>3</v>
      </c>
      <c r="J443" s="188" t="s">
        <v>1215</v>
      </c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>
      <c r="A444" s="176" t="s">
        <v>1421</v>
      </c>
      <c r="B444" s="219" t="s">
        <v>15</v>
      </c>
      <c r="C444" s="177" t="s">
        <v>20</v>
      </c>
      <c r="D444" s="194">
        <v>36.0</v>
      </c>
      <c r="E444" s="195">
        <v>28.0</v>
      </c>
      <c r="F444" s="179"/>
      <c r="G444" s="179"/>
      <c r="H444" s="195">
        <v>30.0</v>
      </c>
      <c r="I444" s="200">
        <f t="shared" si="17"/>
        <v>2.133333333</v>
      </c>
      <c r="J444" s="256" t="s">
        <v>813</v>
      </c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>
      <c r="A445" s="182" t="s">
        <v>1420</v>
      </c>
      <c r="B445" s="177" t="s">
        <v>8</v>
      </c>
      <c r="C445" s="177" t="s">
        <v>16</v>
      </c>
      <c r="D445" s="183">
        <v>108.0</v>
      </c>
      <c r="E445" s="186"/>
      <c r="F445" s="186"/>
      <c r="G445" s="186"/>
      <c r="H445" s="194">
        <v>60.0</v>
      </c>
      <c r="I445" s="200">
        <f t="shared" si="17"/>
        <v>1.8</v>
      </c>
      <c r="J445" s="188" t="s">
        <v>698</v>
      </c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>
      <c r="A446" s="182" t="s">
        <v>1435</v>
      </c>
      <c r="B446" s="177" t="s">
        <v>8</v>
      </c>
      <c r="C446" s="177" t="s">
        <v>20</v>
      </c>
      <c r="D446" s="183">
        <v>90.0</v>
      </c>
      <c r="E446" s="186"/>
      <c r="F446" s="186"/>
      <c r="G446" s="186"/>
      <c r="H446" s="254">
        <v>60.0</v>
      </c>
      <c r="I446" s="254">
        <f t="shared" si="17"/>
        <v>1.5</v>
      </c>
      <c r="J446" s="108" t="s">
        <v>57</v>
      </c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>
      <c r="A447" s="182" t="s">
        <v>1436</v>
      </c>
      <c r="B447" s="219" t="s">
        <v>15</v>
      </c>
      <c r="C447" s="177" t="s">
        <v>16</v>
      </c>
      <c r="D447" s="267">
        <v>28.0</v>
      </c>
      <c r="E447" s="265"/>
      <c r="F447" s="186"/>
      <c r="G447" s="186"/>
      <c r="H447" s="265">
        <v>30.0</v>
      </c>
      <c r="I447" s="255">
        <f t="shared" si="17"/>
        <v>0.9333333333</v>
      </c>
      <c r="J447" s="188" t="s">
        <v>266</v>
      </c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>
      <c r="A448" s="182" t="s">
        <v>1267</v>
      </c>
      <c r="B448" s="177" t="s">
        <v>8</v>
      </c>
      <c r="C448" s="177" t="s">
        <v>20</v>
      </c>
      <c r="D448" s="186"/>
      <c r="E448" s="186"/>
      <c r="F448" s="267">
        <v>12.0</v>
      </c>
      <c r="G448" s="186"/>
      <c r="H448" s="186"/>
      <c r="I448" s="270"/>
      <c r="J448" s="207" t="s">
        <v>1268</v>
      </c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>
      <c r="A449" s="182" t="s">
        <v>1437</v>
      </c>
      <c r="B449" s="177" t="s">
        <v>8</v>
      </c>
      <c r="C449" s="177" t="s">
        <v>9</v>
      </c>
      <c r="D449" s="186"/>
      <c r="E449" s="186"/>
      <c r="F449" s="267">
        <v>12.0</v>
      </c>
      <c r="G449" s="186"/>
      <c r="H449" s="186"/>
      <c r="I449" s="270"/>
      <c r="J449" s="137" t="s">
        <v>811</v>
      </c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>
      <c r="A450" s="182" t="s">
        <v>1438</v>
      </c>
      <c r="B450" s="219" t="s">
        <v>8</v>
      </c>
      <c r="C450" s="177" t="s">
        <v>9</v>
      </c>
      <c r="D450" s="186"/>
      <c r="E450" s="186"/>
      <c r="F450" s="265">
        <v>12.0</v>
      </c>
      <c r="G450" s="186"/>
      <c r="H450" s="186"/>
      <c r="I450" s="270"/>
      <c r="J450" s="188" t="s">
        <v>698</v>
      </c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>
      <c r="A451" s="176" t="s">
        <v>1439</v>
      </c>
      <c r="B451" s="177" t="s">
        <v>96</v>
      </c>
      <c r="C451" s="177" t="s">
        <v>20</v>
      </c>
      <c r="D451" s="179"/>
      <c r="E451" s="179"/>
      <c r="F451" s="268">
        <v>10.0</v>
      </c>
      <c r="G451" s="179"/>
      <c r="H451" s="179"/>
      <c r="I451" s="269"/>
      <c r="J451" s="207" t="s">
        <v>1322</v>
      </c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>
      <c r="A452" s="176" t="s">
        <v>1134</v>
      </c>
      <c r="B452" s="177" t="s">
        <v>15</v>
      </c>
      <c r="C452" s="177" t="s">
        <v>16</v>
      </c>
      <c r="D452" s="179"/>
      <c r="E452" s="179"/>
      <c r="F452" s="268">
        <v>9.0</v>
      </c>
      <c r="G452" s="179"/>
      <c r="H452" s="179"/>
      <c r="I452" s="269"/>
      <c r="J452" s="211" t="s">
        <v>813</v>
      </c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>
      <c r="A453" s="176" t="s">
        <v>827</v>
      </c>
      <c r="B453" s="219" t="s">
        <v>15</v>
      </c>
      <c r="C453" s="177" t="s">
        <v>20</v>
      </c>
      <c r="D453" s="179"/>
      <c r="E453" s="179"/>
      <c r="F453" s="266">
        <v>9.0</v>
      </c>
      <c r="G453" s="179"/>
      <c r="H453" s="179"/>
      <c r="I453" s="269"/>
      <c r="J453" s="208" t="s">
        <v>828</v>
      </c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>
      <c r="A454" s="182" t="s">
        <v>1440</v>
      </c>
      <c r="B454" s="177" t="s">
        <v>19</v>
      </c>
      <c r="C454" s="177" t="s">
        <v>20</v>
      </c>
      <c r="D454" s="186"/>
      <c r="E454" s="186"/>
      <c r="F454" s="183">
        <v>5.0</v>
      </c>
      <c r="G454" s="183">
        <v>5.0</v>
      </c>
      <c r="H454" s="186"/>
      <c r="I454" s="186"/>
      <c r="J454" s="211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>
      <c r="A455" s="182" t="s">
        <v>1441</v>
      </c>
      <c r="B455" s="177" t="s">
        <v>19</v>
      </c>
      <c r="C455" s="177" t="s">
        <v>16</v>
      </c>
      <c r="D455" s="186"/>
      <c r="E455" s="186"/>
      <c r="F455" s="183">
        <v>5.0</v>
      </c>
      <c r="G455" s="183">
        <v>5.0</v>
      </c>
      <c r="H455" s="186"/>
      <c r="I455" s="186"/>
      <c r="J455" s="211" t="s">
        <v>813</v>
      </c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>
      <c r="A456" s="182" t="s">
        <v>1442</v>
      </c>
      <c r="B456" s="219" t="s">
        <v>19</v>
      </c>
      <c r="C456" s="177" t="s">
        <v>20</v>
      </c>
      <c r="D456" s="186"/>
      <c r="E456" s="186"/>
      <c r="F456" s="254">
        <v>5.0</v>
      </c>
      <c r="G456" s="254">
        <v>5.0</v>
      </c>
      <c r="H456" s="186"/>
      <c r="I456" s="186"/>
      <c r="J456" s="211" t="s">
        <v>813</v>
      </c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>
      <c r="A457" s="257"/>
      <c r="B457" s="186"/>
      <c r="C457" s="186"/>
      <c r="D457" s="179"/>
      <c r="E457" s="179"/>
      <c r="F457" s="179"/>
      <c r="G457" s="179"/>
      <c r="H457" s="179"/>
      <c r="I457" s="179"/>
      <c r="J457" s="256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>
      <c r="A458" s="218" t="s">
        <v>1182</v>
      </c>
      <c r="B458" s="186"/>
      <c r="C458" s="186"/>
      <c r="D458" s="183">
        <v>5.0</v>
      </c>
      <c r="E458" s="186"/>
      <c r="F458" s="186"/>
      <c r="G458" s="186"/>
      <c r="H458" s="254">
        <v>10.0</v>
      </c>
      <c r="I458" s="254">
        <f>(D458+E458)/H458</f>
        <v>0.5</v>
      </c>
      <c r="J458" s="220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>
      <c r="A459" s="176" t="s">
        <v>1443</v>
      </c>
      <c r="B459" s="219" t="s">
        <v>19</v>
      </c>
      <c r="C459" s="177" t="s">
        <v>9</v>
      </c>
      <c r="D459" s="179"/>
      <c r="E459" s="179"/>
      <c r="F459" s="179"/>
      <c r="G459" s="179"/>
      <c r="H459" s="179"/>
      <c r="I459" s="179"/>
      <c r="J459" s="196" t="s">
        <v>251</v>
      </c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>
      <c r="A460" s="176" t="s">
        <v>1444</v>
      </c>
      <c r="B460" s="219" t="s">
        <v>19</v>
      </c>
      <c r="C460" s="177" t="s">
        <v>12</v>
      </c>
      <c r="D460" s="179"/>
      <c r="E460" s="179"/>
      <c r="F460" s="179"/>
      <c r="G460" s="179"/>
      <c r="H460" s="179"/>
      <c r="I460" s="179"/>
      <c r="J460" s="196" t="s">
        <v>980</v>
      </c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>
      <c r="A461" s="218" t="s">
        <v>1182</v>
      </c>
      <c r="B461" s="186"/>
      <c r="C461" s="186"/>
      <c r="D461" s="254">
        <v>5.0</v>
      </c>
      <c r="E461" s="186"/>
      <c r="F461" s="186"/>
      <c r="G461" s="186"/>
      <c r="H461" s="254">
        <v>10.0</v>
      </c>
      <c r="I461" s="254">
        <f>(D461+E461)/H461</f>
        <v>0.5</v>
      </c>
      <c r="J461" s="220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>
      <c r="A462" s="176" t="s">
        <v>1445</v>
      </c>
      <c r="B462" s="219" t="s">
        <v>19</v>
      </c>
      <c r="C462" s="177" t="s">
        <v>16</v>
      </c>
      <c r="D462" s="179"/>
      <c r="E462" s="179"/>
      <c r="F462" s="179"/>
      <c r="G462" s="179"/>
      <c r="H462" s="179"/>
      <c r="I462" s="179"/>
      <c r="J462" s="256" t="s">
        <v>813</v>
      </c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>
      <c r="A463" s="182" t="s">
        <v>1446</v>
      </c>
      <c r="B463" s="219" t="s">
        <v>19</v>
      </c>
      <c r="C463" s="177" t="s">
        <v>16</v>
      </c>
      <c r="D463" s="186"/>
      <c r="E463" s="186"/>
      <c r="F463" s="186"/>
      <c r="G463" s="186"/>
      <c r="H463" s="186"/>
      <c r="I463" s="186"/>
      <c r="J463" s="220" t="s">
        <v>813</v>
      </c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>
      <c r="A464" s="246" t="s">
        <v>1179</v>
      </c>
      <c r="B464" s="186"/>
      <c r="C464" s="186"/>
      <c r="D464" s="179"/>
      <c r="E464" s="179"/>
      <c r="F464" s="266">
        <v>6.0</v>
      </c>
      <c r="G464" s="179"/>
      <c r="H464" s="179"/>
      <c r="I464" s="179"/>
      <c r="J464" s="256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>
      <c r="A465" s="182" t="s">
        <v>1447</v>
      </c>
      <c r="B465" s="177" t="s">
        <v>15</v>
      </c>
      <c r="C465" s="177" t="s">
        <v>16</v>
      </c>
      <c r="D465" s="186"/>
      <c r="E465" s="186"/>
      <c r="F465" s="186"/>
      <c r="G465" s="186"/>
      <c r="H465" s="186"/>
      <c r="I465" s="186"/>
      <c r="J465" s="220" t="s">
        <v>813</v>
      </c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>
      <c r="A466" s="176" t="s">
        <v>1448</v>
      </c>
      <c r="B466" s="177" t="s">
        <v>15</v>
      </c>
      <c r="C466" s="177" t="s">
        <v>16</v>
      </c>
      <c r="D466" s="179"/>
      <c r="E466" s="179"/>
      <c r="F466" s="179"/>
      <c r="G466" s="179"/>
      <c r="H466" s="179"/>
      <c r="I466" s="179"/>
      <c r="J466" s="256" t="s">
        <v>813</v>
      </c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>
      <c r="A467" s="258" t="s">
        <v>1236</v>
      </c>
      <c r="B467" s="259"/>
      <c r="C467" s="259"/>
      <c r="D467" s="259"/>
      <c r="E467" s="259"/>
      <c r="F467" s="260">
        <f>sum(F443:G466)</f>
        <v>100</v>
      </c>
      <c r="G467" s="259"/>
      <c r="H467" s="259"/>
      <c r="I467" s="261">
        <f>sum(I443:I466)</f>
        <v>10.36666667</v>
      </c>
      <c r="J467" s="262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>
      <c r="A468" s="284"/>
      <c r="B468" s="263"/>
      <c r="C468" s="263"/>
      <c r="D468" s="263"/>
      <c r="E468" s="263"/>
      <c r="F468" s="263"/>
      <c r="G468" s="263"/>
      <c r="H468" s="263"/>
      <c r="I468" s="263"/>
      <c r="J468" s="285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>
      <c r="A469" s="286"/>
      <c r="B469" s="264"/>
      <c r="C469" s="264"/>
      <c r="D469" s="264"/>
      <c r="E469" s="264"/>
      <c r="F469" s="264"/>
      <c r="G469" s="264"/>
      <c r="H469" s="264"/>
      <c r="I469" s="264"/>
      <c r="J469" s="287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>
      <c r="A470" s="282" t="s">
        <v>1237</v>
      </c>
      <c r="B470" s="283" t="s">
        <v>1</v>
      </c>
      <c r="C470" s="283" t="s">
        <v>2</v>
      </c>
      <c r="D470" s="283" t="s">
        <v>66</v>
      </c>
      <c r="E470" s="283" t="s">
        <v>1141</v>
      </c>
      <c r="F470" s="283" t="s">
        <v>1142</v>
      </c>
      <c r="G470" s="283" t="s">
        <v>1143</v>
      </c>
      <c r="H470" s="283" t="s">
        <v>1144</v>
      </c>
      <c r="I470" s="283" t="s">
        <v>1145</v>
      </c>
      <c r="J470" s="253" t="s">
        <v>5</v>
      </c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>
      <c r="A471" s="182" t="s">
        <v>916</v>
      </c>
      <c r="B471" s="177" t="s">
        <v>54</v>
      </c>
      <c r="C471" s="177" t="s">
        <v>16</v>
      </c>
      <c r="D471" s="254">
        <v>90.0</v>
      </c>
      <c r="E471" s="186"/>
      <c r="F471" s="186"/>
      <c r="G471" s="186"/>
      <c r="H471" s="254">
        <v>60.0</v>
      </c>
      <c r="I471" s="254">
        <f t="shared" ref="I471:I474" si="18">(D471+E471)/H471</f>
        <v>1.5</v>
      </c>
      <c r="J471" s="188" t="s">
        <v>365</v>
      </c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>
      <c r="A472" s="176" t="s">
        <v>1434</v>
      </c>
      <c r="B472" s="219" t="s">
        <v>8</v>
      </c>
      <c r="C472" s="177" t="s">
        <v>12</v>
      </c>
      <c r="D472" s="266">
        <v>90.0</v>
      </c>
      <c r="E472" s="179"/>
      <c r="F472" s="179"/>
      <c r="G472" s="179"/>
      <c r="H472" s="266">
        <v>60.0</v>
      </c>
      <c r="I472" s="195">
        <f t="shared" si="18"/>
        <v>1.5</v>
      </c>
      <c r="J472" s="196" t="s">
        <v>1215</v>
      </c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>
      <c r="A473" s="176" t="s">
        <v>1449</v>
      </c>
      <c r="B473" s="177" t="s">
        <v>15</v>
      </c>
      <c r="C473" s="177" t="s">
        <v>20</v>
      </c>
      <c r="D473" s="178">
        <v>36.0</v>
      </c>
      <c r="E473" s="179"/>
      <c r="F473" s="266"/>
      <c r="G473" s="179"/>
      <c r="H473" s="265">
        <v>30.0</v>
      </c>
      <c r="I473" s="255">
        <f t="shared" si="18"/>
        <v>1.2</v>
      </c>
      <c r="J473" s="220" t="s">
        <v>813</v>
      </c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>
      <c r="A474" s="176" t="s">
        <v>1418</v>
      </c>
      <c r="B474" s="177" t="s">
        <v>15</v>
      </c>
      <c r="C474" s="177" t="s">
        <v>20</v>
      </c>
      <c r="D474" s="178">
        <v>28.0</v>
      </c>
      <c r="E474" s="179"/>
      <c r="F474" s="266"/>
      <c r="G474" s="179"/>
      <c r="H474" s="265">
        <v>30.0</v>
      </c>
      <c r="I474" s="255">
        <f t="shared" si="18"/>
        <v>0.9333333333</v>
      </c>
      <c r="J474" s="188" t="s">
        <v>1419</v>
      </c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>
      <c r="A475" s="176" t="s">
        <v>1450</v>
      </c>
      <c r="B475" s="177" t="s">
        <v>8</v>
      </c>
      <c r="C475" s="177" t="s">
        <v>20</v>
      </c>
      <c r="D475" s="179"/>
      <c r="E475" s="179"/>
      <c r="F475" s="268">
        <v>12.0</v>
      </c>
      <c r="G475" s="179"/>
      <c r="H475" s="179"/>
      <c r="I475" s="179"/>
      <c r="J475" s="190" t="s">
        <v>785</v>
      </c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>
      <c r="A476" s="176" t="s">
        <v>1085</v>
      </c>
      <c r="B476" s="219" t="s">
        <v>8</v>
      </c>
      <c r="C476" s="177" t="s">
        <v>12</v>
      </c>
      <c r="D476" s="179"/>
      <c r="E476" s="179"/>
      <c r="F476" s="266">
        <v>12.0</v>
      </c>
      <c r="G476" s="179"/>
      <c r="H476" s="179"/>
      <c r="I476" s="179"/>
      <c r="J476" s="188" t="s">
        <v>698</v>
      </c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>
      <c r="A477" s="176" t="s">
        <v>1451</v>
      </c>
      <c r="B477" s="177" t="s">
        <v>54</v>
      </c>
      <c r="C477" s="177" t="s">
        <v>20</v>
      </c>
      <c r="D477" s="179"/>
      <c r="E477" s="179"/>
      <c r="F477" s="268">
        <v>11.0</v>
      </c>
      <c r="G477" s="266"/>
      <c r="H477" s="179"/>
      <c r="I477" s="179"/>
      <c r="J477" s="207" t="s">
        <v>1322</v>
      </c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>
      <c r="A478" s="176" t="s">
        <v>1137</v>
      </c>
      <c r="B478" s="177" t="s">
        <v>15</v>
      </c>
      <c r="C478" s="177" t="s">
        <v>16</v>
      </c>
      <c r="D478" s="179"/>
      <c r="E478" s="179"/>
      <c r="F478" s="268">
        <v>9.0</v>
      </c>
      <c r="G478" s="266"/>
      <c r="H478" s="179"/>
      <c r="I478" s="179"/>
      <c r="J478" s="256" t="s">
        <v>813</v>
      </c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>
      <c r="A479" s="176" t="s">
        <v>1452</v>
      </c>
      <c r="B479" s="219" t="s">
        <v>19</v>
      </c>
      <c r="C479" s="219" t="s">
        <v>16</v>
      </c>
      <c r="D479" s="179"/>
      <c r="E479" s="179"/>
      <c r="F479" s="266">
        <v>5.0</v>
      </c>
      <c r="G479" s="266">
        <v>5.0</v>
      </c>
      <c r="H479" s="179"/>
      <c r="I479" s="179"/>
      <c r="J479" s="256" t="s">
        <v>813</v>
      </c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>
      <c r="A480" s="271"/>
      <c r="B480" s="219"/>
      <c r="C480" s="186"/>
      <c r="D480" s="186"/>
      <c r="E480" s="186"/>
      <c r="F480" s="186"/>
      <c r="G480" s="186"/>
      <c r="H480" s="186"/>
      <c r="I480" s="186"/>
      <c r="J480" s="220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>
      <c r="A481" s="246" t="s">
        <v>1182</v>
      </c>
      <c r="B481" s="179"/>
      <c r="C481" s="186"/>
      <c r="D481" s="195">
        <v>5.0</v>
      </c>
      <c r="E481" s="179"/>
      <c r="F481" s="179"/>
      <c r="G481" s="179"/>
      <c r="H481" s="195">
        <v>10.0</v>
      </c>
      <c r="I481" s="195">
        <f>(D481+E481)/H481</f>
        <v>0.5</v>
      </c>
      <c r="J481" s="256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>
      <c r="A482" s="182" t="s">
        <v>1453</v>
      </c>
      <c r="B482" s="219" t="s">
        <v>19</v>
      </c>
      <c r="C482" s="177" t="s">
        <v>12</v>
      </c>
      <c r="D482" s="186"/>
      <c r="E482" s="186"/>
      <c r="F482" s="186"/>
      <c r="G482" s="186"/>
      <c r="H482" s="186"/>
      <c r="I482" s="186"/>
      <c r="J482" s="220" t="s">
        <v>813</v>
      </c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>
      <c r="A483" s="176" t="s">
        <v>1454</v>
      </c>
      <c r="B483" s="219" t="s">
        <v>19</v>
      </c>
      <c r="C483" s="219" t="s">
        <v>12</v>
      </c>
      <c r="D483" s="179"/>
      <c r="E483" s="179"/>
      <c r="F483" s="179"/>
      <c r="G483" s="179"/>
      <c r="H483" s="179"/>
      <c r="I483" s="179"/>
      <c r="J483" s="256" t="s">
        <v>813</v>
      </c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>
      <c r="A484" s="218" t="s">
        <v>1179</v>
      </c>
      <c r="B484" s="186"/>
      <c r="C484" s="186"/>
      <c r="D484" s="186"/>
      <c r="E484" s="186"/>
      <c r="F484" s="254">
        <v>6.0</v>
      </c>
      <c r="G484" s="186"/>
      <c r="H484" s="186"/>
      <c r="I484" s="186"/>
      <c r="J484" s="220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>
      <c r="A485" s="176" t="s">
        <v>1455</v>
      </c>
      <c r="B485" s="177" t="s">
        <v>141</v>
      </c>
      <c r="C485" s="177" t="s">
        <v>16</v>
      </c>
      <c r="D485" s="179"/>
      <c r="E485" s="179"/>
      <c r="F485" s="179"/>
      <c r="G485" s="179"/>
      <c r="H485" s="179"/>
      <c r="I485" s="179"/>
      <c r="J485" s="256" t="s">
        <v>813</v>
      </c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>
      <c r="A486" s="182" t="s">
        <v>1456</v>
      </c>
      <c r="B486" s="219" t="s">
        <v>15</v>
      </c>
      <c r="C486" s="177" t="s">
        <v>16</v>
      </c>
      <c r="D486" s="186"/>
      <c r="E486" s="186"/>
      <c r="F486" s="186"/>
      <c r="G486" s="186"/>
      <c r="H486" s="186"/>
      <c r="I486" s="186"/>
      <c r="J486" s="220" t="s">
        <v>813</v>
      </c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>
      <c r="A487" s="272" t="s">
        <v>1265</v>
      </c>
      <c r="B487" s="214"/>
      <c r="C487" s="214"/>
      <c r="D487" s="214"/>
      <c r="E487" s="214"/>
      <c r="F487" s="215">
        <f>sum(F471:G486)</f>
        <v>60</v>
      </c>
      <c r="G487" s="214"/>
      <c r="H487" s="214"/>
      <c r="I487" s="228">
        <f>sum(I471:I486)</f>
        <v>5.633333333</v>
      </c>
      <c r="J487" s="216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>
      <c r="A488" s="284"/>
      <c r="B488" s="263"/>
      <c r="C488" s="263"/>
      <c r="D488" s="263"/>
      <c r="E488" s="263"/>
      <c r="F488" s="263"/>
      <c r="G488" s="263"/>
      <c r="H488" s="263"/>
      <c r="I488" s="263"/>
      <c r="J488" s="285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>
      <c r="A489" s="286"/>
      <c r="B489" s="264"/>
      <c r="C489" s="264"/>
      <c r="D489" s="264"/>
      <c r="E489" s="264"/>
      <c r="F489" s="264"/>
      <c r="G489" s="264"/>
      <c r="H489" s="264"/>
      <c r="I489" s="264"/>
      <c r="J489" s="287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>
      <c r="A490" s="288" t="s">
        <v>1266</v>
      </c>
      <c r="B490" s="289" t="s">
        <v>1</v>
      </c>
      <c r="C490" s="289" t="s">
        <v>2</v>
      </c>
      <c r="D490" s="289" t="s">
        <v>66</v>
      </c>
      <c r="E490" s="289" t="s">
        <v>1141</v>
      </c>
      <c r="F490" s="289" t="s">
        <v>1142</v>
      </c>
      <c r="G490" s="289" t="s">
        <v>1143</v>
      </c>
      <c r="H490" s="289" t="s">
        <v>1144</v>
      </c>
      <c r="I490" s="289" t="s">
        <v>1145</v>
      </c>
      <c r="J490" s="275" t="s">
        <v>5</v>
      </c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>
      <c r="A491" s="182" t="s">
        <v>1449</v>
      </c>
      <c r="B491" s="219" t="s">
        <v>15</v>
      </c>
      <c r="C491" s="177" t="s">
        <v>20</v>
      </c>
      <c r="D491" s="267">
        <v>36.0</v>
      </c>
      <c r="E491" s="265">
        <v>28.0</v>
      </c>
      <c r="F491" s="186"/>
      <c r="G491" s="186"/>
      <c r="H491" s="265">
        <v>30.0</v>
      </c>
      <c r="I491" s="255">
        <f t="shared" ref="I491:I493" si="19">(D491+E491)/H491</f>
        <v>2.133333333</v>
      </c>
      <c r="J491" s="220" t="s">
        <v>813</v>
      </c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>
      <c r="A492" s="176" t="s">
        <v>1435</v>
      </c>
      <c r="B492" s="219" t="s">
        <v>8</v>
      </c>
      <c r="C492" s="219" t="s">
        <v>20</v>
      </c>
      <c r="D492" s="195">
        <v>90.0</v>
      </c>
      <c r="E492" s="179"/>
      <c r="F492" s="179"/>
      <c r="G492" s="179"/>
      <c r="H492" s="195">
        <v>60.0</v>
      </c>
      <c r="I492" s="195">
        <f t="shared" si="19"/>
        <v>1.5</v>
      </c>
      <c r="J492" s="108" t="s">
        <v>57</v>
      </c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>
      <c r="A493" s="176" t="s">
        <v>1457</v>
      </c>
      <c r="B493" s="177" t="s">
        <v>141</v>
      </c>
      <c r="C493" s="177" t="s">
        <v>16</v>
      </c>
      <c r="D493" s="178">
        <v>28.0</v>
      </c>
      <c r="E493" s="179"/>
      <c r="F493" s="266"/>
      <c r="G493" s="179"/>
      <c r="H493" s="265">
        <v>30.0</v>
      </c>
      <c r="I493" s="255">
        <f t="shared" si="19"/>
        <v>0.9333333333</v>
      </c>
      <c r="J493" s="196" t="s">
        <v>610</v>
      </c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>
      <c r="A494" s="182" t="s">
        <v>1458</v>
      </c>
      <c r="B494" s="177" t="s">
        <v>8</v>
      </c>
      <c r="C494" s="177" t="s">
        <v>20</v>
      </c>
      <c r="D494" s="186"/>
      <c r="E494" s="186"/>
      <c r="F494" s="267">
        <v>12.0</v>
      </c>
      <c r="G494" s="186"/>
      <c r="H494" s="186"/>
      <c r="I494" s="186"/>
      <c r="J494" s="207" t="s">
        <v>1459</v>
      </c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>
      <c r="A495" s="176" t="s">
        <v>652</v>
      </c>
      <c r="B495" s="219" t="s">
        <v>54</v>
      </c>
      <c r="C495" s="177" t="s">
        <v>16</v>
      </c>
      <c r="D495" s="179"/>
      <c r="E495" s="179"/>
      <c r="F495" s="266">
        <v>11.0</v>
      </c>
      <c r="G495" s="179"/>
      <c r="H495" s="179"/>
      <c r="I495" s="179"/>
      <c r="J495" s="256" t="s">
        <v>813</v>
      </c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>
      <c r="A496" s="182" t="s">
        <v>1460</v>
      </c>
      <c r="B496" s="177" t="s">
        <v>15</v>
      </c>
      <c r="C496" s="177" t="s">
        <v>20</v>
      </c>
      <c r="D496" s="186"/>
      <c r="E496" s="186"/>
      <c r="F496" s="267">
        <v>9.0</v>
      </c>
      <c r="G496" s="186"/>
      <c r="H496" s="186"/>
      <c r="I496" s="186"/>
      <c r="J496" s="207" t="s">
        <v>1322</v>
      </c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>
      <c r="A497" s="182" t="s">
        <v>1127</v>
      </c>
      <c r="B497" s="219" t="s">
        <v>141</v>
      </c>
      <c r="C497" s="177" t="s">
        <v>12</v>
      </c>
      <c r="D497" s="186"/>
      <c r="E497" s="186"/>
      <c r="F497" s="265">
        <v>8.0</v>
      </c>
      <c r="G497" s="186"/>
      <c r="H497" s="186"/>
      <c r="I497" s="186"/>
      <c r="J497" s="220" t="s">
        <v>813</v>
      </c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>
      <c r="A498" s="176" t="s">
        <v>1461</v>
      </c>
      <c r="B498" s="177" t="s">
        <v>19</v>
      </c>
      <c r="C498" s="177" t="s">
        <v>20</v>
      </c>
      <c r="D498" s="179"/>
      <c r="E498" s="179"/>
      <c r="F498" s="268">
        <v>5.0</v>
      </c>
      <c r="G498" s="268">
        <v>5.0</v>
      </c>
      <c r="H498" s="179"/>
      <c r="I498" s="179"/>
      <c r="J498" s="207" t="s">
        <v>1322</v>
      </c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>
      <c r="A499" s="176" t="s">
        <v>1462</v>
      </c>
      <c r="B499" s="219" t="s">
        <v>19</v>
      </c>
      <c r="C499" s="177" t="s">
        <v>12</v>
      </c>
      <c r="D499" s="179"/>
      <c r="E499" s="179"/>
      <c r="F499" s="266">
        <v>5.0</v>
      </c>
      <c r="G499" s="266">
        <v>5.0</v>
      </c>
      <c r="H499" s="179"/>
      <c r="I499" s="179"/>
      <c r="J499" s="256" t="s">
        <v>813</v>
      </c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>
      <c r="A500" s="257"/>
      <c r="B500" s="179"/>
      <c r="C500" s="186"/>
      <c r="D500" s="179"/>
      <c r="E500" s="179"/>
      <c r="F500" s="179"/>
      <c r="G500" s="179"/>
      <c r="H500" s="179"/>
      <c r="I500" s="179"/>
      <c r="J500" s="256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>
      <c r="A501" s="218" t="s">
        <v>1182</v>
      </c>
      <c r="B501" s="186"/>
      <c r="C501" s="186"/>
      <c r="D501" s="254">
        <v>5.0</v>
      </c>
      <c r="E501" s="186"/>
      <c r="F501" s="186"/>
      <c r="G501" s="186"/>
      <c r="H501" s="254">
        <v>10.0</v>
      </c>
      <c r="I501" s="254">
        <f>(D501+E501)/H501</f>
        <v>0.5</v>
      </c>
      <c r="J501" s="220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>
      <c r="A502" s="176" t="s">
        <v>1463</v>
      </c>
      <c r="B502" s="219" t="s">
        <v>19</v>
      </c>
      <c r="C502" s="177" t="s">
        <v>16</v>
      </c>
      <c r="D502" s="179"/>
      <c r="E502" s="179"/>
      <c r="F502" s="179"/>
      <c r="G502" s="179"/>
      <c r="H502" s="179"/>
      <c r="I502" s="179"/>
      <c r="J502" s="256" t="s">
        <v>813</v>
      </c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>
      <c r="A503" s="182" t="s">
        <v>1464</v>
      </c>
      <c r="B503" s="219" t="s">
        <v>19</v>
      </c>
      <c r="C503" s="177" t="s">
        <v>16</v>
      </c>
      <c r="D503" s="186"/>
      <c r="E503" s="186"/>
      <c r="F503" s="186"/>
      <c r="G503" s="186"/>
      <c r="H503" s="186"/>
      <c r="I503" s="186"/>
      <c r="J503" s="220" t="s">
        <v>813</v>
      </c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>
      <c r="A504" s="246" t="s">
        <v>1179</v>
      </c>
      <c r="B504" s="179"/>
      <c r="C504" s="179"/>
      <c r="D504" s="179"/>
      <c r="E504" s="179"/>
      <c r="F504" s="195">
        <v>6.0</v>
      </c>
      <c r="G504" s="179"/>
      <c r="H504" s="179"/>
      <c r="I504" s="179"/>
      <c r="J504" s="256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>
      <c r="A505" s="182" t="s">
        <v>1465</v>
      </c>
      <c r="B505" s="219" t="s">
        <v>15</v>
      </c>
      <c r="C505" s="177" t="s">
        <v>20</v>
      </c>
      <c r="D505" s="186"/>
      <c r="E505" s="186"/>
      <c r="F505" s="186"/>
      <c r="G505" s="186"/>
      <c r="H505" s="186"/>
      <c r="I505" s="186"/>
      <c r="J505" s="220" t="s">
        <v>813</v>
      </c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>
      <c r="A506" s="176" t="s">
        <v>1466</v>
      </c>
      <c r="B506" s="177" t="s">
        <v>15</v>
      </c>
      <c r="C506" s="177" t="s">
        <v>16</v>
      </c>
      <c r="D506" s="179"/>
      <c r="E506" s="179"/>
      <c r="F506" s="179"/>
      <c r="G506" s="179"/>
      <c r="H506" s="179"/>
      <c r="I506" s="179"/>
      <c r="J506" s="220" t="s">
        <v>813</v>
      </c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>
      <c r="A507" s="258" t="s">
        <v>1287</v>
      </c>
      <c r="B507" s="259"/>
      <c r="C507" s="259"/>
      <c r="D507" s="259"/>
      <c r="E507" s="259"/>
      <c r="F507" s="260">
        <f>sum(F491:G506)</f>
        <v>66</v>
      </c>
      <c r="G507" s="259"/>
      <c r="H507" s="259"/>
      <c r="I507" s="261">
        <f>sum(I491:I506)</f>
        <v>5.066666667</v>
      </c>
      <c r="J507" s="262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>
      <c r="A508" s="284"/>
      <c r="B508" s="263"/>
      <c r="C508" s="263"/>
      <c r="D508" s="263"/>
      <c r="E508" s="263"/>
      <c r="F508" s="263"/>
      <c r="G508" s="263"/>
      <c r="H508" s="263"/>
      <c r="I508" s="263"/>
      <c r="J508" s="285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>
      <c r="A509" s="286"/>
      <c r="B509" s="264"/>
      <c r="C509" s="264"/>
      <c r="D509" s="264"/>
      <c r="E509" s="264"/>
      <c r="F509" s="264"/>
      <c r="G509" s="264"/>
      <c r="H509" s="264"/>
      <c r="I509" s="264"/>
      <c r="J509" s="287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>
      <c r="A510" s="282" t="s">
        <v>1288</v>
      </c>
      <c r="B510" s="283" t="s">
        <v>1</v>
      </c>
      <c r="C510" s="283" t="s">
        <v>2</v>
      </c>
      <c r="D510" s="283" t="s">
        <v>66</v>
      </c>
      <c r="E510" s="283" t="s">
        <v>1141</v>
      </c>
      <c r="F510" s="283" t="s">
        <v>1142</v>
      </c>
      <c r="G510" s="283" t="s">
        <v>1143</v>
      </c>
      <c r="H510" s="283" t="s">
        <v>1144</v>
      </c>
      <c r="I510" s="283" t="s">
        <v>1145</v>
      </c>
      <c r="J510" s="253" t="s">
        <v>5</v>
      </c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>
      <c r="A511" s="182" t="s">
        <v>1467</v>
      </c>
      <c r="B511" s="290" t="s">
        <v>15</v>
      </c>
      <c r="C511" s="277" t="s">
        <v>20</v>
      </c>
      <c r="D511" s="254">
        <v>18.0</v>
      </c>
      <c r="E511" s="254">
        <v>14.0</v>
      </c>
      <c r="F511" s="291"/>
      <c r="G511" s="291"/>
      <c r="H511" s="254">
        <v>30.0</v>
      </c>
      <c r="I511" s="255">
        <f t="shared" ref="I511:I516" si="20">(D511+E511)/H511</f>
        <v>1.066666667</v>
      </c>
      <c r="J511" s="188" t="s">
        <v>1427</v>
      </c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>
      <c r="A512" s="176" t="s">
        <v>827</v>
      </c>
      <c r="B512" s="277" t="s">
        <v>15</v>
      </c>
      <c r="C512" s="277" t="s">
        <v>20</v>
      </c>
      <c r="D512" s="194">
        <v>18.0</v>
      </c>
      <c r="E512" s="194">
        <v>14.0</v>
      </c>
      <c r="F512" s="279"/>
      <c r="G512" s="279"/>
      <c r="H512" s="254">
        <v>30.0</v>
      </c>
      <c r="I512" s="255">
        <f t="shared" si="20"/>
        <v>1.066666667</v>
      </c>
      <c r="J512" s="208" t="s">
        <v>828</v>
      </c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>
      <c r="A513" s="176" t="s">
        <v>1435</v>
      </c>
      <c r="B513" s="290" t="s">
        <v>8</v>
      </c>
      <c r="C513" s="290" t="s">
        <v>20</v>
      </c>
      <c r="D513" s="195">
        <v>30.0</v>
      </c>
      <c r="E513" s="195">
        <v>30.0</v>
      </c>
      <c r="F513" s="279"/>
      <c r="G513" s="279"/>
      <c r="H513" s="195">
        <v>60.0</v>
      </c>
      <c r="I513" s="195">
        <f t="shared" si="20"/>
        <v>1</v>
      </c>
      <c r="J513" s="108" t="s">
        <v>57</v>
      </c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>
      <c r="A514" s="182" t="s">
        <v>916</v>
      </c>
      <c r="B514" s="277" t="s">
        <v>54</v>
      </c>
      <c r="C514" s="277" t="s">
        <v>16</v>
      </c>
      <c r="D514" s="254">
        <v>30.0</v>
      </c>
      <c r="E514" s="254">
        <v>30.0</v>
      </c>
      <c r="F514" s="291"/>
      <c r="G514" s="291"/>
      <c r="H514" s="254">
        <v>60.0</v>
      </c>
      <c r="I514" s="254">
        <f t="shared" si="20"/>
        <v>1</v>
      </c>
      <c r="J514" s="188" t="s">
        <v>365</v>
      </c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>
      <c r="A515" s="176" t="s">
        <v>1468</v>
      </c>
      <c r="B515" s="290" t="s">
        <v>19</v>
      </c>
      <c r="C515" s="277" t="s">
        <v>20</v>
      </c>
      <c r="D515" s="195">
        <v>5.0</v>
      </c>
      <c r="E515" s="195">
        <v>5.0</v>
      </c>
      <c r="F515" s="279"/>
      <c r="G515" s="279"/>
      <c r="H515" s="195">
        <v>10.0</v>
      </c>
      <c r="I515" s="195">
        <f t="shared" si="20"/>
        <v>1</v>
      </c>
      <c r="J515" s="220" t="s">
        <v>813</v>
      </c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>
      <c r="A516" s="182" t="s">
        <v>1469</v>
      </c>
      <c r="B516" s="290" t="s">
        <v>19</v>
      </c>
      <c r="C516" s="277" t="s">
        <v>12</v>
      </c>
      <c r="D516" s="254">
        <v>5.0</v>
      </c>
      <c r="E516" s="254">
        <v>3.0</v>
      </c>
      <c r="F516" s="291"/>
      <c r="G516" s="291"/>
      <c r="H516" s="254">
        <v>10.0</v>
      </c>
      <c r="I516" s="254">
        <f t="shared" si="20"/>
        <v>0.8</v>
      </c>
      <c r="J516" s="188" t="s">
        <v>249</v>
      </c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>
      <c r="A517" s="176" t="s">
        <v>1470</v>
      </c>
      <c r="B517" s="277" t="s">
        <v>15</v>
      </c>
      <c r="C517" s="277" t="s">
        <v>20</v>
      </c>
      <c r="D517" s="278"/>
      <c r="E517" s="279"/>
      <c r="F517" s="194">
        <v>2.7</v>
      </c>
      <c r="G517" s="194">
        <v>2.1</v>
      </c>
      <c r="H517" s="254"/>
      <c r="I517" s="254"/>
      <c r="J517" s="220" t="s">
        <v>813</v>
      </c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>
      <c r="A518" s="292"/>
      <c r="B518" s="291"/>
      <c r="C518" s="186"/>
      <c r="D518" s="291"/>
      <c r="E518" s="291"/>
      <c r="F518" s="291"/>
      <c r="G518" s="291"/>
      <c r="H518" s="291"/>
      <c r="I518" s="291"/>
      <c r="J518" s="220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>
      <c r="A519" s="246" t="s">
        <v>992</v>
      </c>
      <c r="B519" s="279"/>
      <c r="C519" s="186"/>
      <c r="D519" s="195">
        <v>21.0</v>
      </c>
      <c r="E519" s="279"/>
      <c r="F519" s="279"/>
      <c r="G519" s="279"/>
      <c r="H519" s="195">
        <v>60.0</v>
      </c>
      <c r="I519" s="195">
        <f>(D519+E519)/H519</f>
        <v>0.35</v>
      </c>
      <c r="J519" s="256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>
      <c r="A520" s="182" t="s">
        <v>1471</v>
      </c>
      <c r="B520" s="290" t="s">
        <v>8</v>
      </c>
      <c r="C520" s="277" t="s">
        <v>20</v>
      </c>
      <c r="D520" s="291"/>
      <c r="E520" s="291"/>
      <c r="F520" s="291"/>
      <c r="G520" s="291"/>
      <c r="H520" s="291"/>
      <c r="I520" s="291"/>
      <c r="J520" s="188" t="s">
        <v>1242</v>
      </c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>
      <c r="A521" s="246" t="s">
        <v>993</v>
      </c>
      <c r="B521" s="290" t="s">
        <v>8</v>
      </c>
      <c r="C521" s="290"/>
      <c r="D521" s="279"/>
      <c r="E521" s="279"/>
      <c r="F521" s="279"/>
      <c r="G521" s="279"/>
      <c r="H521" s="279"/>
      <c r="I521" s="279"/>
      <c r="J521" s="256" t="s">
        <v>785</v>
      </c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>
      <c r="A522" s="258" t="s">
        <v>1312</v>
      </c>
      <c r="B522" s="293"/>
      <c r="C522" s="293"/>
      <c r="D522" s="293"/>
      <c r="E522" s="293"/>
      <c r="F522" s="260">
        <f>sum(F511:G521)</f>
        <v>4.8</v>
      </c>
      <c r="G522" s="293"/>
      <c r="H522" s="293"/>
      <c r="I522" s="261">
        <f>sum(I511:I521)</f>
        <v>6.283333333</v>
      </c>
      <c r="J522" s="262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>
      <c r="A527" s="248" t="s">
        <v>110</v>
      </c>
      <c r="B527" s="249"/>
      <c r="C527" s="249"/>
      <c r="D527" s="249"/>
      <c r="E527" s="249"/>
      <c r="F527" s="249"/>
      <c r="G527" s="249"/>
      <c r="H527" s="249"/>
      <c r="I527" s="249"/>
      <c r="J527" s="250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>
      <c r="A528" s="251" t="s">
        <v>1140</v>
      </c>
      <c r="B528" s="252" t="s">
        <v>1</v>
      </c>
      <c r="C528" s="252" t="s">
        <v>2</v>
      </c>
      <c r="D528" s="252" t="s">
        <v>66</v>
      </c>
      <c r="E528" s="252" t="s">
        <v>1141</v>
      </c>
      <c r="F528" s="252" t="s">
        <v>1142</v>
      </c>
      <c r="G528" s="252" t="s">
        <v>1143</v>
      </c>
      <c r="H528" s="252" t="s">
        <v>1144</v>
      </c>
      <c r="I528" s="252" t="s">
        <v>1145</v>
      </c>
      <c r="J528" s="253" t="s">
        <v>5</v>
      </c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>
      <c r="A529" s="182" t="s">
        <v>1472</v>
      </c>
      <c r="B529" s="177" t="s">
        <v>15</v>
      </c>
      <c r="C529" s="177" t="s">
        <v>16</v>
      </c>
      <c r="D529" s="183">
        <v>360.0</v>
      </c>
      <c r="E529" s="254">
        <v>280.0</v>
      </c>
      <c r="F529" s="186"/>
      <c r="G529" s="186"/>
      <c r="H529" s="254">
        <v>30.0</v>
      </c>
      <c r="I529" s="255">
        <f t="shared" ref="I529:I533" si="21">(D529+E529)/H529</f>
        <v>21.33333333</v>
      </c>
      <c r="J529" s="220" t="s">
        <v>813</v>
      </c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>
      <c r="A530" s="182" t="s">
        <v>1473</v>
      </c>
      <c r="B530" s="177" t="s">
        <v>15</v>
      </c>
      <c r="C530" s="177" t="s">
        <v>40</v>
      </c>
      <c r="D530" s="183">
        <v>280.0</v>
      </c>
      <c r="E530" s="184">
        <v>280.0</v>
      </c>
      <c r="F530" s="186"/>
      <c r="G530" s="186"/>
      <c r="H530" s="254">
        <v>30.0</v>
      </c>
      <c r="I530" s="255">
        <f t="shared" si="21"/>
        <v>18.66666667</v>
      </c>
      <c r="J530" s="188" t="s">
        <v>374</v>
      </c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>
      <c r="A531" s="182" t="s">
        <v>1474</v>
      </c>
      <c r="B531" s="177" t="s">
        <v>96</v>
      </c>
      <c r="C531" s="177" t="s">
        <v>12</v>
      </c>
      <c r="D531" s="183">
        <v>900.0</v>
      </c>
      <c r="E531" s="186"/>
      <c r="F531" s="186"/>
      <c r="G531" s="186"/>
      <c r="H531" s="254">
        <v>60.0</v>
      </c>
      <c r="I531" s="254">
        <f t="shared" si="21"/>
        <v>15</v>
      </c>
      <c r="J531" s="188" t="s">
        <v>1475</v>
      </c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>
      <c r="A532" s="182" t="s">
        <v>842</v>
      </c>
      <c r="B532" s="177" t="s">
        <v>8</v>
      </c>
      <c r="C532" s="177" t="s">
        <v>40</v>
      </c>
      <c r="D532" s="195">
        <v>900.0</v>
      </c>
      <c r="E532" s="179"/>
      <c r="F532" s="179"/>
      <c r="G532" s="179"/>
      <c r="H532" s="195">
        <v>60.0</v>
      </c>
      <c r="I532" s="195">
        <f t="shared" si="21"/>
        <v>15</v>
      </c>
      <c r="J532" s="137" t="s">
        <v>843</v>
      </c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>
      <c r="A533" s="182" t="s">
        <v>1476</v>
      </c>
      <c r="B533" s="219" t="s">
        <v>19</v>
      </c>
      <c r="C533" s="177" t="s">
        <v>12</v>
      </c>
      <c r="D533" s="195">
        <v>50.0</v>
      </c>
      <c r="E533" s="195">
        <v>50.0</v>
      </c>
      <c r="F533" s="179"/>
      <c r="G533" s="179"/>
      <c r="H533" s="195">
        <v>10.0</v>
      </c>
      <c r="I533" s="195">
        <f t="shared" si="21"/>
        <v>10</v>
      </c>
      <c r="J533" s="256" t="s">
        <v>813</v>
      </c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>
      <c r="A534" s="182" t="s">
        <v>1477</v>
      </c>
      <c r="B534" s="177" t="s">
        <v>8</v>
      </c>
      <c r="C534" s="177" t="s">
        <v>12</v>
      </c>
      <c r="D534" s="186"/>
      <c r="E534" s="186"/>
      <c r="F534" s="183">
        <v>12.0</v>
      </c>
      <c r="G534" s="186"/>
      <c r="H534" s="186"/>
      <c r="I534" s="186"/>
      <c r="J534" s="190" t="s">
        <v>813</v>
      </c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>
      <c r="A535" s="182" t="s">
        <v>1478</v>
      </c>
      <c r="B535" s="219" t="s">
        <v>54</v>
      </c>
      <c r="C535" s="177" t="s">
        <v>20</v>
      </c>
      <c r="D535" s="186"/>
      <c r="E535" s="186"/>
      <c r="F535" s="254">
        <v>11.0</v>
      </c>
      <c r="G535" s="186"/>
      <c r="H535" s="186"/>
      <c r="I535" s="186"/>
      <c r="J535" s="220" t="s">
        <v>813</v>
      </c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>
      <c r="A536" s="176" t="s">
        <v>1479</v>
      </c>
      <c r="B536" s="177" t="s">
        <v>54</v>
      </c>
      <c r="C536" s="177" t="s">
        <v>12</v>
      </c>
      <c r="D536" s="179"/>
      <c r="E536" s="179"/>
      <c r="F536" s="194">
        <v>10.0</v>
      </c>
      <c r="G536" s="179"/>
      <c r="H536" s="179"/>
      <c r="I536" s="179"/>
      <c r="J536" s="207" t="s">
        <v>1322</v>
      </c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>
      <c r="A537" s="176" t="s">
        <v>1480</v>
      </c>
      <c r="B537" s="219" t="s">
        <v>15</v>
      </c>
      <c r="C537" s="177" t="s">
        <v>12</v>
      </c>
      <c r="D537" s="179"/>
      <c r="E537" s="179"/>
      <c r="F537" s="195">
        <v>9.0</v>
      </c>
      <c r="G537" s="179"/>
      <c r="H537" s="179"/>
      <c r="I537" s="179"/>
      <c r="J537" s="220" t="s">
        <v>813</v>
      </c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>
      <c r="A538" s="182" t="s">
        <v>1481</v>
      </c>
      <c r="B538" s="219" t="s">
        <v>19</v>
      </c>
      <c r="C538" s="177" t="s">
        <v>40</v>
      </c>
      <c r="D538" s="186"/>
      <c r="E538" s="186"/>
      <c r="F538" s="254">
        <v>5.0</v>
      </c>
      <c r="G538" s="254">
        <v>5.0</v>
      </c>
      <c r="H538" s="186"/>
      <c r="I538" s="186"/>
      <c r="J538" s="220" t="s">
        <v>813</v>
      </c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>
      <c r="A539" s="257"/>
      <c r="B539" s="179"/>
      <c r="C539" s="186"/>
      <c r="D539" s="179"/>
      <c r="E539" s="179"/>
      <c r="F539" s="179"/>
      <c r="G539" s="179"/>
      <c r="H539" s="179"/>
      <c r="I539" s="179"/>
      <c r="J539" s="256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>
      <c r="A540" s="218" t="s">
        <v>1182</v>
      </c>
      <c r="B540" s="186"/>
      <c r="C540" s="186"/>
      <c r="D540" s="254">
        <v>50.0</v>
      </c>
      <c r="E540" s="186"/>
      <c r="F540" s="186"/>
      <c r="G540" s="186"/>
      <c r="H540" s="254">
        <v>10.0</v>
      </c>
      <c r="I540" s="254">
        <f>(D540+E540)/H540</f>
        <v>5</v>
      </c>
      <c r="J540" s="220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>
      <c r="A541" s="176" t="s">
        <v>1482</v>
      </c>
      <c r="B541" s="219" t="s">
        <v>19</v>
      </c>
      <c r="C541" s="177" t="s">
        <v>20</v>
      </c>
      <c r="D541" s="179"/>
      <c r="E541" s="179"/>
      <c r="F541" s="179"/>
      <c r="G541" s="179"/>
      <c r="H541" s="179"/>
      <c r="I541" s="179"/>
      <c r="J541" s="256" t="s">
        <v>813</v>
      </c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>
      <c r="A542" s="182" t="s">
        <v>1483</v>
      </c>
      <c r="B542" s="219" t="s">
        <v>19</v>
      </c>
      <c r="C542" s="177" t="s">
        <v>20</v>
      </c>
      <c r="D542" s="186"/>
      <c r="E542" s="186"/>
      <c r="F542" s="186"/>
      <c r="G542" s="186"/>
      <c r="H542" s="186"/>
      <c r="I542" s="186"/>
      <c r="J542" s="220" t="s">
        <v>813</v>
      </c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>
      <c r="A543" s="246" t="s">
        <v>1179</v>
      </c>
      <c r="B543" s="179"/>
      <c r="C543" s="179"/>
      <c r="D543" s="179"/>
      <c r="E543" s="179"/>
      <c r="F543" s="195">
        <v>6.0</v>
      </c>
      <c r="G543" s="179"/>
      <c r="H543" s="179"/>
      <c r="I543" s="179"/>
      <c r="J543" s="256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>
      <c r="A544" s="182" t="s">
        <v>1484</v>
      </c>
      <c r="B544" s="177" t="s">
        <v>417</v>
      </c>
      <c r="C544" s="177" t="s">
        <v>16</v>
      </c>
      <c r="D544" s="186"/>
      <c r="E544" s="186"/>
      <c r="F544" s="186"/>
      <c r="G544" s="186"/>
      <c r="H544" s="186"/>
      <c r="I544" s="186"/>
      <c r="J544" s="256" t="s">
        <v>813</v>
      </c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>
      <c r="A545" s="176" t="s">
        <v>1485</v>
      </c>
      <c r="B545" s="219" t="s">
        <v>15</v>
      </c>
      <c r="C545" s="177" t="s">
        <v>16</v>
      </c>
      <c r="D545" s="179"/>
      <c r="E545" s="179"/>
      <c r="F545" s="179"/>
      <c r="G545" s="179"/>
      <c r="H545" s="179"/>
      <c r="I545" s="179"/>
      <c r="J545" s="256" t="s">
        <v>813</v>
      </c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>
      <c r="A546" s="258" t="s">
        <v>1187</v>
      </c>
      <c r="B546" s="259"/>
      <c r="C546" s="259"/>
      <c r="D546" s="259"/>
      <c r="E546" s="259"/>
      <c r="F546" s="260">
        <f>sum(F531:G545)</f>
        <v>58</v>
      </c>
      <c r="G546" s="259"/>
      <c r="H546" s="259"/>
      <c r="I546" s="261">
        <f>sum(I531:I545)</f>
        <v>45</v>
      </c>
      <c r="J546" s="262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>
      <c r="A547" s="284"/>
      <c r="B547" s="263"/>
      <c r="C547" s="263"/>
      <c r="D547" s="263"/>
      <c r="E547" s="263"/>
      <c r="F547" s="263"/>
      <c r="G547" s="263"/>
      <c r="H547" s="263"/>
      <c r="I547" s="263"/>
      <c r="J547" s="285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>
      <c r="A548" s="286"/>
      <c r="B548" s="264"/>
      <c r="C548" s="264"/>
      <c r="D548" s="264"/>
      <c r="E548" s="264"/>
      <c r="F548" s="264"/>
      <c r="G548" s="264"/>
      <c r="H548" s="264"/>
      <c r="I548" s="264"/>
      <c r="J548" s="287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>
      <c r="A549" s="251" t="s">
        <v>1188</v>
      </c>
      <c r="B549" s="252" t="s">
        <v>1</v>
      </c>
      <c r="C549" s="252" t="s">
        <v>2</v>
      </c>
      <c r="D549" s="252" t="s">
        <v>66</v>
      </c>
      <c r="E549" s="252" t="s">
        <v>1141</v>
      </c>
      <c r="F549" s="252" t="s">
        <v>1142</v>
      </c>
      <c r="G549" s="252" t="s">
        <v>1143</v>
      </c>
      <c r="H549" s="252" t="s">
        <v>1144</v>
      </c>
      <c r="I549" s="252" t="s">
        <v>1145</v>
      </c>
      <c r="J549" s="253" t="s">
        <v>5</v>
      </c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>
      <c r="A550" s="176" t="s">
        <v>1486</v>
      </c>
      <c r="B550" s="177" t="s">
        <v>141</v>
      </c>
      <c r="C550" s="177" t="s">
        <v>12</v>
      </c>
      <c r="D550" s="194">
        <v>32.0</v>
      </c>
      <c r="E550" s="195">
        <v>28.0</v>
      </c>
      <c r="F550" s="179"/>
      <c r="G550" s="179"/>
      <c r="H550" s="195">
        <v>30.0</v>
      </c>
      <c r="I550" s="200">
        <f t="shared" ref="I550:I554" si="22">(D550+E550)/H550</f>
        <v>2</v>
      </c>
      <c r="J550" s="256" t="s">
        <v>813</v>
      </c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>
      <c r="A551" s="182" t="s">
        <v>1487</v>
      </c>
      <c r="B551" s="177" t="s">
        <v>141</v>
      </c>
      <c r="C551" s="177" t="s">
        <v>20</v>
      </c>
      <c r="D551" s="183">
        <v>28.0</v>
      </c>
      <c r="E551" s="184">
        <v>28.0</v>
      </c>
      <c r="F551" s="186"/>
      <c r="G551" s="186"/>
      <c r="H551" s="195">
        <v>30.0</v>
      </c>
      <c r="I551" s="200">
        <f t="shared" si="22"/>
        <v>1.866666667</v>
      </c>
      <c r="J551" s="188" t="s">
        <v>1488</v>
      </c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>
      <c r="A552" s="182" t="s">
        <v>1474</v>
      </c>
      <c r="B552" s="177" t="s">
        <v>96</v>
      </c>
      <c r="C552" s="177" t="s">
        <v>12</v>
      </c>
      <c r="D552" s="183">
        <v>90.0</v>
      </c>
      <c r="E552" s="186"/>
      <c r="F552" s="186"/>
      <c r="G552" s="186"/>
      <c r="H552" s="254">
        <v>60.0</v>
      </c>
      <c r="I552" s="254">
        <f t="shared" si="22"/>
        <v>1.5</v>
      </c>
      <c r="J552" s="188" t="s">
        <v>1475</v>
      </c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>
      <c r="A553" s="182" t="s">
        <v>1489</v>
      </c>
      <c r="B553" s="177" t="s">
        <v>54</v>
      </c>
      <c r="C553" s="177" t="s">
        <v>40</v>
      </c>
      <c r="D553" s="183">
        <v>90.0</v>
      </c>
      <c r="E553" s="186"/>
      <c r="F553" s="186"/>
      <c r="G553" s="186"/>
      <c r="H553" s="254">
        <v>60.0</v>
      </c>
      <c r="I553" s="254">
        <f t="shared" si="22"/>
        <v>1.5</v>
      </c>
      <c r="J553" s="188" t="s">
        <v>1250</v>
      </c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>
      <c r="A554" s="182" t="s">
        <v>1490</v>
      </c>
      <c r="B554" s="177" t="s">
        <v>19</v>
      </c>
      <c r="C554" s="177" t="s">
        <v>12</v>
      </c>
      <c r="D554" s="184">
        <v>5.0</v>
      </c>
      <c r="E554" s="184">
        <v>5.0</v>
      </c>
      <c r="F554" s="265"/>
      <c r="G554" s="186"/>
      <c r="H554" s="267">
        <v>10.0</v>
      </c>
      <c r="I554" s="255">
        <f t="shared" si="22"/>
        <v>1</v>
      </c>
      <c r="J554" s="211" t="s">
        <v>813</v>
      </c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>
      <c r="A555" s="176" t="s">
        <v>1491</v>
      </c>
      <c r="B555" s="177" t="s">
        <v>8</v>
      </c>
      <c r="C555" s="177" t="s">
        <v>12</v>
      </c>
      <c r="D555" s="179"/>
      <c r="E555" s="179"/>
      <c r="F555" s="268">
        <v>12.0</v>
      </c>
      <c r="G555" s="179"/>
      <c r="H555" s="179"/>
      <c r="I555" s="269"/>
      <c r="J555" s="207" t="s">
        <v>1492</v>
      </c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>
      <c r="A556" s="182" t="s">
        <v>1120</v>
      </c>
      <c r="B556" s="219" t="s">
        <v>8</v>
      </c>
      <c r="C556" s="177" t="s">
        <v>16</v>
      </c>
      <c r="D556" s="186"/>
      <c r="E556" s="186"/>
      <c r="F556" s="265">
        <v>12.0</v>
      </c>
      <c r="G556" s="186"/>
      <c r="H556" s="186"/>
      <c r="I556" s="270"/>
      <c r="J556" s="188" t="s">
        <v>995</v>
      </c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>
      <c r="A557" s="176" t="s">
        <v>1292</v>
      </c>
      <c r="B557" s="177" t="s">
        <v>15</v>
      </c>
      <c r="C557" s="177" t="s">
        <v>20</v>
      </c>
      <c r="D557" s="179"/>
      <c r="E557" s="179"/>
      <c r="F557" s="268">
        <v>12.0</v>
      </c>
      <c r="G557" s="179"/>
      <c r="H557" s="179"/>
      <c r="I557" s="269"/>
      <c r="J557" s="196" t="s">
        <v>1293</v>
      </c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>
      <c r="A558" s="176" t="s">
        <v>1493</v>
      </c>
      <c r="B558" s="177" t="s">
        <v>54</v>
      </c>
      <c r="C558" s="177" t="s">
        <v>12</v>
      </c>
      <c r="D558" s="179"/>
      <c r="E558" s="179"/>
      <c r="F558" s="268">
        <v>11.0</v>
      </c>
      <c r="G558" s="179"/>
      <c r="H558" s="179"/>
      <c r="I558" s="269"/>
      <c r="J558" s="207" t="s">
        <v>1322</v>
      </c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>
      <c r="A559" s="176" t="s">
        <v>1494</v>
      </c>
      <c r="B559" s="177" t="s">
        <v>15</v>
      </c>
      <c r="C559" s="177" t="s">
        <v>12</v>
      </c>
      <c r="D559" s="179"/>
      <c r="E559" s="179"/>
      <c r="F559" s="268">
        <v>9.0</v>
      </c>
      <c r="G559" s="179"/>
      <c r="H559" s="179"/>
      <c r="I559" s="269"/>
      <c r="J559" s="208" t="s">
        <v>1495</v>
      </c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>
      <c r="A560" s="176" t="s">
        <v>1496</v>
      </c>
      <c r="B560" s="219" t="s">
        <v>15</v>
      </c>
      <c r="C560" s="177" t="s">
        <v>9</v>
      </c>
      <c r="D560" s="179"/>
      <c r="E560" s="179"/>
      <c r="F560" s="266">
        <v>9.0</v>
      </c>
      <c r="G560" s="179"/>
      <c r="H560" s="179"/>
      <c r="I560" s="269"/>
      <c r="J560" s="211" t="s">
        <v>813</v>
      </c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>
      <c r="A561" s="182" t="s">
        <v>1497</v>
      </c>
      <c r="B561" s="177" t="s">
        <v>19</v>
      </c>
      <c r="C561" s="177" t="s">
        <v>12</v>
      </c>
      <c r="D561" s="186"/>
      <c r="E561" s="186"/>
      <c r="F561" s="254">
        <v>5.0</v>
      </c>
      <c r="G561" s="254">
        <v>5.0</v>
      </c>
      <c r="H561" s="186"/>
      <c r="I561" s="186"/>
      <c r="J561" s="211" t="s">
        <v>813</v>
      </c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>
      <c r="A562" s="257"/>
      <c r="B562" s="219"/>
      <c r="C562" s="186"/>
      <c r="D562" s="179"/>
      <c r="E562" s="179"/>
      <c r="F562" s="179"/>
      <c r="G562" s="179"/>
      <c r="H562" s="179"/>
      <c r="I562" s="179"/>
      <c r="J562" s="256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>
      <c r="A563" s="218" t="s">
        <v>1182</v>
      </c>
      <c r="B563" s="186"/>
      <c r="C563" s="186"/>
      <c r="D563" s="183">
        <v>5.0</v>
      </c>
      <c r="E563" s="186"/>
      <c r="F563" s="186"/>
      <c r="G563" s="186"/>
      <c r="H563" s="254">
        <v>10.0</v>
      </c>
      <c r="I563" s="254">
        <f>(D563+E563)/H563</f>
        <v>0.5</v>
      </c>
      <c r="J563" s="220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>
      <c r="A564" s="176" t="s">
        <v>1498</v>
      </c>
      <c r="B564" s="219" t="s">
        <v>19</v>
      </c>
      <c r="C564" s="177" t="s">
        <v>16</v>
      </c>
      <c r="D564" s="179"/>
      <c r="E564" s="179"/>
      <c r="F564" s="179"/>
      <c r="G564" s="179"/>
      <c r="H564" s="179"/>
      <c r="I564" s="179"/>
      <c r="J564" s="196" t="s">
        <v>1499</v>
      </c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>
      <c r="A565" s="176" t="s">
        <v>1500</v>
      </c>
      <c r="B565" s="219" t="s">
        <v>19</v>
      </c>
      <c r="C565" s="177" t="s">
        <v>20</v>
      </c>
      <c r="D565" s="179"/>
      <c r="E565" s="179"/>
      <c r="F565" s="179"/>
      <c r="G565" s="179"/>
      <c r="H565" s="179"/>
      <c r="I565" s="179"/>
      <c r="J565" s="196" t="s">
        <v>253</v>
      </c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>
      <c r="A566" s="218" t="s">
        <v>1182</v>
      </c>
      <c r="B566" s="186"/>
      <c r="C566" s="186"/>
      <c r="D566" s="254">
        <v>5.0</v>
      </c>
      <c r="E566" s="186"/>
      <c r="F566" s="186"/>
      <c r="G566" s="186"/>
      <c r="H566" s="254">
        <v>10.0</v>
      </c>
      <c r="I566" s="254">
        <f>(D566+E566)/H566</f>
        <v>0.5</v>
      </c>
      <c r="J566" s="220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>
      <c r="A567" s="176" t="s">
        <v>1501</v>
      </c>
      <c r="B567" s="219" t="s">
        <v>19</v>
      </c>
      <c r="C567" s="177" t="s">
        <v>16</v>
      </c>
      <c r="D567" s="179"/>
      <c r="E567" s="179"/>
      <c r="F567" s="179"/>
      <c r="G567" s="179"/>
      <c r="H567" s="179"/>
      <c r="I567" s="179"/>
      <c r="J567" s="256" t="s">
        <v>813</v>
      </c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>
      <c r="A568" s="176" t="s">
        <v>1502</v>
      </c>
      <c r="B568" s="219" t="s">
        <v>19</v>
      </c>
      <c r="C568" s="177" t="s">
        <v>16</v>
      </c>
      <c r="D568" s="186"/>
      <c r="E568" s="186"/>
      <c r="F568" s="186"/>
      <c r="G568" s="186"/>
      <c r="H568" s="186"/>
      <c r="I568" s="186"/>
      <c r="J568" s="220" t="s">
        <v>813</v>
      </c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>
      <c r="A569" s="246" t="s">
        <v>1179</v>
      </c>
      <c r="B569" s="219"/>
      <c r="C569" s="186"/>
      <c r="D569" s="179"/>
      <c r="E569" s="179"/>
      <c r="F569" s="266">
        <v>6.0</v>
      </c>
      <c r="G569" s="179"/>
      <c r="H569" s="179"/>
      <c r="I569" s="179"/>
      <c r="J569" s="256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>
      <c r="A570" s="182" t="s">
        <v>1503</v>
      </c>
      <c r="B570" s="177" t="s">
        <v>15</v>
      </c>
      <c r="C570" s="177" t="s">
        <v>9</v>
      </c>
      <c r="D570" s="186"/>
      <c r="E570" s="186"/>
      <c r="F570" s="186"/>
      <c r="G570" s="186"/>
      <c r="H570" s="186"/>
      <c r="I570" s="186"/>
      <c r="J570" s="220" t="s">
        <v>813</v>
      </c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>
      <c r="A571" s="176" t="s">
        <v>1504</v>
      </c>
      <c r="B571" s="177" t="s">
        <v>15</v>
      </c>
      <c r="C571" s="177" t="s">
        <v>12</v>
      </c>
      <c r="D571" s="179"/>
      <c r="E571" s="179"/>
      <c r="F571" s="179"/>
      <c r="G571" s="179"/>
      <c r="H571" s="179"/>
      <c r="I571" s="179"/>
      <c r="J571" s="256" t="s">
        <v>813</v>
      </c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>
      <c r="A572" s="258" t="s">
        <v>1236</v>
      </c>
      <c r="B572" s="259"/>
      <c r="C572" s="259"/>
      <c r="D572" s="259"/>
      <c r="E572" s="259"/>
      <c r="F572" s="260">
        <f>sum(F550:G571)</f>
        <v>81</v>
      </c>
      <c r="G572" s="259"/>
      <c r="H572" s="259"/>
      <c r="I572" s="261">
        <f>sum(I550:I571)</f>
        <v>8.866666667</v>
      </c>
      <c r="J572" s="262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>
      <c r="A573" s="284"/>
      <c r="B573" s="263"/>
      <c r="C573" s="263"/>
      <c r="D573" s="263"/>
      <c r="E573" s="263"/>
      <c r="F573" s="263"/>
      <c r="G573" s="263"/>
      <c r="H573" s="263"/>
      <c r="I573" s="263"/>
      <c r="J573" s="285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>
      <c r="A574" s="286"/>
      <c r="B574" s="264"/>
      <c r="C574" s="264"/>
      <c r="D574" s="264"/>
      <c r="E574" s="264"/>
      <c r="F574" s="264"/>
      <c r="G574" s="264"/>
      <c r="H574" s="264"/>
      <c r="I574" s="264"/>
      <c r="J574" s="287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>
      <c r="A575" s="251" t="s">
        <v>1237</v>
      </c>
      <c r="B575" s="252" t="s">
        <v>1</v>
      </c>
      <c r="C575" s="252" t="s">
        <v>2</v>
      </c>
      <c r="D575" s="252" t="s">
        <v>66</v>
      </c>
      <c r="E575" s="252" t="s">
        <v>1141</v>
      </c>
      <c r="F575" s="252" t="s">
        <v>1142</v>
      </c>
      <c r="G575" s="252" t="s">
        <v>1143</v>
      </c>
      <c r="H575" s="252" t="s">
        <v>1144</v>
      </c>
      <c r="I575" s="252" t="s">
        <v>1145</v>
      </c>
      <c r="J575" s="253" t="s">
        <v>5</v>
      </c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>
      <c r="A576" s="182" t="s">
        <v>1489</v>
      </c>
      <c r="B576" s="177" t="s">
        <v>54</v>
      </c>
      <c r="C576" s="177" t="s">
        <v>40</v>
      </c>
      <c r="D576" s="254">
        <v>90.0</v>
      </c>
      <c r="E576" s="186"/>
      <c r="F576" s="186"/>
      <c r="G576" s="186"/>
      <c r="H576" s="254">
        <v>60.0</v>
      </c>
      <c r="I576" s="254">
        <f t="shared" ref="I576:I578" si="23">(D576+E576)/H576</f>
        <v>1.5</v>
      </c>
      <c r="J576" s="188" t="s">
        <v>1250</v>
      </c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>
      <c r="A577" s="176" t="s">
        <v>1486</v>
      </c>
      <c r="B577" s="177" t="s">
        <v>141</v>
      </c>
      <c r="C577" s="177" t="s">
        <v>12</v>
      </c>
      <c r="D577" s="178">
        <v>32.0</v>
      </c>
      <c r="E577" s="179"/>
      <c r="F577" s="266"/>
      <c r="G577" s="179"/>
      <c r="H577" s="265">
        <v>30.0</v>
      </c>
      <c r="I577" s="255">
        <f t="shared" si="23"/>
        <v>1.066666667</v>
      </c>
      <c r="J577" s="220" t="s">
        <v>813</v>
      </c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>
      <c r="A578" s="176" t="s">
        <v>1487</v>
      </c>
      <c r="B578" s="177" t="s">
        <v>141</v>
      </c>
      <c r="C578" s="177" t="s">
        <v>20</v>
      </c>
      <c r="D578" s="178">
        <v>28.0</v>
      </c>
      <c r="E578" s="179"/>
      <c r="F578" s="266"/>
      <c r="G578" s="179"/>
      <c r="H578" s="265">
        <v>30.0</v>
      </c>
      <c r="I578" s="255">
        <f t="shared" si="23"/>
        <v>0.9333333333</v>
      </c>
      <c r="J578" s="188" t="s">
        <v>1488</v>
      </c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>
      <c r="A579" s="176" t="s">
        <v>1505</v>
      </c>
      <c r="B579" s="177" t="s">
        <v>8</v>
      </c>
      <c r="C579" s="177" t="s">
        <v>12</v>
      </c>
      <c r="D579" s="179"/>
      <c r="E579" s="179"/>
      <c r="F579" s="268">
        <v>12.0</v>
      </c>
      <c r="G579" s="179"/>
      <c r="H579" s="179"/>
      <c r="I579" s="179"/>
      <c r="J579" s="207" t="s">
        <v>1322</v>
      </c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>
      <c r="A580" s="176" t="s">
        <v>1026</v>
      </c>
      <c r="B580" s="219" t="s">
        <v>8</v>
      </c>
      <c r="C580" s="177" t="s">
        <v>40</v>
      </c>
      <c r="D580" s="179"/>
      <c r="E580" s="179"/>
      <c r="F580" s="266">
        <v>12.0</v>
      </c>
      <c r="G580" s="179"/>
      <c r="H580" s="179"/>
      <c r="I580" s="179"/>
      <c r="J580" s="188" t="s">
        <v>698</v>
      </c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>
      <c r="A581" s="176" t="s">
        <v>1506</v>
      </c>
      <c r="B581" s="177" t="s">
        <v>15</v>
      </c>
      <c r="C581" s="177" t="s">
        <v>12</v>
      </c>
      <c r="D581" s="179"/>
      <c r="E581" s="179"/>
      <c r="F581" s="268">
        <v>9.0</v>
      </c>
      <c r="G581" s="266"/>
      <c r="H581" s="179"/>
      <c r="I581" s="179"/>
      <c r="J581" s="256" t="s">
        <v>813</v>
      </c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>
      <c r="A582" s="176" t="s">
        <v>1507</v>
      </c>
      <c r="B582" s="219" t="s">
        <v>19</v>
      </c>
      <c r="C582" s="177" t="s">
        <v>12</v>
      </c>
      <c r="D582" s="179"/>
      <c r="E582" s="179"/>
      <c r="F582" s="266">
        <v>5.0</v>
      </c>
      <c r="G582" s="266">
        <v>5.0</v>
      </c>
      <c r="H582" s="179"/>
      <c r="I582" s="179"/>
      <c r="J582" s="256" t="s">
        <v>813</v>
      </c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>
      <c r="A583" s="271"/>
      <c r="B583" s="219"/>
      <c r="C583" s="186"/>
      <c r="D583" s="186"/>
      <c r="E583" s="186"/>
      <c r="F583" s="186"/>
      <c r="G583" s="186"/>
      <c r="H583" s="186"/>
      <c r="I583" s="186"/>
      <c r="J583" s="220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>
      <c r="A584" s="246" t="s">
        <v>1182</v>
      </c>
      <c r="B584" s="179"/>
      <c r="C584" s="186"/>
      <c r="D584" s="195">
        <v>5.0</v>
      </c>
      <c r="E584" s="179"/>
      <c r="F584" s="179"/>
      <c r="G584" s="179"/>
      <c r="H584" s="195">
        <v>10.0</v>
      </c>
      <c r="I584" s="195">
        <f>(D584+E584)/H584</f>
        <v>0.5</v>
      </c>
      <c r="J584" s="256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>
      <c r="A585" s="182" t="s">
        <v>1508</v>
      </c>
      <c r="B585" s="219" t="s">
        <v>19</v>
      </c>
      <c r="C585" s="177" t="s">
        <v>12</v>
      </c>
      <c r="D585" s="186"/>
      <c r="E585" s="186"/>
      <c r="F585" s="186"/>
      <c r="G585" s="186"/>
      <c r="H585" s="186"/>
      <c r="I585" s="186"/>
      <c r="J585" s="220" t="s">
        <v>813</v>
      </c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>
      <c r="A586" s="176" t="s">
        <v>1509</v>
      </c>
      <c r="B586" s="219" t="s">
        <v>19</v>
      </c>
      <c r="C586" s="177" t="s">
        <v>16</v>
      </c>
      <c r="D586" s="179"/>
      <c r="E586" s="179"/>
      <c r="F586" s="179"/>
      <c r="G586" s="179"/>
      <c r="H586" s="179"/>
      <c r="I586" s="179"/>
      <c r="J586" s="256" t="s">
        <v>813</v>
      </c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>
      <c r="A587" s="218" t="s">
        <v>1179</v>
      </c>
      <c r="B587" s="186"/>
      <c r="C587" s="186"/>
      <c r="D587" s="186"/>
      <c r="E587" s="186"/>
      <c r="F587" s="254">
        <v>6.0</v>
      </c>
      <c r="G587" s="186"/>
      <c r="H587" s="186"/>
      <c r="I587" s="186"/>
      <c r="J587" s="220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>
      <c r="A588" s="176" t="s">
        <v>1510</v>
      </c>
      <c r="B588" s="177" t="s">
        <v>15</v>
      </c>
      <c r="C588" s="177" t="s">
        <v>12</v>
      </c>
      <c r="D588" s="179"/>
      <c r="E588" s="179"/>
      <c r="F588" s="179"/>
      <c r="G588" s="179"/>
      <c r="H588" s="179"/>
      <c r="I588" s="179"/>
      <c r="J588" s="256" t="s">
        <v>813</v>
      </c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>
      <c r="A589" s="182" t="s">
        <v>1511</v>
      </c>
      <c r="B589" s="219" t="s">
        <v>15</v>
      </c>
      <c r="C589" s="177" t="s">
        <v>12</v>
      </c>
      <c r="D589" s="186"/>
      <c r="E589" s="186"/>
      <c r="F589" s="186"/>
      <c r="G589" s="186"/>
      <c r="H589" s="186"/>
      <c r="I589" s="186"/>
      <c r="J589" s="220" t="s">
        <v>813</v>
      </c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>
      <c r="A590" s="272" t="s">
        <v>1265</v>
      </c>
      <c r="B590" s="214"/>
      <c r="C590" s="214"/>
      <c r="D590" s="214"/>
      <c r="E590" s="214"/>
      <c r="F590" s="215">
        <f>sum(F576:G589)</f>
        <v>49</v>
      </c>
      <c r="G590" s="214"/>
      <c r="H590" s="214"/>
      <c r="I590" s="215">
        <f>sum(I576:I589)</f>
        <v>4</v>
      </c>
      <c r="J590" s="216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>
      <c r="A591" s="284"/>
      <c r="B591" s="263"/>
      <c r="C591" s="263"/>
      <c r="D591" s="263"/>
      <c r="E591" s="263"/>
      <c r="F591" s="263"/>
      <c r="G591" s="263"/>
      <c r="H591" s="263"/>
      <c r="I591" s="263"/>
      <c r="J591" s="285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>
      <c r="A592" s="286"/>
      <c r="B592" s="264"/>
      <c r="C592" s="264"/>
      <c r="D592" s="264"/>
      <c r="E592" s="264"/>
      <c r="F592" s="264"/>
      <c r="G592" s="264"/>
      <c r="H592" s="264"/>
      <c r="I592" s="264"/>
      <c r="J592" s="287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>
      <c r="A593" s="273" t="s">
        <v>1266</v>
      </c>
      <c r="B593" s="274" t="s">
        <v>1</v>
      </c>
      <c r="C593" s="274" t="s">
        <v>2</v>
      </c>
      <c r="D593" s="274" t="s">
        <v>66</v>
      </c>
      <c r="E593" s="274" t="s">
        <v>1141</v>
      </c>
      <c r="F593" s="274" t="s">
        <v>1142</v>
      </c>
      <c r="G593" s="274" t="s">
        <v>1143</v>
      </c>
      <c r="H593" s="274" t="s">
        <v>1144</v>
      </c>
      <c r="I593" s="274" t="s">
        <v>1145</v>
      </c>
      <c r="J593" s="275" t="s">
        <v>5</v>
      </c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>
      <c r="A594" s="176" t="s">
        <v>842</v>
      </c>
      <c r="B594" s="219" t="s">
        <v>8</v>
      </c>
      <c r="C594" s="177" t="s">
        <v>40</v>
      </c>
      <c r="D594" s="195">
        <v>90.0</v>
      </c>
      <c r="E594" s="179"/>
      <c r="F594" s="179"/>
      <c r="G594" s="179"/>
      <c r="H594" s="195">
        <v>60.0</v>
      </c>
      <c r="I594" s="195">
        <f t="shared" ref="I594:I595" si="24">(D594+E594)/H594</f>
        <v>1.5</v>
      </c>
      <c r="J594" s="137" t="s">
        <v>843</v>
      </c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>
      <c r="A595" s="176" t="s">
        <v>1472</v>
      </c>
      <c r="B595" s="177" t="s">
        <v>15</v>
      </c>
      <c r="C595" s="177" t="s">
        <v>16</v>
      </c>
      <c r="D595" s="178">
        <v>36.0</v>
      </c>
      <c r="E595" s="179"/>
      <c r="F595" s="266"/>
      <c r="G595" s="179"/>
      <c r="H595" s="265">
        <v>30.0</v>
      </c>
      <c r="I595" s="255">
        <f t="shared" si="24"/>
        <v>1.2</v>
      </c>
      <c r="J595" s="256" t="s">
        <v>813</v>
      </c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>
      <c r="A596" s="176" t="s">
        <v>1512</v>
      </c>
      <c r="B596" s="177" t="s">
        <v>15</v>
      </c>
      <c r="C596" s="177" t="s">
        <v>40</v>
      </c>
      <c r="D596" s="178">
        <v>28.0</v>
      </c>
      <c r="E596" s="179"/>
      <c r="F596" s="266"/>
      <c r="G596" s="179"/>
      <c r="H596" s="178">
        <v>30.0</v>
      </c>
      <c r="I596" s="179"/>
      <c r="J596" s="196" t="s">
        <v>374</v>
      </c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>
      <c r="A597" s="182" t="s">
        <v>1513</v>
      </c>
      <c r="B597" s="177" t="s">
        <v>8</v>
      </c>
      <c r="C597" s="177" t="s">
        <v>12</v>
      </c>
      <c r="D597" s="186"/>
      <c r="E597" s="186"/>
      <c r="F597" s="183">
        <v>12.0</v>
      </c>
      <c r="G597" s="186"/>
      <c r="H597" s="186"/>
      <c r="I597" s="186"/>
      <c r="J597" s="190" t="s">
        <v>1514</v>
      </c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>
      <c r="A598" s="182" t="s">
        <v>1477</v>
      </c>
      <c r="B598" s="177" t="s">
        <v>8</v>
      </c>
      <c r="C598" s="177" t="s">
        <v>12</v>
      </c>
      <c r="D598" s="186"/>
      <c r="E598" s="186"/>
      <c r="F598" s="183">
        <v>12.0</v>
      </c>
      <c r="G598" s="186"/>
      <c r="H598" s="186"/>
      <c r="I598" s="186"/>
      <c r="J598" s="190" t="s">
        <v>813</v>
      </c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>
      <c r="A599" s="176" t="s">
        <v>1515</v>
      </c>
      <c r="B599" s="219" t="s">
        <v>54</v>
      </c>
      <c r="C599" s="177" t="s">
        <v>20</v>
      </c>
      <c r="D599" s="179"/>
      <c r="E599" s="179"/>
      <c r="F599" s="266">
        <v>11.0</v>
      </c>
      <c r="G599" s="179"/>
      <c r="H599" s="179"/>
      <c r="I599" s="179"/>
      <c r="J599" s="256" t="s">
        <v>813</v>
      </c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>
      <c r="A600" s="182" t="s">
        <v>1516</v>
      </c>
      <c r="B600" s="177" t="s">
        <v>96</v>
      </c>
      <c r="C600" s="177" t="s">
        <v>12</v>
      </c>
      <c r="D600" s="186"/>
      <c r="E600" s="186"/>
      <c r="F600" s="267">
        <v>10.0</v>
      </c>
      <c r="G600" s="186"/>
      <c r="H600" s="186"/>
      <c r="I600" s="186"/>
      <c r="J600" s="207" t="s">
        <v>1322</v>
      </c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>
      <c r="A601" s="182" t="s">
        <v>1027</v>
      </c>
      <c r="B601" s="219" t="s">
        <v>141</v>
      </c>
      <c r="C601" s="177" t="s">
        <v>16</v>
      </c>
      <c r="D601" s="186"/>
      <c r="E601" s="186"/>
      <c r="F601" s="265">
        <v>8.0</v>
      </c>
      <c r="G601" s="186"/>
      <c r="H601" s="186"/>
      <c r="I601" s="186"/>
      <c r="J601" s="220" t="s">
        <v>813</v>
      </c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>
      <c r="A602" s="176" t="s">
        <v>1517</v>
      </c>
      <c r="B602" s="219" t="s">
        <v>19</v>
      </c>
      <c r="C602" s="177" t="s">
        <v>9</v>
      </c>
      <c r="D602" s="179"/>
      <c r="E602" s="179"/>
      <c r="F602" s="266">
        <v>5.0</v>
      </c>
      <c r="G602" s="266">
        <v>5.0</v>
      </c>
      <c r="H602" s="179"/>
      <c r="I602" s="179"/>
      <c r="J602" s="256" t="s">
        <v>813</v>
      </c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>
      <c r="A603" s="257"/>
      <c r="B603" s="179"/>
      <c r="C603" s="186"/>
      <c r="D603" s="179"/>
      <c r="E603" s="179"/>
      <c r="F603" s="179"/>
      <c r="G603" s="179"/>
      <c r="H603" s="179"/>
      <c r="I603" s="179"/>
      <c r="J603" s="256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>
      <c r="A604" s="218" t="s">
        <v>1182</v>
      </c>
      <c r="B604" s="186"/>
      <c r="C604" s="186"/>
      <c r="D604" s="254">
        <v>5.0</v>
      </c>
      <c r="E604" s="186"/>
      <c r="F604" s="186"/>
      <c r="G604" s="186"/>
      <c r="H604" s="254">
        <v>10.0</v>
      </c>
      <c r="I604" s="254">
        <f>(D604+E604)/H604</f>
        <v>0.5</v>
      </c>
      <c r="J604" s="220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>
      <c r="A605" s="176" t="s">
        <v>1225</v>
      </c>
      <c r="B605" s="219" t="s">
        <v>19</v>
      </c>
      <c r="C605" s="177" t="s">
        <v>16</v>
      </c>
      <c r="D605" s="179"/>
      <c r="E605" s="179"/>
      <c r="F605" s="179"/>
      <c r="G605" s="179"/>
      <c r="H605" s="179"/>
      <c r="I605" s="179"/>
      <c r="J605" s="256" t="s">
        <v>813</v>
      </c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>
      <c r="A606" s="182" t="s">
        <v>1518</v>
      </c>
      <c r="B606" s="219" t="s">
        <v>19</v>
      </c>
      <c r="C606" s="177" t="s">
        <v>16</v>
      </c>
      <c r="D606" s="186"/>
      <c r="E606" s="186"/>
      <c r="F606" s="186"/>
      <c r="G606" s="186"/>
      <c r="H606" s="186"/>
      <c r="I606" s="186"/>
      <c r="J606" s="220" t="s">
        <v>813</v>
      </c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>
      <c r="A607" s="246" t="s">
        <v>1179</v>
      </c>
      <c r="B607" s="179"/>
      <c r="C607" s="179"/>
      <c r="D607" s="179"/>
      <c r="E607" s="179"/>
      <c r="F607" s="195">
        <v>6.0</v>
      </c>
      <c r="G607" s="179"/>
      <c r="H607" s="179"/>
      <c r="I607" s="179"/>
      <c r="J607" s="256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>
      <c r="A608" s="176" t="s">
        <v>1519</v>
      </c>
      <c r="B608" s="219" t="s">
        <v>15</v>
      </c>
      <c r="C608" s="177" t="s">
        <v>16</v>
      </c>
      <c r="D608" s="186"/>
      <c r="E608" s="186"/>
      <c r="F608" s="186"/>
      <c r="G608" s="186"/>
      <c r="H608" s="186"/>
      <c r="I608" s="186"/>
      <c r="J608" s="220" t="s">
        <v>813</v>
      </c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>
      <c r="A609" s="176" t="s">
        <v>1520</v>
      </c>
      <c r="B609" s="177" t="s">
        <v>15</v>
      </c>
      <c r="C609" s="177" t="s">
        <v>16</v>
      </c>
      <c r="D609" s="179"/>
      <c r="E609" s="179"/>
      <c r="F609" s="179"/>
      <c r="G609" s="179"/>
      <c r="H609" s="179"/>
      <c r="I609" s="179"/>
      <c r="J609" s="220" t="s">
        <v>813</v>
      </c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>
      <c r="A610" s="258" t="s">
        <v>1287</v>
      </c>
      <c r="B610" s="259"/>
      <c r="C610" s="259"/>
      <c r="D610" s="259"/>
      <c r="E610" s="259"/>
      <c r="F610" s="260">
        <f>sum(F594:G609)</f>
        <v>69</v>
      </c>
      <c r="G610" s="259"/>
      <c r="H610" s="259"/>
      <c r="I610" s="261">
        <f>sum(I594:I609)</f>
        <v>3.2</v>
      </c>
      <c r="J610" s="262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>
      <c r="A611" s="284"/>
      <c r="B611" s="263"/>
      <c r="C611" s="263"/>
      <c r="D611" s="263"/>
      <c r="E611" s="263"/>
      <c r="F611" s="263"/>
      <c r="G611" s="263"/>
      <c r="H611" s="263"/>
      <c r="I611" s="263"/>
      <c r="J611" s="285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>
      <c r="A612" s="286"/>
      <c r="B612" s="264"/>
      <c r="C612" s="264"/>
      <c r="D612" s="264"/>
      <c r="E612" s="264"/>
      <c r="F612" s="264"/>
      <c r="G612" s="264"/>
      <c r="H612" s="264"/>
      <c r="I612" s="264"/>
      <c r="J612" s="287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>
      <c r="A613" s="251" t="s">
        <v>1288</v>
      </c>
      <c r="B613" s="252" t="s">
        <v>1</v>
      </c>
      <c r="C613" s="252" t="s">
        <v>2</v>
      </c>
      <c r="D613" s="252" t="s">
        <v>66</v>
      </c>
      <c r="E613" s="252" t="s">
        <v>1141</v>
      </c>
      <c r="F613" s="252" t="s">
        <v>1142</v>
      </c>
      <c r="G613" s="252" t="s">
        <v>1143</v>
      </c>
      <c r="H613" s="252" t="s">
        <v>1144</v>
      </c>
      <c r="I613" s="252" t="s">
        <v>1145</v>
      </c>
      <c r="J613" s="253" t="s">
        <v>5</v>
      </c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>
      <c r="A614" s="182" t="s">
        <v>1480</v>
      </c>
      <c r="B614" s="290" t="s">
        <v>15</v>
      </c>
      <c r="C614" s="277" t="s">
        <v>12</v>
      </c>
      <c r="D614" s="254">
        <v>18.0</v>
      </c>
      <c r="E614" s="254">
        <v>14.0</v>
      </c>
      <c r="F614" s="291"/>
      <c r="G614" s="291"/>
      <c r="H614" s="254">
        <v>30.0</v>
      </c>
      <c r="I614" s="255">
        <f t="shared" ref="I614:I618" si="25">(D614+E614)/H614</f>
        <v>1.066666667</v>
      </c>
      <c r="J614" s="220" t="s">
        <v>813</v>
      </c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>
      <c r="A615" s="176" t="s">
        <v>1489</v>
      </c>
      <c r="B615" s="277" t="s">
        <v>54</v>
      </c>
      <c r="C615" s="277" t="s">
        <v>40</v>
      </c>
      <c r="D615" s="195">
        <v>30.0</v>
      </c>
      <c r="E615" s="195">
        <v>30.0</v>
      </c>
      <c r="F615" s="279"/>
      <c r="G615" s="279"/>
      <c r="H615" s="195">
        <v>60.0</v>
      </c>
      <c r="I615" s="195">
        <f t="shared" si="25"/>
        <v>1</v>
      </c>
      <c r="J615" s="188" t="s">
        <v>1250</v>
      </c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>
      <c r="A616" s="182" t="s">
        <v>842</v>
      </c>
      <c r="B616" s="277" t="s">
        <v>8</v>
      </c>
      <c r="C616" s="277" t="s">
        <v>40</v>
      </c>
      <c r="D616" s="254">
        <v>30.0</v>
      </c>
      <c r="E616" s="254">
        <v>30.0</v>
      </c>
      <c r="F616" s="291"/>
      <c r="G616" s="291"/>
      <c r="H616" s="254">
        <v>60.0</v>
      </c>
      <c r="I616" s="254">
        <f t="shared" si="25"/>
        <v>1</v>
      </c>
      <c r="J616" s="137" t="s">
        <v>843</v>
      </c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>
      <c r="A617" s="176" t="s">
        <v>1521</v>
      </c>
      <c r="B617" s="290" t="s">
        <v>19</v>
      </c>
      <c r="C617" s="277" t="s">
        <v>16</v>
      </c>
      <c r="D617" s="195">
        <v>5.0</v>
      </c>
      <c r="E617" s="195">
        <v>5.0</v>
      </c>
      <c r="F617" s="279"/>
      <c r="G617" s="279"/>
      <c r="H617" s="195">
        <v>10.0</v>
      </c>
      <c r="I617" s="195">
        <f t="shared" si="25"/>
        <v>1</v>
      </c>
      <c r="J617" s="220" t="s">
        <v>813</v>
      </c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>
      <c r="A618" s="182" t="s">
        <v>761</v>
      </c>
      <c r="B618" s="290" t="s">
        <v>19</v>
      </c>
      <c r="C618" s="277" t="s">
        <v>12</v>
      </c>
      <c r="D618" s="254">
        <v>5.0</v>
      </c>
      <c r="E618" s="254">
        <v>3.0</v>
      </c>
      <c r="F618" s="291"/>
      <c r="G618" s="291"/>
      <c r="H618" s="254">
        <v>10.0</v>
      </c>
      <c r="I618" s="254">
        <f t="shared" si="25"/>
        <v>0.8</v>
      </c>
      <c r="J618" s="188" t="s">
        <v>45</v>
      </c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>
      <c r="A619" s="176" t="s">
        <v>1496</v>
      </c>
      <c r="B619" s="277" t="s">
        <v>15</v>
      </c>
      <c r="C619" s="277" t="s">
        <v>9</v>
      </c>
      <c r="D619" s="278"/>
      <c r="E619" s="279"/>
      <c r="F619" s="194">
        <v>2.7</v>
      </c>
      <c r="G619" s="194">
        <v>2.1</v>
      </c>
      <c r="H619" s="254"/>
      <c r="I619" s="254"/>
      <c r="J619" s="220" t="s">
        <v>813</v>
      </c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>
      <c r="A620" s="292"/>
      <c r="B620" s="291"/>
      <c r="C620" s="186"/>
      <c r="D620" s="291"/>
      <c r="E620" s="291"/>
      <c r="F620" s="291"/>
      <c r="G620" s="291"/>
      <c r="H620" s="291"/>
      <c r="I620" s="291"/>
      <c r="J620" s="220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>
      <c r="A621" s="246" t="s">
        <v>992</v>
      </c>
      <c r="B621" s="279"/>
      <c r="C621" s="186"/>
      <c r="D621" s="195">
        <v>21.0</v>
      </c>
      <c r="E621" s="279"/>
      <c r="F621" s="279"/>
      <c r="G621" s="279"/>
      <c r="H621" s="195">
        <v>60.0</v>
      </c>
      <c r="I621" s="195">
        <f>(D621+E621)/H621</f>
        <v>0.35</v>
      </c>
      <c r="J621" s="256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>
      <c r="A622" s="182" t="s">
        <v>1029</v>
      </c>
      <c r="B622" s="290" t="s">
        <v>8</v>
      </c>
      <c r="C622" s="277" t="s">
        <v>16</v>
      </c>
      <c r="D622" s="291"/>
      <c r="E622" s="291"/>
      <c r="F622" s="291"/>
      <c r="G622" s="291"/>
      <c r="H622" s="291"/>
      <c r="I622" s="291"/>
      <c r="J622" s="188" t="s">
        <v>1030</v>
      </c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>
      <c r="A623" s="176" t="s">
        <v>993</v>
      </c>
      <c r="B623" s="290" t="s">
        <v>8</v>
      </c>
      <c r="C623" s="290"/>
      <c r="D623" s="279"/>
      <c r="E623" s="279"/>
      <c r="F623" s="279"/>
      <c r="G623" s="279"/>
      <c r="H623" s="279"/>
      <c r="I623" s="279"/>
      <c r="J623" s="256" t="s">
        <v>785</v>
      </c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>
      <c r="A624" s="258" t="s">
        <v>1312</v>
      </c>
      <c r="B624" s="293"/>
      <c r="C624" s="293"/>
      <c r="D624" s="293"/>
      <c r="E624" s="293"/>
      <c r="F624" s="260">
        <f>sum(F614:G623)</f>
        <v>4.8</v>
      </c>
      <c r="G624" s="293"/>
      <c r="H624" s="293"/>
      <c r="I624" s="261">
        <f>sum(I614:I623)</f>
        <v>5.216666667</v>
      </c>
      <c r="J624" s="262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>
      <c r="A629" s="248" t="s">
        <v>115</v>
      </c>
      <c r="B629" s="249"/>
      <c r="C629" s="249"/>
      <c r="D629" s="249"/>
      <c r="E629" s="249"/>
      <c r="F629" s="249"/>
      <c r="G629" s="249"/>
      <c r="H629" s="249"/>
      <c r="I629" s="249"/>
      <c r="J629" s="250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>
      <c r="A630" s="251" t="s">
        <v>1140</v>
      </c>
      <c r="B630" s="252" t="s">
        <v>1</v>
      </c>
      <c r="C630" s="252" t="s">
        <v>2</v>
      </c>
      <c r="D630" s="252" t="s">
        <v>66</v>
      </c>
      <c r="E630" s="252" t="s">
        <v>1141</v>
      </c>
      <c r="F630" s="252" t="s">
        <v>1142</v>
      </c>
      <c r="G630" s="252" t="s">
        <v>1143</v>
      </c>
      <c r="H630" s="252" t="s">
        <v>1144</v>
      </c>
      <c r="I630" s="252" t="s">
        <v>1145</v>
      </c>
      <c r="J630" s="253" t="s">
        <v>5</v>
      </c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>
      <c r="A631" s="176" t="s">
        <v>1522</v>
      </c>
      <c r="B631" s="177" t="s">
        <v>141</v>
      </c>
      <c r="C631" s="177" t="s">
        <v>9</v>
      </c>
      <c r="D631" s="194">
        <v>320.0</v>
      </c>
      <c r="E631" s="194">
        <v>280.0</v>
      </c>
      <c r="F631" s="179"/>
      <c r="G631" s="179"/>
      <c r="H631" s="195">
        <v>30.0</v>
      </c>
      <c r="I631" s="200">
        <f t="shared" ref="I631:I636" si="26">(D631+E631)/H631</f>
        <v>20</v>
      </c>
      <c r="J631" s="256" t="s">
        <v>813</v>
      </c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>
      <c r="A632" s="182" t="s">
        <v>986</v>
      </c>
      <c r="B632" s="177" t="s">
        <v>15</v>
      </c>
      <c r="C632" s="177" t="s">
        <v>40</v>
      </c>
      <c r="D632" s="183">
        <v>280.0</v>
      </c>
      <c r="E632" s="254">
        <v>280.0</v>
      </c>
      <c r="F632" s="186"/>
      <c r="G632" s="186"/>
      <c r="H632" s="254">
        <v>30.0</v>
      </c>
      <c r="I632" s="255">
        <f t="shared" si="26"/>
        <v>18.66666667</v>
      </c>
      <c r="J632" s="188" t="s">
        <v>374</v>
      </c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>
      <c r="A633" s="182" t="s">
        <v>786</v>
      </c>
      <c r="B633" s="177" t="s">
        <v>8</v>
      </c>
      <c r="C633" s="177" t="s">
        <v>40</v>
      </c>
      <c r="D633" s="195">
        <v>900.0</v>
      </c>
      <c r="E633" s="179"/>
      <c r="F633" s="179"/>
      <c r="G633" s="179"/>
      <c r="H633" s="195">
        <v>60.0</v>
      </c>
      <c r="I633" s="195">
        <f t="shared" si="26"/>
        <v>15</v>
      </c>
      <c r="J633" s="92" t="s">
        <v>787</v>
      </c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>
      <c r="A634" s="182" t="s">
        <v>1523</v>
      </c>
      <c r="B634" s="177" t="s">
        <v>96</v>
      </c>
      <c r="C634" s="177" t="s">
        <v>40</v>
      </c>
      <c r="D634" s="183">
        <v>900.0</v>
      </c>
      <c r="E634" s="186"/>
      <c r="F634" s="186"/>
      <c r="G634" s="186"/>
      <c r="H634" s="183">
        <v>60.0</v>
      </c>
      <c r="I634" s="255">
        <f t="shared" si="26"/>
        <v>15</v>
      </c>
      <c r="J634" s="256" t="s">
        <v>813</v>
      </c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>
      <c r="A635" s="176" t="s">
        <v>850</v>
      </c>
      <c r="B635" s="177" t="s">
        <v>15</v>
      </c>
      <c r="C635" s="177" t="s">
        <v>40</v>
      </c>
      <c r="D635" s="194">
        <v>360.0</v>
      </c>
      <c r="E635" s="195"/>
      <c r="F635" s="179"/>
      <c r="G635" s="179"/>
      <c r="H635" s="183">
        <v>30.0</v>
      </c>
      <c r="I635" s="255">
        <f t="shared" si="26"/>
        <v>12</v>
      </c>
      <c r="J635" s="208" t="s">
        <v>851</v>
      </c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>
      <c r="A636" s="176" t="s">
        <v>1524</v>
      </c>
      <c r="B636" s="219" t="s">
        <v>19</v>
      </c>
      <c r="C636" s="177" t="s">
        <v>16</v>
      </c>
      <c r="D636" s="195">
        <v>50.0</v>
      </c>
      <c r="E636" s="195">
        <v>50.0</v>
      </c>
      <c r="F636" s="179"/>
      <c r="G636" s="179"/>
      <c r="H636" s="195">
        <v>10.0</v>
      </c>
      <c r="I636" s="195">
        <f t="shared" si="26"/>
        <v>10</v>
      </c>
      <c r="J636" s="256" t="s">
        <v>813</v>
      </c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>
      <c r="A637" s="182" t="s">
        <v>720</v>
      </c>
      <c r="B637" s="177" t="s">
        <v>8</v>
      </c>
      <c r="C637" s="177" t="s">
        <v>40</v>
      </c>
      <c r="D637" s="186"/>
      <c r="E637" s="186"/>
      <c r="F637" s="183">
        <v>12.0</v>
      </c>
      <c r="G637" s="186"/>
      <c r="H637" s="186"/>
      <c r="I637" s="186"/>
      <c r="J637" s="188" t="s">
        <v>700</v>
      </c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>
      <c r="A638" s="182" t="s">
        <v>1525</v>
      </c>
      <c r="B638" s="219" t="s">
        <v>54</v>
      </c>
      <c r="C638" s="177" t="s">
        <v>40</v>
      </c>
      <c r="D638" s="186"/>
      <c r="E638" s="186"/>
      <c r="F638" s="254">
        <v>11.0</v>
      </c>
      <c r="G638" s="186"/>
      <c r="H638" s="186"/>
      <c r="I638" s="186"/>
      <c r="J638" s="220" t="s">
        <v>813</v>
      </c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>
      <c r="A639" s="176" t="s">
        <v>1526</v>
      </c>
      <c r="B639" s="177" t="s">
        <v>96</v>
      </c>
      <c r="C639" s="177" t="s">
        <v>40</v>
      </c>
      <c r="D639" s="179"/>
      <c r="E639" s="179"/>
      <c r="F639" s="194">
        <v>10.0</v>
      </c>
      <c r="G639" s="179"/>
      <c r="H639" s="179"/>
      <c r="I639" s="179"/>
      <c r="J639" s="207" t="s">
        <v>1322</v>
      </c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>
      <c r="A640" s="176" t="s">
        <v>1527</v>
      </c>
      <c r="B640" s="219" t="s">
        <v>15</v>
      </c>
      <c r="C640" s="177" t="s">
        <v>40</v>
      </c>
      <c r="D640" s="179"/>
      <c r="E640" s="179"/>
      <c r="F640" s="195">
        <v>9.0</v>
      </c>
      <c r="G640" s="179"/>
      <c r="H640" s="179"/>
      <c r="I640" s="179"/>
      <c r="J640" s="256" t="s">
        <v>813</v>
      </c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>
      <c r="A641" s="182" t="s">
        <v>1528</v>
      </c>
      <c r="B641" s="219" t="s">
        <v>19</v>
      </c>
      <c r="C641" s="177" t="s">
        <v>9</v>
      </c>
      <c r="D641" s="186"/>
      <c r="E641" s="186"/>
      <c r="F641" s="254">
        <v>5.0</v>
      </c>
      <c r="G641" s="254">
        <v>5.0</v>
      </c>
      <c r="H641" s="186"/>
      <c r="I641" s="186"/>
      <c r="J641" s="220" t="s">
        <v>813</v>
      </c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>
      <c r="A642" s="257"/>
      <c r="B642" s="179"/>
      <c r="C642" s="186"/>
      <c r="D642" s="179"/>
      <c r="E642" s="179"/>
      <c r="F642" s="179"/>
      <c r="G642" s="179"/>
      <c r="H642" s="179"/>
      <c r="I642" s="179"/>
      <c r="J642" s="256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>
      <c r="A643" s="218" t="s">
        <v>1182</v>
      </c>
      <c r="B643" s="186"/>
      <c r="C643" s="186"/>
      <c r="D643" s="254">
        <v>50.0</v>
      </c>
      <c r="E643" s="186"/>
      <c r="F643" s="186"/>
      <c r="G643" s="186"/>
      <c r="H643" s="254">
        <v>10.0</v>
      </c>
      <c r="I643" s="254">
        <f>(D643+E643)/H643</f>
        <v>5</v>
      </c>
      <c r="J643" s="220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>
      <c r="A644" s="176" t="s">
        <v>1529</v>
      </c>
      <c r="B644" s="219" t="s">
        <v>19</v>
      </c>
      <c r="C644" s="177" t="s">
        <v>40</v>
      </c>
      <c r="D644" s="179"/>
      <c r="E644" s="179"/>
      <c r="F644" s="179"/>
      <c r="G644" s="179"/>
      <c r="H644" s="179"/>
      <c r="I644" s="179"/>
      <c r="J644" s="256" t="s">
        <v>813</v>
      </c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>
      <c r="A645" s="182" t="s">
        <v>1530</v>
      </c>
      <c r="B645" s="219" t="s">
        <v>19</v>
      </c>
      <c r="C645" s="177" t="s">
        <v>40</v>
      </c>
      <c r="D645" s="186"/>
      <c r="E645" s="186"/>
      <c r="F645" s="186"/>
      <c r="G645" s="186"/>
      <c r="H645" s="186"/>
      <c r="I645" s="186"/>
      <c r="J645" s="220" t="s">
        <v>813</v>
      </c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>
      <c r="A646" s="246" t="s">
        <v>1179</v>
      </c>
      <c r="B646" s="179"/>
      <c r="C646" s="179"/>
      <c r="D646" s="179"/>
      <c r="E646" s="179"/>
      <c r="F646" s="195">
        <v>6.0</v>
      </c>
      <c r="G646" s="179"/>
      <c r="H646" s="179"/>
      <c r="I646" s="179"/>
      <c r="J646" s="256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>
      <c r="A647" s="182" t="s">
        <v>1531</v>
      </c>
      <c r="B647" s="177" t="s">
        <v>141</v>
      </c>
      <c r="C647" s="177" t="s">
        <v>40</v>
      </c>
      <c r="D647" s="186"/>
      <c r="E647" s="186"/>
      <c r="F647" s="186"/>
      <c r="G647" s="186"/>
      <c r="H647" s="186"/>
      <c r="I647" s="186"/>
      <c r="J647" s="220" t="s">
        <v>813</v>
      </c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>
      <c r="A648" s="176" t="s">
        <v>1532</v>
      </c>
      <c r="B648" s="177" t="s">
        <v>141</v>
      </c>
      <c r="C648" s="177" t="s">
        <v>40</v>
      </c>
      <c r="D648" s="179"/>
      <c r="E648" s="179"/>
      <c r="F648" s="179"/>
      <c r="G648" s="179"/>
      <c r="H648" s="179"/>
      <c r="I648" s="179"/>
      <c r="J648" s="256" t="s">
        <v>813</v>
      </c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>
      <c r="A649" s="258" t="s">
        <v>1187</v>
      </c>
      <c r="B649" s="259"/>
      <c r="C649" s="259"/>
      <c r="D649" s="259"/>
      <c r="E649" s="259"/>
      <c r="F649" s="260">
        <f>sum(F632:G648)</f>
        <v>58</v>
      </c>
      <c r="G649" s="259"/>
      <c r="H649" s="259"/>
      <c r="I649" s="261">
        <f>sum(I632:I648)</f>
        <v>75.66666667</v>
      </c>
      <c r="J649" s="262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>
      <c r="A652" s="251" t="s">
        <v>1188</v>
      </c>
      <c r="B652" s="252" t="s">
        <v>1</v>
      </c>
      <c r="C652" s="252" t="s">
        <v>2</v>
      </c>
      <c r="D652" s="252" t="s">
        <v>66</v>
      </c>
      <c r="E652" s="252" t="s">
        <v>1141</v>
      </c>
      <c r="F652" s="252" t="s">
        <v>1142</v>
      </c>
      <c r="G652" s="252" t="s">
        <v>1143</v>
      </c>
      <c r="H652" s="252" t="s">
        <v>1144</v>
      </c>
      <c r="I652" s="252" t="s">
        <v>1145</v>
      </c>
      <c r="J652" s="253" t="s">
        <v>5</v>
      </c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>
      <c r="A653" s="182" t="s">
        <v>1533</v>
      </c>
      <c r="B653" s="219" t="s">
        <v>8</v>
      </c>
      <c r="C653" s="177" t="s">
        <v>40</v>
      </c>
      <c r="D653" s="265">
        <v>90.0</v>
      </c>
      <c r="E653" s="265">
        <v>90.0</v>
      </c>
      <c r="F653" s="184">
        <v>12.0</v>
      </c>
      <c r="G653" s="186"/>
      <c r="H653" s="265">
        <v>60.0</v>
      </c>
      <c r="I653" s="254">
        <f t="shared" ref="I653:I660" si="27">(D653+E653)/H653</f>
        <v>3</v>
      </c>
      <c r="J653" s="188" t="s">
        <v>1534</v>
      </c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>
      <c r="A654" s="182" t="s">
        <v>1535</v>
      </c>
      <c r="B654" s="219" t="s">
        <v>8</v>
      </c>
      <c r="C654" s="177" t="s">
        <v>40</v>
      </c>
      <c r="D654" s="265">
        <v>90.0</v>
      </c>
      <c r="E654" s="265">
        <v>90.0</v>
      </c>
      <c r="F654" s="186"/>
      <c r="G654" s="186"/>
      <c r="H654" s="265">
        <v>60.0</v>
      </c>
      <c r="I654" s="254">
        <f t="shared" si="27"/>
        <v>3</v>
      </c>
      <c r="J654" s="188" t="s">
        <v>698</v>
      </c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>
      <c r="A655" s="176" t="s">
        <v>1536</v>
      </c>
      <c r="B655" s="177" t="s">
        <v>15</v>
      </c>
      <c r="C655" s="177" t="s">
        <v>9</v>
      </c>
      <c r="D655" s="194">
        <v>36.0</v>
      </c>
      <c r="E655" s="195">
        <v>28.0</v>
      </c>
      <c r="F655" s="179"/>
      <c r="G655" s="179"/>
      <c r="H655" s="195">
        <v>30.0</v>
      </c>
      <c r="I655" s="200">
        <f t="shared" si="27"/>
        <v>2.133333333</v>
      </c>
      <c r="J655" s="256" t="s">
        <v>813</v>
      </c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>
      <c r="A656" s="176" t="s">
        <v>850</v>
      </c>
      <c r="B656" s="177" t="s">
        <v>15</v>
      </c>
      <c r="C656" s="177" t="s">
        <v>40</v>
      </c>
      <c r="D656" s="194">
        <v>36.0</v>
      </c>
      <c r="E656" s="195">
        <v>28.0</v>
      </c>
      <c r="F656" s="179"/>
      <c r="G656" s="179"/>
      <c r="H656" s="195">
        <v>30.0</v>
      </c>
      <c r="I656" s="200">
        <f t="shared" si="27"/>
        <v>2.133333333</v>
      </c>
      <c r="J656" s="208" t="s">
        <v>851</v>
      </c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>
      <c r="A657" s="182" t="s">
        <v>1523</v>
      </c>
      <c r="B657" s="177" t="s">
        <v>96</v>
      </c>
      <c r="C657" s="177" t="s">
        <v>40</v>
      </c>
      <c r="D657" s="183">
        <v>90.0</v>
      </c>
      <c r="E657" s="186"/>
      <c r="F657" s="186"/>
      <c r="G657" s="186"/>
      <c r="H657" s="194">
        <v>60.0</v>
      </c>
      <c r="I657" s="200">
        <f t="shared" si="27"/>
        <v>1.5</v>
      </c>
      <c r="J657" s="256" t="s">
        <v>813</v>
      </c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>
      <c r="A658" s="182" t="s">
        <v>786</v>
      </c>
      <c r="B658" s="177" t="s">
        <v>8</v>
      </c>
      <c r="C658" s="177" t="s">
        <v>40</v>
      </c>
      <c r="D658" s="183">
        <v>90.0</v>
      </c>
      <c r="E658" s="186"/>
      <c r="F658" s="186"/>
      <c r="G658" s="186"/>
      <c r="H658" s="254">
        <v>60.0</v>
      </c>
      <c r="I658" s="254">
        <f t="shared" si="27"/>
        <v>1.5</v>
      </c>
      <c r="J658" s="92" t="s">
        <v>787</v>
      </c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>
      <c r="A659" s="176" t="s">
        <v>1537</v>
      </c>
      <c r="B659" s="177" t="s">
        <v>8</v>
      </c>
      <c r="C659" s="177" t="s">
        <v>40</v>
      </c>
      <c r="D659" s="195">
        <v>90.0</v>
      </c>
      <c r="E659" s="179"/>
      <c r="F659" s="179"/>
      <c r="G659" s="179"/>
      <c r="H659" s="195">
        <v>60.0</v>
      </c>
      <c r="I659" s="195">
        <f t="shared" si="27"/>
        <v>1.5</v>
      </c>
      <c r="J659" s="196" t="s">
        <v>1279</v>
      </c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>
      <c r="A660" s="182" t="s">
        <v>1538</v>
      </c>
      <c r="B660" s="219" t="s">
        <v>19</v>
      </c>
      <c r="C660" s="177" t="s">
        <v>40</v>
      </c>
      <c r="D660" s="266">
        <v>5.0</v>
      </c>
      <c r="E660" s="266">
        <v>5.0</v>
      </c>
      <c r="F660" s="179"/>
      <c r="G660" s="179"/>
      <c r="H660" s="266">
        <v>10.0</v>
      </c>
      <c r="I660" s="195">
        <f t="shared" si="27"/>
        <v>1</v>
      </c>
      <c r="J660" s="256" t="s">
        <v>813</v>
      </c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>
      <c r="A661" s="176" t="s">
        <v>1539</v>
      </c>
      <c r="B661" s="177" t="s">
        <v>8</v>
      </c>
      <c r="C661" s="177" t="s">
        <v>40</v>
      </c>
      <c r="D661" s="179"/>
      <c r="E661" s="179"/>
      <c r="F661" s="268">
        <v>12.0</v>
      </c>
      <c r="G661" s="179"/>
      <c r="H661" s="179"/>
      <c r="I661" s="269"/>
      <c r="J661" s="207" t="s">
        <v>1540</v>
      </c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>
      <c r="A662" s="176" t="s">
        <v>1541</v>
      </c>
      <c r="B662" s="219" t="s">
        <v>8</v>
      </c>
      <c r="C662" s="177" t="s">
        <v>9</v>
      </c>
      <c r="D662" s="179"/>
      <c r="E662" s="179"/>
      <c r="F662" s="266">
        <v>12.0</v>
      </c>
      <c r="G662" s="179"/>
      <c r="H662" s="179"/>
      <c r="I662" s="269"/>
      <c r="J662" s="188" t="s">
        <v>698</v>
      </c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>
      <c r="A663" s="176" t="s">
        <v>1542</v>
      </c>
      <c r="B663" s="177" t="s">
        <v>15</v>
      </c>
      <c r="C663" s="177" t="s">
        <v>40</v>
      </c>
      <c r="D663" s="179"/>
      <c r="E663" s="179"/>
      <c r="F663" s="268">
        <v>9.0</v>
      </c>
      <c r="G663" s="179"/>
      <c r="H663" s="179"/>
      <c r="I663" s="269"/>
      <c r="J663" s="207" t="s">
        <v>1322</v>
      </c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>
      <c r="A664" s="176" t="s">
        <v>1543</v>
      </c>
      <c r="B664" s="219" t="s">
        <v>15</v>
      </c>
      <c r="C664" s="177" t="s">
        <v>9</v>
      </c>
      <c r="D664" s="179"/>
      <c r="E664" s="179"/>
      <c r="F664" s="266">
        <v>9.0</v>
      </c>
      <c r="G664" s="179"/>
      <c r="H664" s="179"/>
      <c r="I664" s="269"/>
      <c r="J664" s="256" t="s">
        <v>813</v>
      </c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>
      <c r="A665" s="257"/>
      <c r="B665" s="219"/>
      <c r="C665" s="186"/>
      <c r="D665" s="179"/>
      <c r="E665" s="179"/>
      <c r="F665" s="179"/>
      <c r="G665" s="179"/>
      <c r="H665" s="179"/>
      <c r="I665" s="179"/>
      <c r="J665" s="256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>
      <c r="A666" s="218" t="s">
        <v>1182</v>
      </c>
      <c r="B666" s="186"/>
      <c r="C666" s="186"/>
      <c r="D666" s="183">
        <v>5.0</v>
      </c>
      <c r="E666" s="186"/>
      <c r="F666" s="186"/>
      <c r="G666" s="186"/>
      <c r="H666" s="254">
        <v>10.0</v>
      </c>
      <c r="I666" s="254">
        <f>(D666+E666)/H666</f>
        <v>0.5</v>
      </c>
      <c r="J666" s="220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>
      <c r="A667" s="176" t="s">
        <v>1544</v>
      </c>
      <c r="B667" s="219" t="s">
        <v>19</v>
      </c>
      <c r="C667" s="177" t="s">
        <v>9</v>
      </c>
      <c r="D667" s="179"/>
      <c r="E667" s="179"/>
      <c r="F667" s="179"/>
      <c r="G667" s="179"/>
      <c r="H667" s="179"/>
      <c r="I667" s="179"/>
      <c r="J667" s="196" t="s">
        <v>1545</v>
      </c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>
      <c r="A668" s="176" t="s">
        <v>1546</v>
      </c>
      <c r="B668" s="219" t="s">
        <v>19</v>
      </c>
      <c r="C668" s="219" t="s">
        <v>9</v>
      </c>
      <c r="D668" s="179"/>
      <c r="E668" s="179"/>
      <c r="F668" s="179"/>
      <c r="G668" s="179"/>
      <c r="H668" s="179"/>
      <c r="I668" s="179"/>
      <c r="J668" s="196" t="s">
        <v>1547</v>
      </c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>
      <c r="A669" s="218" t="s">
        <v>1182</v>
      </c>
      <c r="B669" s="186"/>
      <c r="C669" s="186"/>
      <c r="D669" s="254">
        <v>5.0</v>
      </c>
      <c r="E669" s="186"/>
      <c r="F669" s="186"/>
      <c r="G669" s="186"/>
      <c r="H669" s="254">
        <v>10.0</v>
      </c>
      <c r="I669" s="254">
        <f>(D669+E669)/H669</f>
        <v>0.5</v>
      </c>
      <c r="J669" s="220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>
      <c r="A670" s="176" t="s">
        <v>1548</v>
      </c>
      <c r="B670" s="219" t="s">
        <v>19</v>
      </c>
      <c r="C670" s="177" t="s">
        <v>40</v>
      </c>
      <c r="D670" s="179"/>
      <c r="E670" s="179"/>
      <c r="F670" s="179"/>
      <c r="G670" s="179"/>
      <c r="H670" s="179"/>
      <c r="I670" s="179"/>
      <c r="J670" s="256" t="s">
        <v>813</v>
      </c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>
      <c r="A671" s="182" t="s">
        <v>1549</v>
      </c>
      <c r="B671" s="219" t="s">
        <v>19</v>
      </c>
      <c r="C671" s="177" t="s">
        <v>40</v>
      </c>
      <c r="D671" s="186"/>
      <c r="E671" s="186"/>
      <c r="F671" s="186"/>
      <c r="G671" s="186"/>
      <c r="H671" s="186"/>
      <c r="I671" s="186"/>
      <c r="J671" s="220" t="s">
        <v>813</v>
      </c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>
      <c r="A672" s="246" t="s">
        <v>1179</v>
      </c>
      <c r="B672" s="186"/>
      <c r="C672" s="186"/>
      <c r="D672" s="179"/>
      <c r="E672" s="179"/>
      <c r="F672" s="266">
        <v>6.0</v>
      </c>
      <c r="G672" s="179"/>
      <c r="H672" s="179"/>
      <c r="I672" s="179"/>
      <c r="J672" s="256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>
      <c r="A673" s="182" t="s">
        <v>1550</v>
      </c>
      <c r="B673" s="177" t="s">
        <v>15</v>
      </c>
      <c r="C673" s="177" t="s">
        <v>9</v>
      </c>
      <c r="D673" s="186"/>
      <c r="E673" s="186"/>
      <c r="F673" s="186"/>
      <c r="G673" s="186"/>
      <c r="H673" s="186"/>
      <c r="I673" s="186"/>
      <c r="J673" s="220" t="s">
        <v>813</v>
      </c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>
      <c r="A674" s="176" t="s">
        <v>1551</v>
      </c>
      <c r="B674" s="177" t="s">
        <v>15</v>
      </c>
      <c r="C674" s="177" t="s">
        <v>9</v>
      </c>
      <c r="D674" s="179"/>
      <c r="E674" s="179"/>
      <c r="F674" s="179"/>
      <c r="G674" s="179"/>
      <c r="H674" s="179"/>
      <c r="I674" s="179"/>
      <c r="J674" s="256" t="s">
        <v>813</v>
      </c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>
      <c r="A675" s="258" t="s">
        <v>1236</v>
      </c>
      <c r="B675" s="259"/>
      <c r="C675" s="259"/>
      <c r="D675" s="259"/>
      <c r="E675" s="259"/>
      <c r="F675" s="260">
        <f>sum(F653:G674)</f>
        <v>60</v>
      </c>
      <c r="G675" s="259"/>
      <c r="H675" s="259"/>
      <c r="I675" s="261">
        <f>sum(I653:I674)</f>
        <v>16.76666667</v>
      </c>
      <c r="J675" s="262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>
      <c r="A678" s="251" t="s">
        <v>1237</v>
      </c>
      <c r="B678" s="252" t="s">
        <v>1</v>
      </c>
      <c r="C678" s="252" t="s">
        <v>2</v>
      </c>
      <c r="D678" s="252" t="s">
        <v>66</v>
      </c>
      <c r="E678" s="252" t="s">
        <v>1141</v>
      </c>
      <c r="F678" s="252" t="s">
        <v>1142</v>
      </c>
      <c r="G678" s="252" t="s">
        <v>1143</v>
      </c>
      <c r="H678" s="252" t="s">
        <v>1144</v>
      </c>
      <c r="I678" s="252" t="s">
        <v>1145</v>
      </c>
      <c r="J678" s="253" t="s">
        <v>5</v>
      </c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>
      <c r="A679" s="182" t="s">
        <v>1552</v>
      </c>
      <c r="B679" s="177" t="s">
        <v>141</v>
      </c>
      <c r="C679" s="177" t="s">
        <v>40</v>
      </c>
      <c r="D679" s="183">
        <v>28.0</v>
      </c>
      <c r="E679" s="184">
        <v>28.0</v>
      </c>
      <c r="F679" s="186"/>
      <c r="G679" s="186"/>
      <c r="H679" s="183">
        <v>30.0</v>
      </c>
      <c r="I679" s="255">
        <f t="shared" ref="I679:I682" si="28">(D679+E679)/H679</f>
        <v>1.866666667</v>
      </c>
      <c r="J679" s="196" t="s">
        <v>1553</v>
      </c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>
      <c r="A680" s="176" t="s">
        <v>1535</v>
      </c>
      <c r="B680" s="177" t="s">
        <v>8</v>
      </c>
      <c r="C680" s="177" t="s">
        <v>40</v>
      </c>
      <c r="D680" s="268">
        <v>90.0</v>
      </c>
      <c r="E680" s="179"/>
      <c r="F680" s="179"/>
      <c r="G680" s="179"/>
      <c r="H680" s="183">
        <v>30.0</v>
      </c>
      <c r="I680" s="255">
        <f t="shared" si="28"/>
        <v>3</v>
      </c>
      <c r="J680" s="188" t="s">
        <v>698</v>
      </c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>
      <c r="A681" s="176" t="s">
        <v>984</v>
      </c>
      <c r="B681" s="177" t="s">
        <v>54</v>
      </c>
      <c r="C681" s="177" t="s">
        <v>40</v>
      </c>
      <c r="D681" s="266">
        <v>90.0</v>
      </c>
      <c r="E681" s="179"/>
      <c r="F681" s="179"/>
      <c r="G681" s="179"/>
      <c r="H681" s="266">
        <v>60.0</v>
      </c>
      <c r="I681" s="195">
        <f t="shared" si="28"/>
        <v>1.5</v>
      </c>
      <c r="J681" s="196" t="s">
        <v>1554</v>
      </c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>
      <c r="A682" s="176" t="s">
        <v>1555</v>
      </c>
      <c r="B682" s="177" t="s">
        <v>417</v>
      </c>
      <c r="C682" s="177" t="s">
        <v>40</v>
      </c>
      <c r="D682" s="178">
        <v>28.0</v>
      </c>
      <c r="E682" s="179"/>
      <c r="F682" s="266"/>
      <c r="G682" s="179"/>
      <c r="H682" s="265">
        <v>30.0</v>
      </c>
      <c r="I682" s="255">
        <f t="shared" si="28"/>
        <v>0.9333333333</v>
      </c>
      <c r="J682" s="220" t="s">
        <v>813</v>
      </c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>
      <c r="A683" s="176" t="s">
        <v>1189</v>
      </c>
      <c r="B683" s="177" t="s">
        <v>8</v>
      </c>
      <c r="C683" s="177" t="s">
        <v>40</v>
      </c>
      <c r="D683" s="178"/>
      <c r="E683" s="178"/>
      <c r="F683" s="178">
        <v>12.0</v>
      </c>
      <c r="G683" s="179"/>
      <c r="H683" s="178"/>
      <c r="I683" s="91"/>
      <c r="J683" s="207" t="s">
        <v>1556</v>
      </c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>
      <c r="A684" s="176" t="s">
        <v>1557</v>
      </c>
      <c r="B684" s="177" t="s">
        <v>8</v>
      </c>
      <c r="C684" s="177" t="s">
        <v>40</v>
      </c>
      <c r="D684" s="179"/>
      <c r="E684" s="179"/>
      <c r="F684" s="268">
        <v>12.0</v>
      </c>
      <c r="G684" s="179"/>
      <c r="H684" s="179"/>
      <c r="I684" s="179"/>
      <c r="J684" s="201" t="s">
        <v>813</v>
      </c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>
      <c r="A685" s="176" t="s">
        <v>1270</v>
      </c>
      <c r="B685" s="177" t="s">
        <v>8</v>
      </c>
      <c r="C685" s="177" t="s">
        <v>40</v>
      </c>
      <c r="D685" s="179"/>
      <c r="E685" s="179"/>
      <c r="F685" s="268">
        <v>12.0</v>
      </c>
      <c r="G685" s="179"/>
      <c r="H685" s="179"/>
      <c r="I685" s="179"/>
      <c r="J685" s="208" t="s">
        <v>1558</v>
      </c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>
      <c r="A686" s="176" t="s">
        <v>1541</v>
      </c>
      <c r="B686" s="219" t="s">
        <v>8</v>
      </c>
      <c r="C686" s="177" t="s">
        <v>9</v>
      </c>
      <c r="D686" s="179"/>
      <c r="E686" s="179"/>
      <c r="F686" s="266">
        <v>12.0</v>
      </c>
      <c r="G686" s="179"/>
      <c r="H686" s="179"/>
      <c r="I686" s="179"/>
      <c r="J686" s="188" t="s">
        <v>698</v>
      </c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>
      <c r="A687" s="176" t="s">
        <v>1559</v>
      </c>
      <c r="B687" s="177" t="s">
        <v>54</v>
      </c>
      <c r="C687" s="177" t="s">
        <v>40</v>
      </c>
      <c r="D687" s="179"/>
      <c r="E687" s="179"/>
      <c r="F687" s="268">
        <v>11.0</v>
      </c>
      <c r="G687" s="266"/>
      <c r="H687" s="179"/>
      <c r="I687" s="179"/>
      <c r="J687" s="207" t="s">
        <v>1322</v>
      </c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>
      <c r="A688" s="176" t="s">
        <v>1086</v>
      </c>
      <c r="B688" s="177" t="s">
        <v>15</v>
      </c>
      <c r="C688" s="177" t="s">
        <v>40</v>
      </c>
      <c r="D688" s="179"/>
      <c r="E688" s="179"/>
      <c r="F688" s="268">
        <v>9.0</v>
      </c>
      <c r="G688" s="266"/>
      <c r="H688" s="179"/>
      <c r="I688" s="179"/>
      <c r="J688" s="256" t="s">
        <v>813</v>
      </c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>
      <c r="A689" s="176" t="s">
        <v>1560</v>
      </c>
      <c r="B689" s="219" t="s">
        <v>19</v>
      </c>
      <c r="C689" s="177" t="s">
        <v>40</v>
      </c>
      <c r="D689" s="179"/>
      <c r="E689" s="179"/>
      <c r="F689" s="266">
        <v>5.0</v>
      </c>
      <c r="G689" s="266">
        <v>5.0</v>
      </c>
      <c r="H689" s="179"/>
      <c r="I689" s="179"/>
      <c r="J689" s="256" t="s">
        <v>813</v>
      </c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>
      <c r="A690" s="271"/>
      <c r="B690" s="219"/>
      <c r="C690" s="186"/>
      <c r="D690" s="186"/>
      <c r="E690" s="186"/>
      <c r="F690" s="186"/>
      <c r="G690" s="186"/>
      <c r="H690" s="186"/>
      <c r="I690" s="186"/>
      <c r="J690" s="220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>
      <c r="A691" s="246" t="s">
        <v>1182</v>
      </c>
      <c r="B691" s="179"/>
      <c r="C691" s="186"/>
      <c r="D691" s="195">
        <v>5.0</v>
      </c>
      <c r="E691" s="179"/>
      <c r="F691" s="179"/>
      <c r="G691" s="179"/>
      <c r="H691" s="195">
        <v>10.0</v>
      </c>
      <c r="I691" s="195">
        <f>(D691+E691)/H691</f>
        <v>0.5</v>
      </c>
      <c r="J691" s="256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>
      <c r="A692" s="182" t="s">
        <v>1561</v>
      </c>
      <c r="B692" s="219" t="s">
        <v>19</v>
      </c>
      <c r="C692" s="177" t="s">
        <v>9</v>
      </c>
      <c r="D692" s="186"/>
      <c r="E692" s="186"/>
      <c r="F692" s="186"/>
      <c r="G692" s="186"/>
      <c r="H692" s="186"/>
      <c r="I692" s="186"/>
      <c r="J692" s="220" t="s">
        <v>813</v>
      </c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>
      <c r="A693" s="176" t="s">
        <v>1226</v>
      </c>
      <c r="B693" s="219" t="s">
        <v>19</v>
      </c>
      <c r="C693" s="177" t="s">
        <v>9</v>
      </c>
      <c r="D693" s="179"/>
      <c r="E693" s="179"/>
      <c r="F693" s="179"/>
      <c r="G693" s="179"/>
      <c r="H693" s="179"/>
      <c r="I693" s="179"/>
      <c r="J693" s="256" t="s">
        <v>813</v>
      </c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>
      <c r="A694" s="218" t="s">
        <v>1179</v>
      </c>
      <c r="B694" s="186"/>
      <c r="C694" s="186"/>
      <c r="D694" s="186"/>
      <c r="E694" s="186"/>
      <c r="F694" s="254">
        <v>6.0</v>
      </c>
      <c r="G694" s="186"/>
      <c r="H694" s="186"/>
      <c r="I694" s="186"/>
      <c r="J694" s="220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>
      <c r="A695" s="176" t="s">
        <v>1562</v>
      </c>
      <c r="B695" s="219" t="s">
        <v>15</v>
      </c>
      <c r="C695" s="177" t="s">
        <v>40</v>
      </c>
      <c r="D695" s="179"/>
      <c r="E695" s="179"/>
      <c r="F695" s="179"/>
      <c r="G695" s="179"/>
      <c r="H695" s="179"/>
      <c r="I695" s="179"/>
      <c r="J695" s="256" t="s">
        <v>813</v>
      </c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>
      <c r="A696" s="182" t="s">
        <v>1563</v>
      </c>
      <c r="B696" s="219" t="s">
        <v>15</v>
      </c>
      <c r="C696" s="177" t="s">
        <v>40</v>
      </c>
      <c r="D696" s="186"/>
      <c r="E696" s="186"/>
      <c r="F696" s="186"/>
      <c r="G696" s="186"/>
      <c r="H696" s="186"/>
      <c r="I696" s="186"/>
      <c r="J696" s="220" t="s">
        <v>813</v>
      </c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>
      <c r="A697" s="272" t="s">
        <v>1265</v>
      </c>
      <c r="B697" s="214"/>
      <c r="C697" s="214"/>
      <c r="D697" s="214"/>
      <c r="E697" s="214"/>
      <c r="F697" s="215">
        <f>sum(F679:G696)</f>
        <v>84</v>
      </c>
      <c r="G697" s="214"/>
      <c r="H697" s="214"/>
      <c r="I697" s="228">
        <f>sum(I679:I696)</f>
        <v>7.8</v>
      </c>
      <c r="J697" s="216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>
      <c r="A700" s="273" t="s">
        <v>1266</v>
      </c>
      <c r="B700" s="274" t="s">
        <v>1</v>
      </c>
      <c r="C700" s="274" t="s">
        <v>2</v>
      </c>
      <c r="D700" s="274" t="s">
        <v>66</v>
      </c>
      <c r="E700" s="274" t="s">
        <v>1141</v>
      </c>
      <c r="F700" s="274" t="s">
        <v>1142</v>
      </c>
      <c r="G700" s="274" t="s">
        <v>1143</v>
      </c>
      <c r="H700" s="274" t="s">
        <v>1144</v>
      </c>
      <c r="I700" s="274" t="s">
        <v>1145</v>
      </c>
      <c r="J700" s="275" t="s">
        <v>5</v>
      </c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>
      <c r="A701" s="176" t="s">
        <v>984</v>
      </c>
      <c r="B701" s="177" t="s">
        <v>54</v>
      </c>
      <c r="C701" s="177" t="s">
        <v>40</v>
      </c>
      <c r="D701" s="195">
        <v>90.0</v>
      </c>
      <c r="E701" s="179"/>
      <c r="F701" s="179"/>
      <c r="G701" s="179"/>
      <c r="H701" s="195">
        <v>60.0</v>
      </c>
      <c r="I701" s="195">
        <f>(D701+E701)/H701</f>
        <v>1.5</v>
      </c>
      <c r="J701" s="196" t="s">
        <v>1554</v>
      </c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>
      <c r="A702" s="176" t="s">
        <v>1522</v>
      </c>
      <c r="B702" s="177" t="s">
        <v>141</v>
      </c>
      <c r="C702" s="177" t="s">
        <v>9</v>
      </c>
      <c r="D702" s="178">
        <v>32.0</v>
      </c>
      <c r="E702" s="179"/>
      <c r="F702" s="266"/>
      <c r="G702" s="179"/>
      <c r="H702" s="265"/>
      <c r="I702" s="255"/>
      <c r="J702" s="256" t="s">
        <v>813</v>
      </c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>
      <c r="A703" s="176" t="s">
        <v>1552</v>
      </c>
      <c r="B703" s="177" t="s">
        <v>141</v>
      </c>
      <c r="C703" s="177" t="s">
        <v>40</v>
      </c>
      <c r="D703" s="178">
        <v>28.0</v>
      </c>
      <c r="E703" s="179"/>
      <c r="F703" s="266"/>
      <c r="G703" s="179"/>
      <c r="H703" s="265">
        <v>30.0</v>
      </c>
      <c r="I703" s="255">
        <f>(D703+E703)/H703</f>
        <v>0.9333333333</v>
      </c>
      <c r="J703" s="196" t="s">
        <v>1553</v>
      </c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>
      <c r="A704" s="176" t="s">
        <v>1564</v>
      </c>
      <c r="B704" s="177" t="s">
        <v>54</v>
      </c>
      <c r="C704" s="177" t="s">
        <v>40</v>
      </c>
      <c r="D704" s="179"/>
      <c r="E704" s="179"/>
      <c r="F704" s="268">
        <v>11.0</v>
      </c>
      <c r="G704" s="179"/>
      <c r="H704" s="179"/>
      <c r="I704" s="179"/>
      <c r="J704" s="207" t="s">
        <v>1322</v>
      </c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>
      <c r="A705" s="176" t="s">
        <v>1060</v>
      </c>
      <c r="B705" s="219" t="s">
        <v>54</v>
      </c>
      <c r="C705" s="177" t="s">
        <v>40</v>
      </c>
      <c r="D705" s="179"/>
      <c r="E705" s="179"/>
      <c r="F705" s="266">
        <v>11.0</v>
      </c>
      <c r="G705" s="179"/>
      <c r="H705" s="179"/>
      <c r="I705" s="179"/>
      <c r="J705" s="196" t="s">
        <v>813</v>
      </c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>
      <c r="A706" s="182" t="s">
        <v>1020</v>
      </c>
      <c r="B706" s="219" t="s">
        <v>141</v>
      </c>
      <c r="C706" s="177" t="s">
        <v>40</v>
      </c>
      <c r="D706" s="186"/>
      <c r="E706" s="186"/>
      <c r="F706" s="265">
        <v>8.0</v>
      </c>
      <c r="G706" s="186"/>
      <c r="H706" s="186"/>
      <c r="I706" s="186"/>
      <c r="J706" s="220" t="s">
        <v>813</v>
      </c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>
      <c r="A707" s="176" t="s">
        <v>1565</v>
      </c>
      <c r="B707" s="219" t="s">
        <v>19</v>
      </c>
      <c r="C707" s="177" t="s">
        <v>40</v>
      </c>
      <c r="D707" s="179"/>
      <c r="E707" s="179"/>
      <c r="F707" s="266">
        <v>5.0</v>
      </c>
      <c r="G707" s="266">
        <v>5.0</v>
      </c>
      <c r="H707" s="179"/>
      <c r="I707" s="179"/>
      <c r="J707" s="256" t="s">
        <v>813</v>
      </c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>
      <c r="A708" s="257"/>
      <c r="B708" s="179"/>
      <c r="C708" s="186"/>
      <c r="D708" s="179"/>
      <c r="E708" s="179"/>
      <c r="F708" s="179"/>
      <c r="G708" s="179"/>
      <c r="H708" s="179"/>
      <c r="I708" s="179"/>
      <c r="J708" s="256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>
      <c r="A709" s="218" t="s">
        <v>1182</v>
      </c>
      <c r="B709" s="186"/>
      <c r="C709" s="186"/>
      <c r="D709" s="254">
        <v>5.0</v>
      </c>
      <c r="E709" s="186"/>
      <c r="F709" s="186"/>
      <c r="G709" s="186"/>
      <c r="H709" s="254">
        <v>10.0</v>
      </c>
      <c r="I709" s="254">
        <f>(D709+E709)/H709</f>
        <v>0.5</v>
      </c>
      <c r="J709" s="220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>
      <c r="A710" s="176" t="s">
        <v>1566</v>
      </c>
      <c r="B710" s="219" t="s">
        <v>19</v>
      </c>
      <c r="C710" s="177" t="s">
        <v>40</v>
      </c>
      <c r="D710" s="179"/>
      <c r="E710" s="179"/>
      <c r="F710" s="179"/>
      <c r="G710" s="179"/>
      <c r="H710" s="179"/>
      <c r="I710" s="179"/>
      <c r="J710" s="256" t="s">
        <v>813</v>
      </c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>
      <c r="A711" s="182" t="s">
        <v>1567</v>
      </c>
      <c r="B711" s="219" t="s">
        <v>19</v>
      </c>
      <c r="C711" s="177" t="s">
        <v>40</v>
      </c>
      <c r="D711" s="186"/>
      <c r="E711" s="186"/>
      <c r="F711" s="186"/>
      <c r="G711" s="186"/>
      <c r="H711" s="186"/>
      <c r="I711" s="186"/>
      <c r="J711" s="220" t="s">
        <v>813</v>
      </c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>
      <c r="A712" s="246" t="s">
        <v>1179</v>
      </c>
      <c r="B712" s="179"/>
      <c r="C712" s="179"/>
      <c r="D712" s="179"/>
      <c r="E712" s="179"/>
      <c r="F712" s="195">
        <v>6.0</v>
      </c>
      <c r="G712" s="179"/>
      <c r="H712" s="179"/>
      <c r="I712" s="179"/>
      <c r="J712" s="256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>
      <c r="A713" s="182" t="s">
        <v>1568</v>
      </c>
      <c r="B713" s="177" t="s">
        <v>141</v>
      </c>
      <c r="C713" s="177" t="s">
        <v>20</v>
      </c>
      <c r="D713" s="186"/>
      <c r="E713" s="186"/>
      <c r="F713" s="186"/>
      <c r="G713" s="186"/>
      <c r="H713" s="186"/>
      <c r="I713" s="186"/>
      <c r="J713" s="188" t="s">
        <v>1569</v>
      </c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>
      <c r="A714" s="176" t="s">
        <v>1570</v>
      </c>
      <c r="B714" s="177" t="s">
        <v>15</v>
      </c>
      <c r="C714" s="177" t="s">
        <v>20</v>
      </c>
      <c r="D714" s="179"/>
      <c r="E714" s="179"/>
      <c r="F714" s="179"/>
      <c r="G714" s="179"/>
      <c r="H714" s="179"/>
      <c r="I714" s="179"/>
      <c r="J714" s="208" t="s">
        <v>338</v>
      </c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>
      <c r="A715" s="258" t="s">
        <v>1287</v>
      </c>
      <c r="B715" s="259"/>
      <c r="C715" s="259"/>
      <c r="D715" s="259"/>
      <c r="E715" s="259"/>
      <c r="F715" s="260">
        <f>sum(F701:G714)</f>
        <v>46</v>
      </c>
      <c r="G715" s="259"/>
      <c r="H715" s="259"/>
      <c r="I715" s="261">
        <f>sum(I701:I714)</f>
        <v>2.933333333</v>
      </c>
      <c r="J715" s="262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>
      <c r="A718" s="251" t="s">
        <v>1288</v>
      </c>
      <c r="B718" s="252" t="s">
        <v>1</v>
      </c>
      <c r="C718" s="252" t="s">
        <v>2</v>
      </c>
      <c r="D718" s="252" t="s">
        <v>66</v>
      </c>
      <c r="E718" s="252" t="s">
        <v>1141</v>
      </c>
      <c r="F718" s="252" t="s">
        <v>1142</v>
      </c>
      <c r="G718" s="252" t="s">
        <v>1143</v>
      </c>
      <c r="H718" s="252" t="s">
        <v>1144</v>
      </c>
      <c r="I718" s="252" t="s">
        <v>1145</v>
      </c>
      <c r="J718" s="294" t="s">
        <v>5</v>
      </c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>
      <c r="A719" s="182" t="s">
        <v>1543</v>
      </c>
      <c r="B719" s="219" t="s">
        <v>15</v>
      </c>
      <c r="C719" s="177" t="s">
        <v>9</v>
      </c>
      <c r="D719" s="265">
        <v>18.0</v>
      </c>
      <c r="E719" s="265">
        <v>14.0</v>
      </c>
      <c r="F719" s="186"/>
      <c r="G719" s="186"/>
      <c r="H719" s="265">
        <v>30.0</v>
      </c>
      <c r="I719" s="255">
        <f t="shared" ref="I719:I724" si="29">(D719+E719)/H719</f>
        <v>1.066666667</v>
      </c>
      <c r="J719" s="220" t="s">
        <v>813</v>
      </c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>
      <c r="A720" s="176" t="s">
        <v>786</v>
      </c>
      <c r="B720" s="219" t="s">
        <v>8</v>
      </c>
      <c r="C720" s="177" t="s">
        <v>40</v>
      </c>
      <c r="D720" s="195">
        <v>30.0</v>
      </c>
      <c r="E720" s="266">
        <v>30.0</v>
      </c>
      <c r="F720" s="179"/>
      <c r="G720" s="179"/>
      <c r="H720" s="195">
        <v>60.0</v>
      </c>
      <c r="I720" s="195">
        <f t="shared" si="29"/>
        <v>1</v>
      </c>
      <c r="J720" s="92" t="s">
        <v>787</v>
      </c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>
      <c r="A721" s="182" t="s">
        <v>984</v>
      </c>
      <c r="B721" s="219" t="s">
        <v>54</v>
      </c>
      <c r="C721" s="177" t="s">
        <v>40</v>
      </c>
      <c r="D721" s="254">
        <v>30.0</v>
      </c>
      <c r="E721" s="265">
        <v>30.0</v>
      </c>
      <c r="F721" s="186"/>
      <c r="G721" s="186"/>
      <c r="H721" s="254">
        <v>60.0</v>
      </c>
      <c r="I721" s="254">
        <f t="shared" si="29"/>
        <v>1</v>
      </c>
      <c r="J721" s="188" t="s">
        <v>1554</v>
      </c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>
      <c r="A722" s="276" t="s">
        <v>1571</v>
      </c>
      <c r="B722" s="219" t="s">
        <v>19</v>
      </c>
      <c r="C722" s="177" t="s">
        <v>40</v>
      </c>
      <c r="D722" s="266">
        <v>5.0</v>
      </c>
      <c r="E722" s="266">
        <v>5.0</v>
      </c>
      <c r="F722" s="179"/>
      <c r="G722" s="179"/>
      <c r="H722" s="266">
        <v>10.0</v>
      </c>
      <c r="I722" s="195">
        <f t="shared" si="29"/>
        <v>1</v>
      </c>
      <c r="J722" s="256" t="s">
        <v>813</v>
      </c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>
      <c r="A723" s="182" t="s">
        <v>1572</v>
      </c>
      <c r="B723" s="219" t="s">
        <v>19</v>
      </c>
      <c r="C723" s="177" t="s">
        <v>40</v>
      </c>
      <c r="D723" s="265">
        <v>5.0</v>
      </c>
      <c r="E723" s="265">
        <v>3.0</v>
      </c>
      <c r="F723" s="186"/>
      <c r="G723" s="186"/>
      <c r="H723" s="265">
        <v>10.0</v>
      </c>
      <c r="I723" s="254">
        <f t="shared" si="29"/>
        <v>0.8</v>
      </c>
      <c r="J723" s="188" t="s">
        <v>126</v>
      </c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>
      <c r="A724" s="176" t="s">
        <v>1537</v>
      </c>
      <c r="B724" s="177" t="s">
        <v>8</v>
      </c>
      <c r="C724" s="177" t="s">
        <v>40</v>
      </c>
      <c r="D724" s="178">
        <v>30.0</v>
      </c>
      <c r="E724" s="179"/>
      <c r="F724" s="268"/>
      <c r="G724" s="268"/>
      <c r="H724" s="267">
        <v>60.0</v>
      </c>
      <c r="I724" s="254">
        <f t="shared" si="29"/>
        <v>0.5</v>
      </c>
      <c r="J724" s="196" t="s">
        <v>1279</v>
      </c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>
      <c r="A725" s="176" t="s">
        <v>1527</v>
      </c>
      <c r="B725" s="177" t="s">
        <v>15</v>
      </c>
      <c r="C725" s="177" t="s">
        <v>40</v>
      </c>
      <c r="D725" s="178"/>
      <c r="E725" s="179"/>
      <c r="F725" s="268">
        <v>2.7</v>
      </c>
      <c r="G725" s="268">
        <v>2.1</v>
      </c>
      <c r="H725" s="265"/>
      <c r="I725" s="254"/>
      <c r="J725" s="256" t="s">
        <v>813</v>
      </c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>
      <c r="A726" s="271"/>
      <c r="B726" s="186"/>
      <c r="C726" s="186"/>
      <c r="D726" s="186"/>
      <c r="E726" s="186"/>
      <c r="F726" s="186"/>
      <c r="G726" s="186"/>
      <c r="H726" s="186"/>
      <c r="I726" s="186"/>
      <c r="J726" s="220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>
      <c r="A727" s="246" t="s">
        <v>992</v>
      </c>
      <c r="B727" s="179"/>
      <c r="C727" s="186"/>
      <c r="D727" s="194">
        <v>70.0</v>
      </c>
      <c r="E727" s="179"/>
      <c r="F727" s="179"/>
      <c r="G727" s="179"/>
      <c r="H727" s="195">
        <v>60.0</v>
      </c>
      <c r="I727" s="255">
        <f>(D727+E727)/H727</f>
        <v>1.166666667</v>
      </c>
      <c r="J727" s="256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>
      <c r="A728" s="182" t="s">
        <v>1573</v>
      </c>
      <c r="B728" s="219" t="s">
        <v>8</v>
      </c>
      <c r="C728" s="177" t="s">
        <v>9</v>
      </c>
      <c r="D728" s="186"/>
      <c r="E728" s="186"/>
      <c r="F728" s="186"/>
      <c r="G728" s="186"/>
      <c r="H728" s="186"/>
      <c r="I728" s="186"/>
      <c r="J728" s="280" t="s">
        <v>1574</v>
      </c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>
      <c r="A729" s="246" t="s">
        <v>993</v>
      </c>
      <c r="B729" s="219" t="s">
        <v>8</v>
      </c>
      <c r="C729" s="219"/>
      <c r="D729" s="179"/>
      <c r="E729" s="179"/>
      <c r="F729" s="179"/>
      <c r="G729" s="179"/>
      <c r="H729" s="179"/>
      <c r="I729" s="179"/>
      <c r="J729" s="281" t="s">
        <v>785</v>
      </c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>
      <c r="A730" s="246" t="s">
        <v>992</v>
      </c>
      <c r="B730" s="179"/>
      <c r="C730" s="186"/>
      <c r="D730" s="195">
        <v>21.0</v>
      </c>
      <c r="E730" s="179"/>
      <c r="F730" s="179"/>
      <c r="G730" s="179"/>
      <c r="H730" s="195">
        <v>60.0</v>
      </c>
      <c r="I730" s="195">
        <f>(D730+E730)/H730</f>
        <v>0.35</v>
      </c>
      <c r="J730" s="256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>
      <c r="A731" s="182" t="s">
        <v>1285</v>
      </c>
      <c r="B731" s="219" t="s">
        <v>8</v>
      </c>
      <c r="C731" s="177" t="s">
        <v>40</v>
      </c>
      <c r="D731" s="186"/>
      <c r="E731" s="186"/>
      <c r="F731" s="186"/>
      <c r="G731" s="186"/>
      <c r="H731" s="186"/>
      <c r="I731" s="186"/>
      <c r="J731" s="280" t="s">
        <v>558</v>
      </c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>
      <c r="A732" s="246" t="s">
        <v>993</v>
      </c>
      <c r="B732" s="219" t="s">
        <v>8</v>
      </c>
      <c r="C732" s="219"/>
      <c r="D732" s="179"/>
      <c r="E732" s="179"/>
      <c r="F732" s="179"/>
      <c r="G732" s="179"/>
      <c r="H732" s="179"/>
      <c r="I732" s="179"/>
      <c r="J732" s="281" t="s">
        <v>785</v>
      </c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>
      <c r="A733" s="258" t="s">
        <v>1312</v>
      </c>
      <c r="B733" s="259"/>
      <c r="C733" s="259"/>
      <c r="D733" s="259"/>
      <c r="E733" s="259"/>
      <c r="F733" s="260">
        <f>sum(F719:G732)</f>
        <v>4.8</v>
      </c>
      <c r="G733" s="259"/>
      <c r="H733" s="259"/>
      <c r="I733" s="261">
        <f>sum(I719:I732)</f>
        <v>6.883333333</v>
      </c>
      <c r="J733" s="262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>
      <c r="A738" s="248" t="s">
        <v>120</v>
      </c>
      <c r="B738" s="249"/>
      <c r="C738" s="249"/>
      <c r="D738" s="249"/>
      <c r="E738" s="249"/>
      <c r="F738" s="249"/>
      <c r="G738" s="249"/>
      <c r="H738" s="249"/>
      <c r="I738" s="249"/>
      <c r="J738" s="250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>
      <c r="A739" s="282" t="s">
        <v>1140</v>
      </c>
      <c r="B739" s="283" t="s">
        <v>1</v>
      </c>
      <c r="C739" s="283" t="s">
        <v>2</v>
      </c>
      <c r="D739" s="283" t="s">
        <v>66</v>
      </c>
      <c r="E739" s="283" t="s">
        <v>1141</v>
      </c>
      <c r="F739" s="283" t="s">
        <v>1142</v>
      </c>
      <c r="G739" s="283" t="s">
        <v>1143</v>
      </c>
      <c r="H739" s="283" t="s">
        <v>1144</v>
      </c>
      <c r="I739" s="283" t="s">
        <v>1145</v>
      </c>
      <c r="J739" s="295" t="s">
        <v>5</v>
      </c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>
      <c r="A740" s="182" t="s">
        <v>1575</v>
      </c>
      <c r="B740" s="177" t="s">
        <v>15</v>
      </c>
      <c r="C740" s="177" t="s">
        <v>12</v>
      </c>
      <c r="D740" s="183">
        <v>360.0</v>
      </c>
      <c r="E740" s="254">
        <v>280.0</v>
      </c>
      <c r="F740" s="186"/>
      <c r="G740" s="186"/>
      <c r="H740" s="254">
        <v>30.0</v>
      </c>
      <c r="I740" s="255">
        <f t="shared" ref="I740:I745" si="30">(D740+E740)/H740</f>
        <v>21.33333333</v>
      </c>
      <c r="J740" s="220" t="s">
        <v>813</v>
      </c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>
      <c r="A741" s="182" t="s">
        <v>1576</v>
      </c>
      <c r="B741" s="177" t="s">
        <v>8</v>
      </c>
      <c r="C741" s="177" t="s">
        <v>12</v>
      </c>
      <c r="D741" s="194">
        <v>1080.0</v>
      </c>
      <c r="E741" s="179"/>
      <c r="F741" s="179"/>
      <c r="G741" s="179"/>
      <c r="H741" s="195">
        <v>60.0</v>
      </c>
      <c r="I741" s="195">
        <f t="shared" si="30"/>
        <v>18</v>
      </c>
      <c r="J741" s="137" t="s">
        <v>811</v>
      </c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>
      <c r="A742" s="182" t="s">
        <v>1577</v>
      </c>
      <c r="B742" s="177" t="s">
        <v>8</v>
      </c>
      <c r="C742" s="177" t="s">
        <v>20</v>
      </c>
      <c r="D742" s="194">
        <v>900.0</v>
      </c>
      <c r="E742" s="179"/>
      <c r="F742" s="179"/>
      <c r="G742" s="179"/>
      <c r="H742" s="194">
        <v>60.0</v>
      </c>
      <c r="I742" s="195">
        <f t="shared" si="30"/>
        <v>15</v>
      </c>
      <c r="J742" s="296" t="s">
        <v>785</v>
      </c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>
      <c r="A743" s="182" t="s">
        <v>1578</v>
      </c>
      <c r="B743" s="177" t="s">
        <v>8</v>
      </c>
      <c r="C743" s="177" t="s">
        <v>9</v>
      </c>
      <c r="D743" s="195">
        <v>900.0</v>
      </c>
      <c r="E743" s="179"/>
      <c r="F743" s="179"/>
      <c r="G743" s="179"/>
      <c r="H743" s="195">
        <v>60.0</v>
      </c>
      <c r="I743" s="195">
        <f t="shared" si="30"/>
        <v>15</v>
      </c>
      <c r="J743" s="108" t="s">
        <v>59</v>
      </c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>
      <c r="A744" s="176" t="s">
        <v>1579</v>
      </c>
      <c r="B744" s="219" t="s">
        <v>19</v>
      </c>
      <c r="C744" s="177" t="s">
        <v>12</v>
      </c>
      <c r="D744" s="195">
        <v>50.0</v>
      </c>
      <c r="E744" s="195">
        <v>50.0</v>
      </c>
      <c r="F744" s="179"/>
      <c r="G744" s="179"/>
      <c r="H744" s="195">
        <v>10.0</v>
      </c>
      <c r="I744" s="195">
        <f t="shared" si="30"/>
        <v>10</v>
      </c>
      <c r="J744" s="256" t="s">
        <v>813</v>
      </c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>
      <c r="A745" s="182" t="s">
        <v>1580</v>
      </c>
      <c r="B745" s="219" t="s">
        <v>15</v>
      </c>
      <c r="C745" s="177" t="s">
        <v>16</v>
      </c>
      <c r="D745" s="183">
        <v>280.0</v>
      </c>
      <c r="E745" s="186"/>
      <c r="F745" s="186"/>
      <c r="G745" s="186"/>
      <c r="H745" s="254">
        <v>30.0</v>
      </c>
      <c r="I745" s="255">
        <f t="shared" si="30"/>
        <v>9.333333333</v>
      </c>
      <c r="J745" s="196" t="s">
        <v>17</v>
      </c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>
      <c r="A746" s="182" t="s">
        <v>1581</v>
      </c>
      <c r="B746" s="177" t="s">
        <v>8</v>
      </c>
      <c r="C746" s="177" t="s">
        <v>9</v>
      </c>
      <c r="D746" s="186"/>
      <c r="E746" s="186"/>
      <c r="F746" s="183">
        <v>12.0</v>
      </c>
      <c r="G746" s="186"/>
      <c r="H746" s="186"/>
      <c r="I746" s="186"/>
      <c r="J746" s="190" t="s">
        <v>1322</v>
      </c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>
      <c r="A747" s="182" t="s">
        <v>1019</v>
      </c>
      <c r="B747" s="177" t="s">
        <v>8</v>
      </c>
      <c r="C747" s="177" t="s">
        <v>16</v>
      </c>
      <c r="D747" s="186"/>
      <c r="E747" s="186"/>
      <c r="F747" s="183">
        <v>12.0</v>
      </c>
      <c r="G747" s="186"/>
      <c r="H747" s="186"/>
      <c r="I747" s="186"/>
      <c r="J747" s="188" t="s">
        <v>995</v>
      </c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>
      <c r="A748" s="176" t="s">
        <v>1582</v>
      </c>
      <c r="B748" s="177" t="s">
        <v>15</v>
      </c>
      <c r="C748" s="177" t="s">
        <v>9</v>
      </c>
      <c r="D748" s="179"/>
      <c r="E748" s="179"/>
      <c r="F748" s="194">
        <v>9.0</v>
      </c>
      <c r="G748" s="179"/>
      <c r="H748" s="179"/>
      <c r="I748" s="179"/>
      <c r="J748" s="208" t="s">
        <v>1583</v>
      </c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>
      <c r="A749" s="176" t="s">
        <v>1039</v>
      </c>
      <c r="B749" s="219" t="s">
        <v>15</v>
      </c>
      <c r="C749" s="177" t="s">
        <v>40</v>
      </c>
      <c r="D749" s="179"/>
      <c r="E749" s="179"/>
      <c r="F749" s="195">
        <v>9.0</v>
      </c>
      <c r="G749" s="179"/>
      <c r="H749" s="179"/>
      <c r="I749" s="179"/>
      <c r="J749" s="196" t="s">
        <v>1427</v>
      </c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>
      <c r="A750" s="182" t="s">
        <v>1584</v>
      </c>
      <c r="B750" s="219" t="s">
        <v>19</v>
      </c>
      <c r="C750" s="177" t="s">
        <v>12</v>
      </c>
      <c r="D750" s="186"/>
      <c r="E750" s="186"/>
      <c r="F750" s="254">
        <v>5.0</v>
      </c>
      <c r="G750" s="254">
        <v>5.0</v>
      </c>
      <c r="H750" s="186"/>
      <c r="I750" s="186"/>
      <c r="J750" s="220" t="s">
        <v>813</v>
      </c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>
      <c r="A751" s="257"/>
      <c r="B751" s="179"/>
      <c r="C751" s="186"/>
      <c r="D751" s="179"/>
      <c r="E751" s="179"/>
      <c r="F751" s="179"/>
      <c r="G751" s="179"/>
      <c r="H751" s="179"/>
      <c r="I751" s="179"/>
      <c r="J751" s="256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>
      <c r="A752" s="218" t="s">
        <v>1182</v>
      </c>
      <c r="B752" s="186"/>
      <c r="C752" s="186"/>
      <c r="D752" s="183">
        <v>70.0</v>
      </c>
      <c r="E752" s="186"/>
      <c r="F752" s="186"/>
      <c r="G752" s="186"/>
      <c r="H752" s="254">
        <v>10.0</v>
      </c>
      <c r="I752" s="254">
        <f>(D752+E752)/H752</f>
        <v>7</v>
      </c>
      <c r="J752" s="220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>
      <c r="A753" s="176" t="s">
        <v>1585</v>
      </c>
      <c r="B753" s="219" t="s">
        <v>19</v>
      </c>
      <c r="C753" s="177" t="s">
        <v>20</v>
      </c>
      <c r="D753" s="179"/>
      <c r="E753" s="179"/>
      <c r="F753" s="179"/>
      <c r="G753" s="179"/>
      <c r="H753" s="179"/>
      <c r="I753" s="179"/>
      <c r="J753" s="256" t="s">
        <v>813</v>
      </c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>
      <c r="A754" s="182" t="s">
        <v>1586</v>
      </c>
      <c r="B754" s="219" t="s">
        <v>19</v>
      </c>
      <c r="C754" s="177" t="s">
        <v>20</v>
      </c>
      <c r="D754" s="186"/>
      <c r="E754" s="186"/>
      <c r="F754" s="186"/>
      <c r="G754" s="186"/>
      <c r="H754" s="186"/>
      <c r="I754" s="186"/>
      <c r="J754" s="220" t="s">
        <v>813</v>
      </c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>
      <c r="A755" s="176" t="s">
        <v>1587</v>
      </c>
      <c r="B755" s="219" t="s">
        <v>19</v>
      </c>
      <c r="C755" s="177" t="s">
        <v>9</v>
      </c>
      <c r="D755" s="179"/>
      <c r="E755" s="179"/>
      <c r="F755" s="179"/>
      <c r="G755" s="179"/>
      <c r="H755" s="179"/>
      <c r="I755" s="179"/>
      <c r="J755" s="256" t="s">
        <v>813</v>
      </c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>
      <c r="A756" s="182" t="s">
        <v>1374</v>
      </c>
      <c r="B756" s="219" t="s">
        <v>19</v>
      </c>
      <c r="C756" s="177" t="s">
        <v>9</v>
      </c>
      <c r="D756" s="186"/>
      <c r="E756" s="186"/>
      <c r="F756" s="186"/>
      <c r="G756" s="186"/>
      <c r="H756" s="186"/>
      <c r="I756" s="186"/>
      <c r="J756" s="220" t="s">
        <v>813</v>
      </c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>
      <c r="A757" s="246" t="s">
        <v>1179</v>
      </c>
      <c r="B757" s="179"/>
      <c r="C757" s="179"/>
      <c r="D757" s="179"/>
      <c r="E757" s="179"/>
      <c r="F757" s="194">
        <v>8.0</v>
      </c>
      <c r="G757" s="179"/>
      <c r="H757" s="179"/>
      <c r="I757" s="179"/>
      <c r="J757" s="256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>
      <c r="A758" s="176" t="s">
        <v>1588</v>
      </c>
      <c r="B758" s="177" t="s">
        <v>141</v>
      </c>
      <c r="C758" s="177" t="s">
        <v>9</v>
      </c>
      <c r="D758" s="179"/>
      <c r="E758" s="179"/>
      <c r="F758" s="179"/>
      <c r="G758" s="179"/>
      <c r="H758" s="179"/>
      <c r="I758" s="179"/>
      <c r="J758" s="256" t="s">
        <v>813</v>
      </c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>
      <c r="A759" s="176" t="s">
        <v>1589</v>
      </c>
      <c r="B759" s="219" t="s">
        <v>15</v>
      </c>
      <c r="C759" s="177" t="s">
        <v>9</v>
      </c>
      <c r="D759" s="179"/>
      <c r="E759" s="179"/>
      <c r="F759" s="179"/>
      <c r="G759" s="179"/>
      <c r="H759" s="179"/>
      <c r="I759" s="179"/>
      <c r="J759" s="256" t="s">
        <v>813</v>
      </c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>
      <c r="A760" s="176" t="s">
        <v>1531</v>
      </c>
      <c r="B760" s="177" t="s">
        <v>141</v>
      </c>
      <c r="C760" s="177" t="s">
        <v>40</v>
      </c>
      <c r="D760" s="179"/>
      <c r="E760" s="179"/>
      <c r="F760" s="179"/>
      <c r="G760" s="179"/>
      <c r="H760" s="179"/>
      <c r="I760" s="179"/>
      <c r="J760" s="256" t="s">
        <v>813</v>
      </c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>
      <c r="A761" s="176" t="s">
        <v>1590</v>
      </c>
      <c r="B761" s="219" t="s">
        <v>15</v>
      </c>
      <c r="C761" s="177" t="s">
        <v>40</v>
      </c>
      <c r="D761" s="179"/>
      <c r="E761" s="179"/>
      <c r="F761" s="179"/>
      <c r="G761" s="179"/>
      <c r="H761" s="179"/>
      <c r="I761" s="179"/>
      <c r="J761" s="256" t="s">
        <v>813</v>
      </c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>
      <c r="A762" s="258" t="s">
        <v>1187</v>
      </c>
      <c r="B762" s="259"/>
      <c r="C762" s="259"/>
      <c r="D762" s="259"/>
      <c r="E762" s="259"/>
      <c r="F762" s="260">
        <f>sum(F743:G761)</f>
        <v>60</v>
      </c>
      <c r="G762" s="259"/>
      <c r="H762" s="259"/>
      <c r="I762" s="261">
        <f>sum(I743:I761)</f>
        <v>41.33333333</v>
      </c>
      <c r="J762" s="262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>
      <c r="A763" s="284"/>
      <c r="B763" s="263"/>
      <c r="C763" s="263"/>
      <c r="D763" s="263"/>
      <c r="E763" s="263"/>
      <c r="F763" s="263"/>
      <c r="G763" s="263"/>
      <c r="H763" s="263"/>
      <c r="I763" s="263"/>
      <c r="J763" s="285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>
      <c r="A764" s="286"/>
      <c r="B764" s="264"/>
      <c r="C764" s="264"/>
      <c r="D764" s="264"/>
      <c r="E764" s="264"/>
      <c r="F764" s="264"/>
      <c r="G764" s="264"/>
      <c r="H764" s="264"/>
      <c r="I764" s="264"/>
      <c r="J764" s="287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>
      <c r="A765" s="282" t="s">
        <v>1188</v>
      </c>
      <c r="B765" s="283" t="s">
        <v>1</v>
      </c>
      <c r="C765" s="283" t="s">
        <v>2</v>
      </c>
      <c r="D765" s="283" t="s">
        <v>66</v>
      </c>
      <c r="E765" s="283" t="s">
        <v>1141</v>
      </c>
      <c r="F765" s="283" t="s">
        <v>1142</v>
      </c>
      <c r="G765" s="283" t="s">
        <v>1143</v>
      </c>
      <c r="H765" s="283" t="s">
        <v>1144</v>
      </c>
      <c r="I765" s="283" t="s">
        <v>1145</v>
      </c>
      <c r="J765" s="295" t="s">
        <v>5</v>
      </c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>
      <c r="A766" s="182" t="s">
        <v>1591</v>
      </c>
      <c r="B766" s="219" t="s">
        <v>8</v>
      </c>
      <c r="C766" s="177" t="s">
        <v>20</v>
      </c>
      <c r="D766" s="265">
        <v>90.0</v>
      </c>
      <c r="E766" s="265">
        <v>90.0</v>
      </c>
      <c r="F766" s="186"/>
      <c r="G766" s="186"/>
      <c r="H766" s="265">
        <v>60.0</v>
      </c>
      <c r="I766" s="254">
        <f t="shared" ref="I766:I771" si="31">(D766+E766)/H766</f>
        <v>3</v>
      </c>
      <c r="J766" s="207" t="s">
        <v>426</v>
      </c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>
      <c r="A767" s="176" t="s">
        <v>1592</v>
      </c>
      <c r="B767" s="177" t="s">
        <v>15</v>
      </c>
      <c r="C767" s="177" t="s">
        <v>20</v>
      </c>
      <c r="D767" s="178">
        <v>36.0</v>
      </c>
      <c r="E767" s="178">
        <v>28.0</v>
      </c>
      <c r="F767" s="266"/>
      <c r="G767" s="179"/>
      <c r="H767" s="265">
        <v>30.0</v>
      </c>
      <c r="I767" s="255">
        <f t="shared" si="31"/>
        <v>2.133333333</v>
      </c>
      <c r="J767" s="188" t="s">
        <v>1036</v>
      </c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>
      <c r="A768" s="176" t="s">
        <v>881</v>
      </c>
      <c r="B768" s="177" t="s">
        <v>141</v>
      </c>
      <c r="C768" s="177" t="s">
        <v>20</v>
      </c>
      <c r="D768" s="178">
        <v>28.0</v>
      </c>
      <c r="E768" s="178">
        <v>28.0</v>
      </c>
      <c r="F768" s="266"/>
      <c r="G768" s="179"/>
      <c r="H768" s="265">
        <v>30.0</v>
      </c>
      <c r="I768" s="255">
        <f t="shared" si="31"/>
        <v>1.866666667</v>
      </c>
      <c r="J768" s="188" t="s">
        <v>1593</v>
      </c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>
      <c r="A769" s="176" t="s">
        <v>1576</v>
      </c>
      <c r="B769" s="177" t="s">
        <v>8</v>
      </c>
      <c r="C769" s="177" t="s">
        <v>12</v>
      </c>
      <c r="D769" s="178">
        <v>108.0</v>
      </c>
      <c r="E769" s="178"/>
      <c r="F769" s="266"/>
      <c r="G769" s="179"/>
      <c r="H769" s="265">
        <v>60.0</v>
      </c>
      <c r="I769" s="254">
        <f t="shared" si="31"/>
        <v>1.8</v>
      </c>
      <c r="J769" s="137" t="s">
        <v>811</v>
      </c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>
      <c r="A770" s="182" t="s">
        <v>1578</v>
      </c>
      <c r="B770" s="177" t="s">
        <v>8</v>
      </c>
      <c r="C770" s="177" t="s">
        <v>9</v>
      </c>
      <c r="D770" s="183">
        <v>90.0</v>
      </c>
      <c r="E770" s="186"/>
      <c r="F770" s="186"/>
      <c r="G770" s="186"/>
      <c r="H770" s="254">
        <v>60.0</v>
      </c>
      <c r="I770" s="254">
        <f t="shared" si="31"/>
        <v>1.5</v>
      </c>
      <c r="J770" s="108" t="s">
        <v>59</v>
      </c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>
      <c r="A771" s="182" t="s">
        <v>1594</v>
      </c>
      <c r="B771" s="177" t="s">
        <v>19</v>
      </c>
      <c r="C771" s="177" t="s">
        <v>9</v>
      </c>
      <c r="D771" s="267">
        <v>5.0</v>
      </c>
      <c r="E771" s="267">
        <v>5.0</v>
      </c>
      <c r="F771" s="186"/>
      <c r="G771" s="186"/>
      <c r="H771" s="267">
        <v>10.0</v>
      </c>
      <c r="I771" s="255">
        <f t="shared" si="31"/>
        <v>1</v>
      </c>
      <c r="J771" s="211" t="s">
        <v>813</v>
      </c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>
      <c r="A772" s="176" t="s">
        <v>1126</v>
      </c>
      <c r="B772" s="177" t="s">
        <v>8</v>
      </c>
      <c r="C772" s="177" t="s">
        <v>12</v>
      </c>
      <c r="D772" s="179"/>
      <c r="E772" s="179"/>
      <c r="F772" s="268">
        <v>12.0</v>
      </c>
      <c r="G772" s="179"/>
      <c r="H772" s="179"/>
      <c r="I772" s="179"/>
      <c r="J772" s="201" t="s">
        <v>813</v>
      </c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>
      <c r="A773" s="176" t="s">
        <v>1595</v>
      </c>
      <c r="B773" s="177" t="s">
        <v>8</v>
      </c>
      <c r="C773" s="177" t="s">
        <v>40</v>
      </c>
      <c r="D773" s="179"/>
      <c r="E773" s="179"/>
      <c r="F773" s="268">
        <v>12.0</v>
      </c>
      <c r="G773" s="179"/>
      <c r="H773" s="179"/>
      <c r="I773" s="179"/>
      <c r="J773" s="196" t="s">
        <v>444</v>
      </c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>
      <c r="A774" s="176" t="s">
        <v>1596</v>
      </c>
      <c r="B774" s="219" t="s">
        <v>15</v>
      </c>
      <c r="C774" s="177" t="s">
        <v>9</v>
      </c>
      <c r="D774" s="179"/>
      <c r="E774" s="179"/>
      <c r="F774" s="266">
        <v>9.0</v>
      </c>
      <c r="G774" s="179"/>
      <c r="H774" s="179"/>
      <c r="I774" s="269"/>
      <c r="J774" s="211" t="s">
        <v>813</v>
      </c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>
      <c r="A775" s="182" t="s">
        <v>1597</v>
      </c>
      <c r="B775" s="177" t="s">
        <v>19</v>
      </c>
      <c r="C775" s="177" t="s">
        <v>16</v>
      </c>
      <c r="D775" s="186"/>
      <c r="E775" s="186"/>
      <c r="F775" s="183">
        <v>5.0</v>
      </c>
      <c r="G775" s="183">
        <v>5.0</v>
      </c>
      <c r="H775" s="186"/>
      <c r="I775" s="186"/>
      <c r="J775" s="207" t="s">
        <v>1322</v>
      </c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>
      <c r="A776" s="182" t="s">
        <v>1598</v>
      </c>
      <c r="B776" s="177" t="s">
        <v>19</v>
      </c>
      <c r="C776" s="177" t="s">
        <v>12</v>
      </c>
      <c r="D776" s="186"/>
      <c r="E776" s="186"/>
      <c r="F776" s="183">
        <v>5.0</v>
      </c>
      <c r="G776" s="183">
        <v>5.0</v>
      </c>
      <c r="H776" s="186"/>
      <c r="I776" s="186"/>
      <c r="J776" s="211" t="s">
        <v>813</v>
      </c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>
      <c r="A777" s="257"/>
      <c r="B777" s="186"/>
      <c r="C777" s="186"/>
      <c r="D777" s="179"/>
      <c r="E777" s="179"/>
      <c r="F777" s="179"/>
      <c r="G777" s="179"/>
      <c r="H777" s="179"/>
      <c r="I777" s="179"/>
      <c r="J777" s="256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>
      <c r="A778" s="218" t="s">
        <v>1182</v>
      </c>
      <c r="B778" s="186"/>
      <c r="C778" s="186"/>
      <c r="D778" s="183">
        <v>6.0</v>
      </c>
      <c r="E778" s="186"/>
      <c r="F778" s="186"/>
      <c r="G778" s="186"/>
      <c r="H778" s="254">
        <v>10.0</v>
      </c>
      <c r="I778" s="254">
        <f>(D778+E778)/H778</f>
        <v>0.6</v>
      </c>
      <c r="J778" s="220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>
      <c r="A779" s="176" t="s">
        <v>1599</v>
      </c>
      <c r="B779" s="219" t="s">
        <v>19</v>
      </c>
      <c r="C779" s="177" t="s">
        <v>20</v>
      </c>
      <c r="D779" s="179"/>
      <c r="E779" s="179"/>
      <c r="F779" s="179"/>
      <c r="G779" s="179"/>
      <c r="H779" s="179"/>
      <c r="I779" s="179"/>
      <c r="J779" s="196" t="s">
        <v>49</v>
      </c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>
      <c r="A780" s="176" t="s">
        <v>1600</v>
      </c>
      <c r="B780" s="219" t="s">
        <v>19</v>
      </c>
      <c r="C780" s="177" t="s">
        <v>12</v>
      </c>
      <c r="D780" s="179"/>
      <c r="E780" s="179"/>
      <c r="F780" s="179"/>
      <c r="G780" s="179"/>
      <c r="H780" s="179"/>
      <c r="I780" s="179"/>
      <c r="J780" s="196" t="s">
        <v>284</v>
      </c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>
      <c r="A781" s="176" t="s">
        <v>1601</v>
      </c>
      <c r="B781" s="219" t="s">
        <v>19</v>
      </c>
      <c r="C781" s="177" t="s">
        <v>16</v>
      </c>
      <c r="D781" s="179"/>
      <c r="E781" s="179"/>
      <c r="F781" s="179"/>
      <c r="G781" s="179"/>
      <c r="H781" s="179"/>
      <c r="I781" s="179"/>
      <c r="J781" s="196" t="s">
        <v>960</v>
      </c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>
      <c r="A782" s="218" t="s">
        <v>1182</v>
      </c>
      <c r="B782" s="186"/>
      <c r="C782" s="186"/>
      <c r="D782" s="183">
        <v>7.0</v>
      </c>
      <c r="E782" s="186"/>
      <c r="F782" s="186"/>
      <c r="G782" s="186"/>
      <c r="H782" s="254">
        <v>10.0</v>
      </c>
      <c r="I782" s="254">
        <f>(D782+E782)/H782</f>
        <v>0.7</v>
      </c>
      <c r="J782" s="220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>
      <c r="A783" s="176" t="s">
        <v>1602</v>
      </c>
      <c r="B783" s="219" t="s">
        <v>19</v>
      </c>
      <c r="C783" s="177" t="s">
        <v>9</v>
      </c>
      <c r="D783" s="179"/>
      <c r="E783" s="179"/>
      <c r="F783" s="179"/>
      <c r="G783" s="179"/>
      <c r="H783" s="179"/>
      <c r="I783" s="179"/>
      <c r="J783" s="256" t="s">
        <v>813</v>
      </c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>
      <c r="A784" s="182" t="s">
        <v>1603</v>
      </c>
      <c r="B784" s="219" t="s">
        <v>19</v>
      </c>
      <c r="C784" s="177" t="s">
        <v>20</v>
      </c>
      <c r="D784" s="186"/>
      <c r="E784" s="186"/>
      <c r="F784" s="186"/>
      <c r="G784" s="186"/>
      <c r="H784" s="186"/>
      <c r="I784" s="186"/>
      <c r="J784" s="220" t="s">
        <v>813</v>
      </c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>
      <c r="A785" s="176" t="s">
        <v>1508</v>
      </c>
      <c r="B785" s="219" t="s">
        <v>19</v>
      </c>
      <c r="C785" s="177" t="s">
        <v>16</v>
      </c>
      <c r="D785" s="179"/>
      <c r="E785" s="179"/>
      <c r="F785" s="179"/>
      <c r="G785" s="179"/>
      <c r="H785" s="179"/>
      <c r="I785" s="179"/>
      <c r="J785" s="256" t="s">
        <v>813</v>
      </c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>
      <c r="A786" s="182" t="s">
        <v>1604</v>
      </c>
      <c r="B786" s="219" t="s">
        <v>19</v>
      </c>
      <c r="C786" s="177" t="s">
        <v>12</v>
      </c>
      <c r="D786" s="186"/>
      <c r="E786" s="186"/>
      <c r="F786" s="186"/>
      <c r="G786" s="186"/>
      <c r="H786" s="186"/>
      <c r="I786" s="186"/>
      <c r="J786" s="220" t="s">
        <v>813</v>
      </c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>
      <c r="A787" s="246" t="s">
        <v>1179</v>
      </c>
      <c r="B787" s="219"/>
      <c r="C787" s="186"/>
      <c r="D787" s="179"/>
      <c r="E787" s="179"/>
      <c r="F787" s="268">
        <v>8.0</v>
      </c>
      <c r="G787" s="179"/>
      <c r="H787" s="179"/>
      <c r="I787" s="179"/>
      <c r="J787" s="256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>
      <c r="A788" s="182" t="s">
        <v>1605</v>
      </c>
      <c r="B788" s="177" t="s">
        <v>141</v>
      </c>
      <c r="C788" s="177" t="s">
        <v>12</v>
      </c>
      <c r="D788" s="186"/>
      <c r="E788" s="186"/>
      <c r="F788" s="186"/>
      <c r="G788" s="186"/>
      <c r="H788" s="186"/>
      <c r="I788" s="186"/>
      <c r="J788" s="220" t="s">
        <v>813</v>
      </c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>
      <c r="A789" s="176" t="s">
        <v>1606</v>
      </c>
      <c r="B789" s="177" t="s">
        <v>141</v>
      </c>
      <c r="C789" s="177" t="s">
        <v>9</v>
      </c>
      <c r="D789" s="179"/>
      <c r="E789" s="179"/>
      <c r="F789" s="179"/>
      <c r="G789" s="179"/>
      <c r="H789" s="179"/>
      <c r="I789" s="179"/>
      <c r="J789" s="256" t="s">
        <v>813</v>
      </c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>
      <c r="A790" s="182" t="s">
        <v>1607</v>
      </c>
      <c r="B790" s="177" t="s">
        <v>141</v>
      </c>
      <c r="C790" s="177" t="s">
        <v>40</v>
      </c>
      <c r="D790" s="186"/>
      <c r="E790" s="186"/>
      <c r="F790" s="186"/>
      <c r="G790" s="186"/>
      <c r="H790" s="186"/>
      <c r="I790" s="186"/>
      <c r="J790" s="220" t="s">
        <v>813</v>
      </c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>
      <c r="A791" s="176" t="s">
        <v>1608</v>
      </c>
      <c r="B791" s="177" t="s">
        <v>15</v>
      </c>
      <c r="C791" s="177" t="s">
        <v>16</v>
      </c>
      <c r="D791" s="179"/>
      <c r="E791" s="179"/>
      <c r="F791" s="179"/>
      <c r="G791" s="179"/>
      <c r="H791" s="179"/>
      <c r="I791" s="179"/>
      <c r="J791" s="256" t="s">
        <v>813</v>
      </c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>
      <c r="A792" s="258" t="s">
        <v>1236</v>
      </c>
      <c r="B792" s="259"/>
      <c r="C792" s="259"/>
      <c r="D792" s="259"/>
      <c r="E792" s="259"/>
      <c r="F792" s="260">
        <f>sum(F766:G791)</f>
        <v>61</v>
      </c>
      <c r="G792" s="259"/>
      <c r="H792" s="259"/>
      <c r="I792" s="261">
        <f>sum(I766:I791)</f>
        <v>12.6</v>
      </c>
      <c r="J792" s="262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>
      <c r="A793" s="284"/>
      <c r="B793" s="263"/>
      <c r="C793" s="263"/>
      <c r="D793" s="263"/>
      <c r="E793" s="263"/>
      <c r="F793" s="263"/>
      <c r="G793" s="263"/>
      <c r="H793" s="263"/>
      <c r="I793" s="263"/>
      <c r="J793" s="285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>
      <c r="A794" s="286"/>
      <c r="B794" s="264"/>
      <c r="C794" s="264"/>
      <c r="D794" s="264"/>
      <c r="E794" s="264"/>
      <c r="F794" s="264"/>
      <c r="G794" s="264"/>
      <c r="H794" s="264"/>
      <c r="I794" s="264"/>
      <c r="J794" s="287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>
      <c r="A795" s="282" t="s">
        <v>1237</v>
      </c>
      <c r="B795" s="283" t="s">
        <v>1</v>
      </c>
      <c r="C795" s="283" t="s">
        <v>2</v>
      </c>
      <c r="D795" s="283" t="s">
        <v>66</v>
      </c>
      <c r="E795" s="283" t="s">
        <v>1141</v>
      </c>
      <c r="F795" s="283" t="s">
        <v>1142</v>
      </c>
      <c r="G795" s="283" t="s">
        <v>1143</v>
      </c>
      <c r="H795" s="283" t="s">
        <v>1144</v>
      </c>
      <c r="I795" s="283" t="s">
        <v>1145</v>
      </c>
      <c r="J795" s="253" t="s">
        <v>5</v>
      </c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>
      <c r="A796" s="176" t="s">
        <v>1609</v>
      </c>
      <c r="B796" s="177" t="s">
        <v>15</v>
      </c>
      <c r="C796" s="177" t="s">
        <v>16</v>
      </c>
      <c r="D796" s="178">
        <v>36.0</v>
      </c>
      <c r="E796" s="178">
        <v>28.0</v>
      </c>
      <c r="F796" s="266"/>
      <c r="G796" s="179"/>
      <c r="H796" s="265">
        <v>30.0</v>
      </c>
      <c r="I796" s="255">
        <f t="shared" ref="I796:I800" si="32">(D796+E796)/H796</f>
        <v>2.133333333</v>
      </c>
      <c r="J796" s="188" t="s">
        <v>760</v>
      </c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>
      <c r="A797" s="182" t="s">
        <v>1610</v>
      </c>
      <c r="B797" s="177" t="s">
        <v>54</v>
      </c>
      <c r="C797" s="177" t="s">
        <v>9</v>
      </c>
      <c r="D797" s="254">
        <v>90.0</v>
      </c>
      <c r="E797" s="186"/>
      <c r="F797" s="186"/>
      <c r="G797" s="186"/>
      <c r="H797" s="254">
        <v>60.0</v>
      </c>
      <c r="I797" s="254">
        <f t="shared" si="32"/>
        <v>1.5</v>
      </c>
      <c r="J797" s="188" t="s">
        <v>1177</v>
      </c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>
      <c r="A798" s="176" t="s">
        <v>1591</v>
      </c>
      <c r="B798" s="219" t="s">
        <v>8</v>
      </c>
      <c r="C798" s="177" t="s">
        <v>20</v>
      </c>
      <c r="D798" s="266">
        <v>90.0</v>
      </c>
      <c r="E798" s="179"/>
      <c r="F798" s="179"/>
      <c r="G798" s="179"/>
      <c r="H798" s="266">
        <v>60.0</v>
      </c>
      <c r="I798" s="195">
        <f t="shared" si="32"/>
        <v>1.5</v>
      </c>
      <c r="J798" s="207" t="s">
        <v>426</v>
      </c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>
      <c r="A799" s="176" t="s">
        <v>1592</v>
      </c>
      <c r="B799" s="177" t="s">
        <v>15</v>
      </c>
      <c r="C799" s="177" t="s">
        <v>20</v>
      </c>
      <c r="D799" s="178">
        <v>36.0</v>
      </c>
      <c r="E799" s="179"/>
      <c r="F799" s="266"/>
      <c r="G799" s="179"/>
      <c r="H799" s="265">
        <v>30.0</v>
      </c>
      <c r="I799" s="255">
        <f t="shared" si="32"/>
        <v>1.2</v>
      </c>
      <c r="J799" s="220" t="s">
        <v>813</v>
      </c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>
      <c r="A800" s="176" t="s">
        <v>1611</v>
      </c>
      <c r="B800" s="177" t="s">
        <v>15</v>
      </c>
      <c r="C800" s="177" t="s">
        <v>20</v>
      </c>
      <c r="D800" s="178">
        <v>28.0</v>
      </c>
      <c r="E800" s="179"/>
      <c r="F800" s="266"/>
      <c r="G800" s="179"/>
      <c r="H800" s="265">
        <v>30.0</v>
      </c>
      <c r="I800" s="255">
        <f t="shared" si="32"/>
        <v>0.9333333333</v>
      </c>
      <c r="J800" s="188" t="s">
        <v>139</v>
      </c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>
      <c r="A801" s="176" t="s">
        <v>1159</v>
      </c>
      <c r="B801" s="177" t="s">
        <v>8</v>
      </c>
      <c r="C801" s="177" t="s">
        <v>20</v>
      </c>
      <c r="D801" s="179"/>
      <c r="E801" s="179"/>
      <c r="F801" s="268">
        <v>12.0</v>
      </c>
      <c r="G801" s="179"/>
      <c r="H801" s="179"/>
      <c r="I801" s="179"/>
      <c r="J801" s="207" t="s">
        <v>1160</v>
      </c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>
      <c r="A802" s="176" t="s">
        <v>1612</v>
      </c>
      <c r="B802" s="177" t="s">
        <v>8</v>
      </c>
      <c r="C802" s="177" t="s">
        <v>20</v>
      </c>
      <c r="D802" s="179"/>
      <c r="E802" s="179"/>
      <c r="F802" s="268">
        <v>12.0</v>
      </c>
      <c r="G802" s="179"/>
      <c r="H802" s="179"/>
      <c r="I802" s="179"/>
      <c r="J802" s="137" t="s">
        <v>811</v>
      </c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>
      <c r="A803" s="176" t="s">
        <v>1613</v>
      </c>
      <c r="B803" s="177" t="s">
        <v>8</v>
      </c>
      <c r="C803" s="177" t="s">
        <v>20</v>
      </c>
      <c r="D803" s="179"/>
      <c r="E803" s="179"/>
      <c r="F803" s="268">
        <v>12.0</v>
      </c>
      <c r="G803" s="179"/>
      <c r="H803" s="179"/>
      <c r="I803" s="179"/>
      <c r="J803" s="207" t="s">
        <v>1322</v>
      </c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>
      <c r="A804" s="176" t="s">
        <v>1090</v>
      </c>
      <c r="B804" s="219" t="s">
        <v>8</v>
      </c>
      <c r="C804" s="177" t="s">
        <v>20</v>
      </c>
      <c r="D804" s="179"/>
      <c r="E804" s="179"/>
      <c r="F804" s="266">
        <v>12.0</v>
      </c>
      <c r="G804" s="179"/>
      <c r="H804" s="179"/>
      <c r="I804" s="179"/>
      <c r="J804" s="188" t="s">
        <v>698</v>
      </c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>
      <c r="A805" s="176" t="s">
        <v>1614</v>
      </c>
      <c r="B805" s="177" t="s">
        <v>15</v>
      </c>
      <c r="C805" s="177" t="s">
        <v>12</v>
      </c>
      <c r="D805" s="179"/>
      <c r="E805" s="179"/>
      <c r="F805" s="268">
        <v>9.0</v>
      </c>
      <c r="G805" s="266"/>
      <c r="H805" s="179"/>
      <c r="I805" s="179"/>
      <c r="J805" s="256" t="s">
        <v>813</v>
      </c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>
      <c r="A806" s="176" t="s">
        <v>1416</v>
      </c>
      <c r="B806" s="177" t="s">
        <v>15</v>
      </c>
      <c r="C806" s="177" t="s">
        <v>16</v>
      </c>
      <c r="D806" s="179"/>
      <c r="E806" s="179"/>
      <c r="F806" s="268">
        <v>9.0</v>
      </c>
      <c r="G806" s="266"/>
      <c r="H806" s="179"/>
      <c r="I806" s="179"/>
      <c r="J806" s="256" t="s">
        <v>813</v>
      </c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>
      <c r="A807" s="176" t="s">
        <v>1615</v>
      </c>
      <c r="B807" s="219" t="s">
        <v>19</v>
      </c>
      <c r="C807" s="177" t="s">
        <v>12</v>
      </c>
      <c r="D807" s="179"/>
      <c r="E807" s="179"/>
      <c r="F807" s="266">
        <v>5.0</v>
      </c>
      <c r="G807" s="266">
        <v>5.0</v>
      </c>
      <c r="H807" s="179"/>
      <c r="I807" s="179"/>
      <c r="J807" s="256" t="s">
        <v>813</v>
      </c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>
      <c r="A808" s="271"/>
      <c r="B808" s="219"/>
      <c r="C808" s="186"/>
      <c r="D808" s="186"/>
      <c r="E808" s="186"/>
      <c r="F808" s="186"/>
      <c r="G808" s="186"/>
      <c r="H808" s="186"/>
      <c r="I808" s="186"/>
      <c r="J808" s="220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>
      <c r="A809" s="246" t="s">
        <v>1182</v>
      </c>
      <c r="B809" s="179"/>
      <c r="C809" s="186"/>
      <c r="D809" s="194">
        <v>7.0</v>
      </c>
      <c r="E809" s="179"/>
      <c r="F809" s="179"/>
      <c r="G809" s="179"/>
      <c r="H809" s="195">
        <v>10.0</v>
      </c>
      <c r="I809" s="195">
        <f>(D809+E809)/H809</f>
        <v>0.7</v>
      </c>
      <c r="J809" s="256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>
      <c r="A810" s="182" t="s">
        <v>1567</v>
      </c>
      <c r="B810" s="219" t="s">
        <v>19</v>
      </c>
      <c r="C810" s="177" t="s">
        <v>40</v>
      </c>
      <c r="D810" s="186"/>
      <c r="E810" s="186"/>
      <c r="F810" s="186"/>
      <c r="G810" s="186"/>
      <c r="H810" s="186"/>
      <c r="I810" s="186"/>
      <c r="J810" s="220" t="s">
        <v>813</v>
      </c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>
      <c r="A811" s="176" t="s">
        <v>1409</v>
      </c>
      <c r="B811" s="219" t="s">
        <v>19</v>
      </c>
      <c r="C811" s="177" t="s">
        <v>16</v>
      </c>
      <c r="D811" s="179"/>
      <c r="E811" s="179"/>
      <c r="F811" s="179"/>
      <c r="G811" s="179"/>
      <c r="H811" s="179"/>
      <c r="I811" s="179"/>
      <c r="J811" s="256" t="s">
        <v>813</v>
      </c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>
      <c r="A812" s="176" t="s">
        <v>1616</v>
      </c>
      <c r="B812" s="219" t="s">
        <v>19</v>
      </c>
      <c r="C812" s="177" t="s">
        <v>9</v>
      </c>
      <c r="D812" s="179"/>
      <c r="E812" s="179"/>
      <c r="F812" s="179"/>
      <c r="G812" s="179"/>
      <c r="H812" s="179"/>
      <c r="I812" s="179"/>
      <c r="J812" s="256" t="s">
        <v>813</v>
      </c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>
      <c r="A813" s="176" t="s">
        <v>1617</v>
      </c>
      <c r="B813" s="219" t="s">
        <v>19</v>
      </c>
      <c r="C813" s="219" t="s">
        <v>12</v>
      </c>
      <c r="D813" s="179"/>
      <c r="E813" s="179"/>
      <c r="F813" s="179"/>
      <c r="G813" s="179"/>
      <c r="H813" s="179"/>
      <c r="I813" s="179"/>
      <c r="J813" s="256" t="s">
        <v>813</v>
      </c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>
      <c r="A814" s="218" t="s">
        <v>1179</v>
      </c>
      <c r="B814" s="186"/>
      <c r="C814" s="186"/>
      <c r="D814" s="186"/>
      <c r="E814" s="186"/>
      <c r="F814" s="183">
        <v>8.0</v>
      </c>
      <c r="G814" s="186"/>
      <c r="H814" s="186"/>
      <c r="I814" s="186"/>
      <c r="J814" s="220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>
      <c r="A815" s="176" t="s">
        <v>1618</v>
      </c>
      <c r="B815" s="177" t="s">
        <v>141</v>
      </c>
      <c r="C815" s="177" t="s">
        <v>9</v>
      </c>
      <c r="D815" s="179"/>
      <c r="E815" s="179"/>
      <c r="F815" s="179"/>
      <c r="G815" s="179"/>
      <c r="H815" s="179"/>
      <c r="I815" s="179"/>
      <c r="J815" s="256" t="s">
        <v>813</v>
      </c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>
      <c r="A816" s="176" t="s">
        <v>1619</v>
      </c>
      <c r="B816" s="177" t="s">
        <v>15</v>
      </c>
      <c r="C816" s="177" t="s">
        <v>20</v>
      </c>
      <c r="D816" s="179"/>
      <c r="E816" s="179"/>
      <c r="F816" s="179"/>
      <c r="G816" s="179"/>
      <c r="H816" s="179"/>
      <c r="I816" s="179"/>
      <c r="J816" s="256" t="s">
        <v>813</v>
      </c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>
      <c r="A817" s="176" t="s">
        <v>1620</v>
      </c>
      <c r="B817" s="177" t="s">
        <v>141</v>
      </c>
      <c r="C817" s="177" t="s">
        <v>16</v>
      </c>
      <c r="D817" s="179"/>
      <c r="E817" s="179"/>
      <c r="F817" s="179"/>
      <c r="G817" s="179"/>
      <c r="H817" s="179"/>
      <c r="I817" s="179"/>
      <c r="J817" s="256" t="s">
        <v>813</v>
      </c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>
      <c r="A818" s="182" t="s">
        <v>1621</v>
      </c>
      <c r="B818" s="219" t="s">
        <v>15</v>
      </c>
      <c r="C818" s="177" t="s">
        <v>16</v>
      </c>
      <c r="D818" s="186"/>
      <c r="E818" s="186"/>
      <c r="F818" s="186"/>
      <c r="G818" s="186"/>
      <c r="H818" s="186"/>
      <c r="I818" s="186"/>
      <c r="J818" s="220" t="s">
        <v>813</v>
      </c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>
      <c r="A819" s="272" t="s">
        <v>1265</v>
      </c>
      <c r="B819" s="214"/>
      <c r="C819" s="214"/>
      <c r="D819" s="214"/>
      <c r="E819" s="214"/>
      <c r="F819" s="215">
        <f>sum(F796:G818)</f>
        <v>84</v>
      </c>
      <c r="G819" s="214"/>
      <c r="H819" s="214"/>
      <c r="I819" s="228">
        <f>sum(I796:I818)</f>
        <v>7.966666667</v>
      </c>
      <c r="J819" s="216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>
      <c r="A820" s="284"/>
      <c r="B820" s="263"/>
      <c r="C820" s="263"/>
      <c r="D820" s="263"/>
      <c r="E820" s="263"/>
      <c r="F820" s="263"/>
      <c r="G820" s="263"/>
      <c r="H820" s="263"/>
      <c r="I820" s="263"/>
      <c r="J820" s="285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>
      <c r="A821" s="286"/>
      <c r="B821" s="264"/>
      <c r="C821" s="264"/>
      <c r="D821" s="264"/>
      <c r="E821" s="264"/>
      <c r="F821" s="264"/>
      <c r="G821" s="264"/>
      <c r="H821" s="264"/>
      <c r="I821" s="264"/>
      <c r="J821" s="287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>
      <c r="A822" s="288" t="s">
        <v>1266</v>
      </c>
      <c r="B822" s="289" t="s">
        <v>1</v>
      </c>
      <c r="C822" s="289" t="s">
        <v>2</v>
      </c>
      <c r="D822" s="289" t="s">
        <v>66</v>
      </c>
      <c r="E822" s="289" t="s">
        <v>1141</v>
      </c>
      <c r="F822" s="289" t="s">
        <v>1142</v>
      </c>
      <c r="G822" s="289" t="s">
        <v>1143</v>
      </c>
      <c r="H822" s="289" t="s">
        <v>1144</v>
      </c>
      <c r="I822" s="289" t="s">
        <v>1145</v>
      </c>
      <c r="J822" s="275" t="s">
        <v>5</v>
      </c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>
      <c r="A823" s="176" t="s">
        <v>1577</v>
      </c>
      <c r="B823" s="177" t="s">
        <v>8</v>
      </c>
      <c r="C823" s="177" t="s">
        <v>20</v>
      </c>
      <c r="D823" s="194">
        <v>90.0</v>
      </c>
      <c r="E823" s="178">
        <v>90.0</v>
      </c>
      <c r="F823" s="179"/>
      <c r="G823" s="179"/>
      <c r="H823" s="194">
        <v>60.0</v>
      </c>
      <c r="I823" s="195">
        <f t="shared" ref="I823:I826" si="33">(D823+E823)/H823</f>
        <v>3</v>
      </c>
      <c r="J823" s="190" t="s">
        <v>785</v>
      </c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>
      <c r="A824" s="176" t="s">
        <v>1610</v>
      </c>
      <c r="B824" s="177" t="s">
        <v>54</v>
      </c>
      <c r="C824" s="177" t="s">
        <v>9</v>
      </c>
      <c r="D824" s="195">
        <v>90.0</v>
      </c>
      <c r="E824" s="179"/>
      <c r="F824" s="179"/>
      <c r="G824" s="179"/>
      <c r="H824" s="195">
        <v>60.0</v>
      </c>
      <c r="I824" s="195">
        <f t="shared" si="33"/>
        <v>1.5</v>
      </c>
      <c r="J824" s="188" t="s">
        <v>1177</v>
      </c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>
      <c r="A825" s="176" t="s">
        <v>1575</v>
      </c>
      <c r="B825" s="177" t="s">
        <v>15</v>
      </c>
      <c r="C825" s="177" t="s">
        <v>12</v>
      </c>
      <c r="D825" s="178">
        <v>36.0</v>
      </c>
      <c r="E825" s="179"/>
      <c r="F825" s="266"/>
      <c r="G825" s="179"/>
      <c r="H825" s="265">
        <v>30.0</v>
      </c>
      <c r="I825" s="255">
        <f t="shared" si="33"/>
        <v>1.2</v>
      </c>
      <c r="J825" s="220" t="s">
        <v>813</v>
      </c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>
      <c r="A826" s="176" t="s">
        <v>881</v>
      </c>
      <c r="B826" s="177" t="s">
        <v>141</v>
      </c>
      <c r="C826" s="177" t="s">
        <v>20</v>
      </c>
      <c r="D826" s="178">
        <v>28.0</v>
      </c>
      <c r="E826" s="179"/>
      <c r="F826" s="266"/>
      <c r="G826" s="179"/>
      <c r="H826" s="265">
        <v>30.0</v>
      </c>
      <c r="I826" s="255">
        <f t="shared" si="33"/>
        <v>0.9333333333</v>
      </c>
      <c r="J826" s="188" t="s">
        <v>1593</v>
      </c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>
      <c r="A827" s="176" t="s">
        <v>1595</v>
      </c>
      <c r="B827" s="177" t="s">
        <v>8</v>
      </c>
      <c r="C827" s="177" t="s">
        <v>40</v>
      </c>
      <c r="D827" s="179"/>
      <c r="E827" s="179"/>
      <c r="F827" s="268">
        <v>12.0</v>
      </c>
      <c r="G827" s="179"/>
      <c r="H827" s="179"/>
      <c r="I827" s="179"/>
      <c r="J827" s="196" t="s">
        <v>444</v>
      </c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>
      <c r="A828" s="176" t="s">
        <v>1622</v>
      </c>
      <c r="B828" s="177" t="s">
        <v>8</v>
      </c>
      <c r="C828" s="177" t="s">
        <v>12</v>
      </c>
      <c r="D828" s="179"/>
      <c r="E828" s="179"/>
      <c r="F828" s="268">
        <v>12.0</v>
      </c>
      <c r="G828" s="179"/>
      <c r="H828" s="179"/>
      <c r="I828" s="179"/>
      <c r="J828" s="188" t="s">
        <v>698</v>
      </c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>
      <c r="A829" s="182" t="s">
        <v>1623</v>
      </c>
      <c r="B829" s="177" t="s">
        <v>15</v>
      </c>
      <c r="C829" s="177" t="s">
        <v>16</v>
      </c>
      <c r="D829" s="186"/>
      <c r="E829" s="186"/>
      <c r="F829" s="267">
        <v>9.0</v>
      </c>
      <c r="G829" s="186"/>
      <c r="H829" s="186"/>
      <c r="I829" s="186"/>
      <c r="J829" s="220" t="s">
        <v>813</v>
      </c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>
      <c r="A830" s="182" t="s">
        <v>1624</v>
      </c>
      <c r="B830" s="219" t="s">
        <v>19</v>
      </c>
      <c r="C830" s="177" t="s">
        <v>20</v>
      </c>
      <c r="D830" s="186"/>
      <c r="E830" s="186"/>
      <c r="F830" s="254">
        <v>5.0</v>
      </c>
      <c r="G830" s="254">
        <v>5.0</v>
      </c>
      <c r="H830" s="186"/>
      <c r="I830" s="186"/>
      <c r="J830" s="211" t="s">
        <v>813</v>
      </c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>
      <c r="A831" s="257"/>
      <c r="B831" s="179"/>
      <c r="C831" s="186"/>
      <c r="D831" s="179"/>
      <c r="E831" s="179"/>
      <c r="F831" s="179"/>
      <c r="G831" s="179"/>
      <c r="H831" s="179"/>
      <c r="I831" s="179"/>
      <c r="J831" s="256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>
      <c r="A832" s="246" t="s">
        <v>1182</v>
      </c>
      <c r="B832" s="179"/>
      <c r="C832" s="186"/>
      <c r="D832" s="194">
        <v>7.0</v>
      </c>
      <c r="E832" s="179"/>
      <c r="F832" s="179"/>
      <c r="G832" s="179"/>
      <c r="H832" s="195">
        <v>10.0</v>
      </c>
      <c r="I832" s="195">
        <f>(D832+E832)/H832</f>
        <v>0.7</v>
      </c>
      <c r="J832" s="256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>
      <c r="A833" s="182" t="s">
        <v>1567</v>
      </c>
      <c r="B833" s="219" t="s">
        <v>19</v>
      </c>
      <c r="C833" s="177" t="s">
        <v>40</v>
      </c>
      <c r="D833" s="186"/>
      <c r="E833" s="186"/>
      <c r="F833" s="186"/>
      <c r="G833" s="186"/>
      <c r="H833" s="186"/>
      <c r="I833" s="186"/>
      <c r="J833" s="220" t="s">
        <v>813</v>
      </c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>
      <c r="A834" s="176" t="s">
        <v>1409</v>
      </c>
      <c r="B834" s="219" t="s">
        <v>19</v>
      </c>
      <c r="C834" s="177" t="s">
        <v>16</v>
      </c>
      <c r="D834" s="179"/>
      <c r="E834" s="179"/>
      <c r="F834" s="179"/>
      <c r="G834" s="179"/>
      <c r="H834" s="179"/>
      <c r="I834" s="179"/>
      <c r="J834" s="256" t="s">
        <v>813</v>
      </c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>
      <c r="A835" s="176" t="s">
        <v>1616</v>
      </c>
      <c r="B835" s="219" t="s">
        <v>19</v>
      </c>
      <c r="C835" s="177" t="s">
        <v>9</v>
      </c>
      <c r="D835" s="179"/>
      <c r="E835" s="179"/>
      <c r="F835" s="179"/>
      <c r="G835" s="179"/>
      <c r="H835" s="179"/>
      <c r="I835" s="179"/>
      <c r="J835" s="256" t="s">
        <v>813</v>
      </c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>
      <c r="A836" s="176" t="s">
        <v>1617</v>
      </c>
      <c r="B836" s="219" t="s">
        <v>19</v>
      </c>
      <c r="C836" s="219" t="s">
        <v>12</v>
      </c>
      <c r="D836" s="179"/>
      <c r="E836" s="179"/>
      <c r="F836" s="179"/>
      <c r="G836" s="179"/>
      <c r="H836" s="179"/>
      <c r="I836" s="179"/>
      <c r="J836" s="256" t="s">
        <v>813</v>
      </c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>
      <c r="A837" s="246" t="s">
        <v>1179</v>
      </c>
      <c r="B837" s="179"/>
      <c r="C837" s="179"/>
      <c r="D837" s="179"/>
      <c r="E837" s="179"/>
      <c r="F837" s="194">
        <v>8.0</v>
      </c>
      <c r="G837" s="179"/>
      <c r="H837" s="179"/>
      <c r="I837" s="179"/>
      <c r="J837" s="256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>
      <c r="A838" s="182" t="s">
        <v>1625</v>
      </c>
      <c r="B838" s="177" t="s">
        <v>141</v>
      </c>
      <c r="C838" s="177" t="s">
        <v>20</v>
      </c>
      <c r="D838" s="186"/>
      <c r="E838" s="186"/>
      <c r="F838" s="186"/>
      <c r="G838" s="186"/>
      <c r="H838" s="186"/>
      <c r="I838" s="186"/>
      <c r="J838" s="220" t="s">
        <v>813</v>
      </c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>
      <c r="A839" s="182" t="s">
        <v>1626</v>
      </c>
      <c r="B839" s="177" t="s">
        <v>15</v>
      </c>
      <c r="C839" s="177" t="s">
        <v>12</v>
      </c>
      <c r="D839" s="179"/>
      <c r="E839" s="179"/>
      <c r="F839" s="179"/>
      <c r="G839" s="179"/>
      <c r="H839" s="179"/>
      <c r="I839" s="179"/>
      <c r="J839" s="220" t="s">
        <v>813</v>
      </c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>
      <c r="A840" s="182" t="s">
        <v>1627</v>
      </c>
      <c r="B840" s="219" t="s">
        <v>15</v>
      </c>
      <c r="C840" s="177" t="s">
        <v>9</v>
      </c>
      <c r="D840" s="186"/>
      <c r="E840" s="186"/>
      <c r="F840" s="186"/>
      <c r="G840" s="186"/>
      <c r="H840" s="186"/>
      <c r="I840" s="186"/>
      <c r="J840" s="220" t="s">
        <v>813</v>
      </c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>
      <c r="A841" s="176" t="s">
        <v>1628</v>
      </c>
      <c r="B841" s="177" t="s">
        <v>15</v>
      </c>
      <c r="C841" s="177" t="s">
        <v>40</v>
      </c>
      <c r="D841" s="179"/>
      <c r="E841" s="179"/>
      <c r="F841" s="179"/>
      <c r="G841" s="179"/>
      <c r="H841" s="179"/>
      <c r="I841" s="179"/>
      <c r="J841" s="220" t="s">
        <v>813</v>
      </c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>
      <c r="A842" s="258" t="s">
        <v>1287</v>
      </c>
      <c r="B842" s="259"/>
      <c r="C842" s="259"/>
      <c r="D842" s="259"/>
      <c r="E842" s="259"/>
      <c r="F842" s="260">
        <f>sum(F823:G841)</f>
        <v>51</v>
      </c>
      <c r="G842" s="259"/>
      <c r="H842" s="259"/>
      <c r="I842" s="261">
        <f>sum(I823:I841)</f>
        <v>7.333333333</v>
      </c>
      <c r="J842" s="262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>
      <c r="A843" s="284"/>
      <c r="B843" s="263"/>
      <c r="C843" s="263"/>
      <c r="D843" s="263"/>
      <c r="E843" s="263"/>
      <c r="F843" s="263"/>
      <c r="G843" s="263"/>
      <c r="H843" s="263"/>
      <c r="I843" s="263"/>
      <c r="J843" s="285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>
      <c r="A844" s="286"/>
      <c r="B844" s="264"/>
      <c r="C844" s="264"/>
      <c r="D844" s="264"/>
      <c r="E844" s="264"/>
      <c r="F844" s="264"/>
      <c r="G844" s="264"/>
      <c r="H844" s="264"/>
      <c r="I844" s="264"/>
      <c r="J844" s="287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>
      <c r="A845" s="282" t="s">
        <v>1288</v>
      </c>
      <c r="B845" s="283" t="s">
        <v>1</v>
      </c>
      <c r="C845" s="283" t="s">
        <v>2</v>
      </c>
      <c r="D845" s="283" t="s">
        <v>66</v>
      </c>
      <c r="E845" s="283" t="s">
        <v>1141</v>
      </c>
      <c r="F845" s="283" t="s">
        <v>1142</v>
      </c>
      <c r="G845" s="283" t="s">
        <v>1143</v>
      </c>
      <c r="H845" s="283" t="s">
        <v>1144</v>
      </c>
      <c r="I845" s="283" t="s">
        <v>1145</v>
      </c>
      <c r="J845" s="253" t="s">
        <v>5</v>
      </c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>
      <c r="A846" s="182" t="s">
        <v>1623</v>
      </c>
      <c r="B846" s="290" t="s">
        <v>15</v>
      </c>
      <c r="C846" s="277" t="s">
        <v>16</v>
      </c>
      <c r="D846" s="254">
        <v>18.0</v>
      </c>
      <c r="E846" s="254">
        <v>14.0</v>
      </c>
      <c r="F846" s="291"/>
      <c r="G846" s="291"/>
      <c r="H846" s="254">
        <v>30.0</v>
      </c>
      <c r="I846" s="255">
        <f t="shared" ref="I846:I851" si="34">(D846+E846)/H846</f>
        <v>1.066666667</v>
      </c>
      <c r="J846" s="220" t="s">
        <v>813</v>
      </c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>
      <c r="A847" s="176" t="s">
        <v>1578</v>
      </c>
      <c r="B847" s="290" t="s">
        <v>8</v>
      </c>
      <c r="C847" s="277" t="s">
        <v>9</v>
      </c>
      <c r="D847" s="195">
        <v>30.0</v>
      </c>
      <c r="E847" s="195">
        <v>30.0</v>
      </c>
      <c r="F847" s="279"/>
      <c r="G847" s="279"/>
      <c r="H847" s="195">
        <v>60.0</v>
      </c>
      <c r="I847" s="195">
        <f t="shared" si="34"/>
        <v>1</v>
      </c>
      <c r="J847" s="108" t="s">
        <v>59</v>
      </c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>
      <c r="A848" s="182" t="s">
        <v>1610</v>
      </c>
      <c r="B848" s="277" t="s">
        <v>54</v>
      </c>
      <c r="C848" s="277" t="s">
        <v>9</v>
      </c>
      <c r="D848" s="254">
        <v>30.0</v>
      </c>
      <c r="E848" s="254">
        <v>30.0</v>
      </c>
      <c r="F848" s="291"/>
      <c r="G848" s="291"/>
      <c r="H848" s="254">
        <v>60.0</v>
      </c>
      <c r="I848" s="254">
        <f t="shared" si="34"/>
        <v>1</v>
      </c>
      <c r="J848" s="188" t="s">
        <v>1177</v>
      </c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>
      <c r="A849" s="176" t="s">
        <v>1629</v>
      </c>
      <c r="B849" s="290" t="s">
        <v>19</v>
      </c>
      <c r="C849" s="277" t="s">
        <v>20</v>
      </c>
      <c r="D849" s="195">
        <v>5.0</v>
      </c>
      <c r="E849" s="195">
        <v>5.0</v>
      </c>
      <c r="F849" s="279"/>
      <c r="G849" s="279"/>
      <c r="H849" s="195">
        <v>10.0</v>
      </c>
      <c r="I849" s="195">
        <f t="shared" si="34"/>
        <v>1</v>
      </c>
      <c r="J849" s="220" t="s">
        <v>813</v>
      </c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>
      <c r="A850" s="182" t="s">
        <v>782</v>
      </c>
      <c r="B850" s="290" t="s">
        <v>19</v>
      </c>
      <c r="C850" s="277" t="s">
        <v>12</v>
      </c>
      <c r="D850" s="254">
        <v>5.0</v>
      </c>
      <c r="E850" s="254">
        <v>3.0</v>
      </c>
      <c r="F850" s="291"/>
      <c r="G850" s="291"/>
      <c r="H850" s="254">
        <v>10.0</v>
      </c>
      <c r="I850" s="254">
        <f t="shared" si="34"/>
        <v>0.8</v>
      </c>
      <c r="J850" s="188" t="s">
        <v>249</v>
      </c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>
      <c r="A851" s="176" t="s">
        <v>1630</v>
      </c>
      <c r="B851" s="277" t="s">
        <v>23</v>
      </c>
      <c r="C851" s="277" t="s">
        <v>20</v>
      </c>
      <c r="D851" s="278">
        <v>6.0</v>
      </c>
      <c r="E851" s="279"/>
      <c r="F851" s="194"/>
      <c r="G851" s="194"/>
      <c r="H851" s="254">
        <v>10.0</v>
      </c>
      <c r="I851" s="254">
        <f t="shared" si="34"/>
        <v>0.6</v>
      </c>
      <c r="J851" s="188" t="s">
        <v>1631</v>
      </c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>
      <c r="A852" s="176" t="s">
        <v>1614</v>
      </c>
      <c r="B852" s="277" t="s">
        <v>15</v>
      </c>
      <c r="C852" s="277" t="s">
        <v>12</v>
      </c>
      <c r="D852" s="278"/>
      <c r="E852" s="279"/>
      <c r="F852" s="194">
        <v>2.7</v>
      </c>
      <c r="G852" s="194">
        <v>2.1</v>
      </c>
      <c r="H852" s="254"/>
      <c r="I852" s="254"/>
      <c r="J852" s="220" t="s">
        <v>813</v>
      </c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>
      <c r="A853" s="292"/>
      <c r="B853" s="291"/>
      <c r="C853" s="186"/>
      <c r="D853" s="291"/>
      <c r="E853" s="291"/>
      <c r="F853" s="291"/>
      <c r="G853" s="291"/>
      <c r="H853" s="291"/>
      <c r="I853" s="291"/>
      <c r="J853" s="220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>
      <c r="A854" s="176" t="s">
        <v>1182</v>
      </c>
      <c r="B854" s="279"/>
      <c r="C854" s="186"/>
      <c r="D854" s="194">
        <v>9.0</v>
      </c>
      <c r="E854" s="279"/>
      <c r="F854" s="279"/>
      <c r="G854" s="279"/>
      <c r="H854" s="194">
        <v>10.0</v>
      </c>
      <c r="I854" s="195">
        <f>(D854+E854)/H854</f>
        <v>0.9</v>
      </c>
      <c r="J854" s="256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>
      <c r="A855" s="182" t="s">
        <v>1430</v>
      </c>
      <c r="B855" s="277" t="s">
        <v>19</v>
      </c>
      <c r="C855" s="277" t="s">
        <v>9</v>
      </c>
      <c r="D855" s="291"/>
      <c r="E855" s="291"/>
      <c r="F855" s="291"/>
      <c r="G855" s="291"/>
      <c r="H855" s="291"/>
      <c r="I855" s="291"/>
      <c r="J855" s="220" t="s">
        <v>813</v>
      </c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>
      <c r="A856" s="176" t="s">
        <v>1350</v>
      </c>
      <c r="B856" s="277" t="s">
        <v>19</v>
      </c>
      <c r="C856" s="277" t="s">
        <v>20</v>
      </c>
      <c r="D856" s="279"/>
      <c r="E856" s="279"/>
      <c r="F856" s="279"/>
      <c r="G856" s="279"/>
      <c r="H856" s="279"/>
      <c r="I856" s="279"/>
      <c r="J856" s="220" t="s">
        <v>813</v>
      </c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>
      <c r="A857" s="176" t="s">
        <v>1453</v>
      </c>
      <c r="B857" s="277" t="s">
        <v>19</v>
      </c>
      <c r="C857" s="277" t="s">
        <v>12</v>
      </c>
      <c r="D857" s="195"/>
      <c r="E857" s="279"/>
      <c r="F857" s="279"/>
      <c r="G857" s="279"/>
      <c r="H857" s="195"/>
      <c r="I857" s="195"/>
      <c r="J857" s="220" t="s">
        <v>813</v>
      </c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>
      <c r="A858" s="176" t="s">
        <v>1408</v>
      </c>
      <c r="B858" s="277" t="s">
        <v>19</v>
      </c>
      <c r="C858" s="277" t="s">
        <v>16</v>
      </c>
      <c r="D858" s="195"/>
      <c r="E858" s="279"/>
      <c r="F858" s="279"/>
      <c r="G858" s="279"/>
      <c r="H858" s="195"/>
      <c r="I858" s="195"/>
      <c r="J858" s="220" t="s">
        <v>813</v>
      </c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>
      <c r="A859" s="176" t="s">
        <v>1431</v>
      </c>
      <c r="B859" s="277" t="s">
        <v>19</v>
      </c>
      <c r="C859" s="277" t="s">
        <v>9</v>
      </c>
      <c r="D859" s="195"/>
      <c r="E859" s="279"/>
      <c r="F859" s="279"/>
      <c r="G859" s="279"/>
      <c r="H859" s="195"/>
      <c r="I859" s="195"/>
      <c r="J859" s="220" t="s">
        <v>813</v>
      </c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>
      <c r="A860" s="176" t="s">
        <v>1632</v>
      </c>
      <c r="B860" s="277" t="s">
        <v>19</v>
      </c>
      <c r="C860" s="277" t="s">
        <v>40</v>
      </c>
      <c r="D860" s="195"/>
      <c r="E860" s="279"/>
      <c r="F860" s="279"/>
      <c r="G860" s="279"/>
      <c r="H860" s="195"/>
      <c r="I860" s="195"/>
      <c r="J860" s="188" t="s">
        <v>1633</v>
      </c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>
      <c r="A861" s="176" t="s">
        <v>992</v>
      </c>
      <c r="B861" s="279"/>
      <c r="C861" s="186"/>
      <c r="D861" s="194">
        <v>70.0</v>
      </c>
      <c r="E861" s="279"/>
      <c r="F861" s="279"/>
      <c r="G861" s="279"/>
      <c r="H861" s="194">
        <v>60.0</v>
      </c>
      <c r="I861" s="200">
        <f>(D861+E861)/H861</f>
        <v>1.166666667</v>
      </c>
      <c r="J861" s="256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>
      <c r="A862" s="176" t="s">
        <v>1634</v>
      </c>
      <c r="B862" s="290" t="s">
        <v>8</v>
      </c>
      <c r="C862" s="277" t="s">
        <v>20</v>
      </c>
      <c r="D862" s="291"/>
      <c r="E862" s="291"/>
      <c r="F862" s="291"/>
      <c r="G862" s="291"/>
      <c r="H862" s="291"/>
      <c r="I862" s="291"/>
      <c r="J862" s="190" t="s">
        <v>785</v>
      </c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>
      <c r="A863" s="176" t="s">
        <v>993</v>
      </c>
      <c r="B863" s="290" t="s">
        <v>8</v>
      </c>
      <c r="C863" s="277" t="s">
        <v>16</v>
      </c>
      <c r="D863" s="279"/>
      <c r="E863" s="279"/>
      <c r="F863" s="279"/>
      <c r="G863" s="279"/>
      <c r="H863" s="279"/>
      <c r="I863" s="279"/>
      <c r="J863" s="190" t="s">
        <v>785</v>
      </c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>
      <c r="A864" s="246" t="s">
        <v>992</v>
      </c>
      <c r="B864" s="279"/>
      <c r="C864" s="186"/>
      <c r="D864" s="195">
        <v>21.0</v>
      </c>
      <c r="E864" s="279"/>
      <c r="F864" s="279"/>
      <c r="G864" s="279"/>
      <c r="H864" s="195">
        <v>60.0</v>
      </c>
      <c r="I864" s="195">
        <f>(D864+E864)/H864</f>
        <v>0.35</v>
      </c>
      <c r="J864" s="256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>
      <c r="A865" s="182" t="s">
        <v>1635</v>
      </c>
      <c r="B865" s="290" t="s">
        <v>8</v>
      </c>
      <c r="C865" s="277" t="s">
        <v>16</v>
      </c>
      <c r="D865" s="291"/>
      <c r="E865" s="291"/>
      <c r="F865" s="291"/>
      <c r="G865" s="291"/>
      <c r="H865" s="291"/>
      <c r="I865" s="291"/>
      <c r="J865" s="188" t="s">
        <v>1636</v>
      </c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>
      <c r="A866" s="176" t="s">
        <v>1637</v>
      </c>
      <c r="B866" s="290" t="s">
        <v>8</v>
      </c>
      <c r="C866" s="277" t="s">
        <v>16</v>
      </c>
      <c r="D866" s="279"/>
      <c r="E866" s="279"/>
      <c r="F866" s="279"/>
      <c r="G866" s="279"/>
      <c r="H866" s="279"/>
      <c r="I866" s="279"/>
      <c r="J866" s="188" t="s">
        <v>809</v>
      </c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>
      <c r="A867" s="258" t="s">
        <v>1312</v>
      </c>
      <c r="B867" s="293"/>
      <c r="C867" s="293"/>
      <c r="D867" s="293"/>
      <c r="E867" s="293"/>
      <c r="F867" s="260">
        <f>sum(F846:G866)</f>
        <v>4.8</v>
      </c>
      <c r="G867" s="293"/>
      <c r="H867" s="293"/>
      <c r="I867" s="261">
        <f>sum(I846:I866)</f>
        <v>7.883333333</v>
      </c>
      <c r="J867" s="262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</sheetData>
  <dataValidations>
    <dataValidation type="list" allowBlank="1" showErrorMessage="1" sqref="B3:B17 B20:B21 B23:B24 B26:B27 B29:B31 B33:B36 B41:B56 B59:B60 B62:B63 B65:B66 B68:B69 B71:B72 B74:B75 B77:B78 B80:B84 B86:B90 B95:B106 B109:B110 B112:B113 B115:B116 B118:B119 B121:B125 B127:B130 B135:B144 B147:B148 B150:B151 B153:B154 B156:B157 B159:B161 B163:B166 B171:B184 B187:B189 B191:B193 B195:B200 B208:B219 B222:B223 B225:B226 B231:B242 B245:B247 B249:B250 B252:B253 B258:B267 B270:B271 B273:B274 B279:B286 B289:B290 B292:B293 B298:B303 B306:B307 B315:B324 B327:B328 B330:B331 B336:B347 B350:B351 B353:B354 B356:B357 B362:B372 B375:B376 B378:B379 B384:B391 B394:B395 B397:B398 B403:B409 B412:B413 B421:B431 B434:B435 B437:B438 B443:B456 B459:B460 B462:B463 B465:B466 B471:B479 B482:B483 B485:B486 B491:B499 B502:B503 B505:B506 B511:B517 B520:B521 B529:B538 B541:B542 B544:B545 B550:B561 B564:B565 B567:B568 B570:B571 B576:B582 B585:B586 B588:B589 B594:B602 B605:B606 B608:B609 B614:B619 B622:B623 B631:B641 B644:B645 B647:B648 B653:B664 B667:B668 B670:B671 B673:B674 B679:B689 B692:B693 B695:B696 B701:B707 B710:B711 B713:B714 B719:B725 B728:B729 B731:B732 B740:B750 B753:B756 B758:B761 B766:B776 B779:B781 B783:B786 B788:B791 B796:B807 B810:B813 B815:B818 B823:B830 B833:B836 B838:B841 B846:B852 B855:B860 B862:B863 B865:B866">
      <formula1>"SSS,SS,S,AAA,AA,A,Blue,Green"</formula1>
    </dataValidation>
    <dataValidation type="list" allowBlank="1" showErrorMessage="1" sqref="C3:C17 C20:C21 C23:C24 C26:C27 C29:C31 C33:C36 C41:C56 C59:C60 C62:C63 C65:C66 C68:C69 C71:C72 C74:C75 C77:C78 C80:C84 C86:C90 C95:C106 C109:C110 C112:C113 C115:C116 C118:C119 C121:C125 C127:C130 C135:C144 C147:C148 C150:C151 C153:C154 C156:C157 C159:C161 C163:C166 C171:C184 C187:C189 C191:C193 C195:C200 C208:C219 C222:C223 C225:C226 C231:C242 C245:C247 C249:C250 C252:C253 C258:C267 C270:C271 C273:C274 C279:C286 C289:C290 C292:C293 C298:C303 C306:C307 C315:C324 C327:C328 C330:C331 C336:C347 C350:C351 C353:C354 C356:C357 C362:C372 C375:C376 C378:C379 C384:C391 C394:C395 C397:C398 C403:C409 C412:C413 C421:C431 C434:C435 C437:C438 C443:C456 C459:C460 C462:C463 C465:C466 C471:C479 C482:C483 C485:C486 C491:C499 C502:C503 C505:C506 C511:C517 C520:C521 C529:C538 C541:C542 C544:C545 C550:C561 C564:C565 C567:C568 C570:C571 C576:C582 C585:C586 C588:C589 C594:C602 C605:C606 C608:C609 C614:C619 C622:C623 C631:C641 C644:C645 C647:C648 C653:C664 C667:C668 C670:C671 C673:C674 C679:C689 C692:C693 C695:C696 C701:C707 C710:C711 C713:C714 C719:C725 C728:C729 C731:C732 C740:C750 C753:C756 C758:C761 C766:C776 C779:C781 C783:C786 C788:C791 C796:C807 C810:C813 C815:C818 C823:C830 C833:C836 C838:C841 C846:C852 C855:C860 C862:C863 C865:C866">
      <formula1>"FAME,ART,FTH,CIV,TECH"</formula1>
    </dataValidation>
  </dataValidations>
  <drawing r:id="rId1"/>
  <tableParts count="36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20.64"/>
    <col customWidth="1" min="2" max="2" width="8.91"/>
    <col customWidth="1" min="3" max="3" width="11.64"/>
    <col customWidth="1" min="4" max="4" width="8.09"/>
    <col customWidth="1" min="5" max="5" width="11.73"/>
    <col customWidth="1" min="6" max="6" width="103.27"/>
    <col customWidth="1" min="7" max="21" width="8.64"/>
  </cols>
  <sheetData>
    <row r="1" ht="15.75" customHeight="1">
      <c r="A1" s="297" t="s">
        <v>1638</v>
      </c>
      <c r="B1" s="242" t="s">
        <v>1639</v>
      </c>
      <c r="C1" s="298"/>
      <c r="D1" s="299"/>
      <c r="E1" s="299"/>
      <c r="F1" s="300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</row>
    <row r="2" ht="15.75" customHeight="1">
      <c r="A2" s="302" t="s">
        <v>1640</v>
      </c>
      <c r="B2" s="303"/>
      <c r="C2" s="303"/>
      <c r="D2" s="304">
        <v>10.0</v>
      </c>
      <c r="E2" s="303"/>
      <c r="F2" s="305" t="s">
        <v>1641</v>
      </c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</row>
    <row r="3" ht="15.75" customHeight="1">
      <c r="A3" s="306" t="s">
        <v>1642</v>
      </c>
      <c r="B3" s="192"/>
      <c r="C3" s="192"/>
      <c r="D3" s="307">
        <f>SUM(D2)</f>
        <v>10</v>
      </c>
      <c r="E3" s="308"/>
      <c r="F3" s="309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</row>
    <row r="4" ht="15.75" customHeight="1">
      <c r="A4" s="310"/>
      <c r="B4" s="311"/>
      <c r="C4" s="312"/>
      <c r="D4" s="312"/>
      <c r="E4" s="312"/>
      <c r="F4" s="313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</row>
    <row r="5" ht="15.75" customHeight="1">
      <c r="A5" s="314"/>
      <c r="B5" s="314"/>
      <c r="C5" s="315"/>
      <c r="D5" s="315"/>
      <c r="E5" s="315"/>
      <c r="F5" s="314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</row>
    <row r="6" ht="15.75" customHeight="1">
      <c r="A6" s="316" t="s">
        <v>6</v>
      </c>
      <c r="B6" s="192"/>
      <c r="C6" s="192"/>
      <c r="D6" s="308"/>
      <c r="E6" s="308"/>
      <c r="F6" s="309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</row>
    <row r="7" ht="15.75" customHeight="1">
      <c r="A7" s="317" t="s">
        <v>1643</v>
      </c>
      <c r="B7" s="192" t="s">
        <v>8</v>
      </c>
      <c r="C7" s="192" t="s">
        <v>9</v>
      </c>
      <c r="D7" s="318">
        <v>20.0</v>
      </c>
      <c r="E7" s="319">
        <v>20.0</v>
      </c>
      <c r="F7" s="320" t="s">
        <v>1165</v>
      </c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</row>
    <row r="8" ht="15.75" customHeight="1">
      <c r="A8" s="317" t="s">
        <v>1385</v>
      </c>
      <c r="B8" s="192" t="s">
        <v>8</v>
      </c>
      <c r="C8" s="192" t="s">
        <v>9</v>
      </c>
      <c r="D8" s="318">
        <v>15.0</v>
      </c>
      <c r="E8" s="319">
        <v>10.0</v>
      </c>
      <c r="F8" s="320" t="s">
        <v>1644</v>
      </c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</row>
    <row r="9" ht="15.75" customHeight="1">
      <c r="A9" s="317" t="s">
        <v>1645</v>
      </c>
      <c r="B9" s="192" t="s">
        <v>8</v>
      </c>
      <c r="C9" s="192" t="s">
        <v>9</v>
      </c>
      <c r="D9" s="318">
        <v>15.0</v>
      </c>
      <c r="E9" s="319">
        <v>10.0</v>
      </c>
      <c r="F9" s="320" t="s">
        <v>1646</v>
      </c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</row>
    <row r="10" ht="15.75" customHeight="1">
      <c r="A10" s="321" t="s">
        <v>903</v>
      </c>
      <c r="B10" s="192" t="s">
        <v>8</v>
      </c>
      <c r="C10" s="192" t="s">
        <v>9</v>
      </c>
      <c r="D10" s="307">
        <v>12.0</v>
      </c>
      <c r="E10" s="307">
        <v>5.0</v>
      </c>
      <c r="F10" s="322" t="s">
        <v>1647</v>
      </c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</row>
    <row r="11" ht="15.75" customHeight="1">
      <c r="A11" s="321" t="s">
        <v>1201</v>
      </c>
      <c r="B11" s="192" t="s">
        <v>8</v>
      </c>
      <c r="C11" s="192" t="s">
        <v>9</v>
      </c>
      <c r="D11" s="307">
        <v>12.0</v>
      </c>
      <c r="E11" s="307">
        <v>5.0</v>
      </c>
      <c r="F11" s="322" t="s">
        <v>1648</v>
      </c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</row>
    <row r="12" ht="15.75" customHeight="1">
      <c r="A12" s="321" t="s">
        <v>1345</v>
      </c>
      <c r="B12" s="192" t="s">
        <v>8</v>
      </c>
      <c r="C12" s="192" t="s">
        <v>9</v>
      </c>
      <c r="D12" s="307">
        <v>12.0</v>
      </c>
      <c r="E12" s="307">
        <v>5.0</v>
      </c>
      <c r="F12" s="322" t="s">
        <v>1649</v>
      </c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</row>
    <row r="13" ht="15.75" customHeight="1">
      <c r="A13" s="317" t="s">
        <v>1438</v>
      </c>
      <c r="B13" s="192" t="s">
        <v>8</v>
      </c>
      <c r="C13" s="192" t="s">
        <v>9</v>
      </c>
      <c r="D13" s="318">
        <v>12.0</v>
      </c>
      <c r="E13" s="319">
        <v>5.0</v>
      </c>
      <c r="F13" s="322" t="s">
        <v>1649</v>
      </c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</row>
    <row r="14" ht="15.75" customHeight="1">
      <c r="A14" s="317" t="s">
        <v>1650</v>
      </c>
      <c r="B14" s="192" t="s">
        <v>8</v>
      </c>
      <c r="C14" s="192" t="s">
        <v>9</v>
      </c>
      <c r="D14" s="318">
        <v>12.0</v>
      </c>
      <c r="E14" s="319">
        <v>5.0</v>
      </c>
      <c r="F14" s="320" t="s">
        <v>1651</v>
      </c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</row>
    <row r="15" ht="15.75" customHeight="1">
      <c r="A15" s="321" t="s">
        <v>1239</v>
      </c>
      <c r="B15" s="192" t="s">
        <v>8</v>
      </c>
      <c r="C15" s="192" t="s">
        <v>9</v>
      </c>
      <c r="D15" s="307">
        <v>12.0</v>
      </c>
      <c r="E15" s="323">
        <v>5.0</v>
      </c>
      <c r="F15" s="324" t="s">
        <v>1652</v>
      </c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</row>
    <row r="16" ht="15.75" customHeight="1">
      <c r="A16" s="321" t="s">
        <v>724</v>
      </c>
      <c r="B16" s="192" t="s">
        <v>8</v>
      </c>
      <c r="C16" s="192" t="s">
        <v>9</v>
      </c>
      <c r="D16" s="307">
        <v>12.0</v>
      </c>
      <c r="E16" s="307">
        <v>5.0</v>
      </c>
      <c r="F16" s="322" t="s">
        <v>1653</v>
      </c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</row>
    <row r="17" ht="15.75" customHeight="1">
      <c r="A17" s="317" t="s">
        <v>1200</v>
      </c>
      <c r="B17" s="192" t="s">
        <v>8</v>
      </c>
      <c r="C17" s="192" t="s">
        <v>9</v>
      </c>
      <c r="D17" s="318">
        <v>12.0</v>
      </c>
      <c r="E17" s="319">
        <v>5.0</v>
      </c>
      <c r="F17" s="320" t="s">
        <v>1654</v>
      </c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</row>
    <row r="18" ht="15.75" customHeight="1">
      <c r="A18" s="325" t="s">
        <v>1655</v>
      </c>
      <c r="B18" s="192" t="s">
        <v>8</v>
      </c>
      <c r="C18" s="192" t="s">
        <v>9</v>
      </c>
      <c r="D18" s="318">
        <v>12.0</v>
      </c>
      <c r="E18" s="319">
        <v>5.0</v>
      </c>
      <c r="F18" s="326" t="s">
        <v>1656</v>
      </c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</row>
    <row r="19" ht="15.75" customHeight="1">
      <c r="A19" s="325" t="s">
        <v>1657</v>
      </c>
      <c r="B19" s="192" t="s">
        <v>8</v>
      </c>
      <c r="C19" s="192" t="s">
        <v>9</v>
      </c>
      <c r="D19" s="318">
        <v>12.0</v>
      </c>
      <c r="E19" s="319"/>
      <c r="F19" s="326" t="s">
        <v>1658</v>
      </c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</row>
    <row r="20" ht="15.75" customHeight="1">
      <c r="A20" s="317" t="s">
        <v>1659</v>
      </c>
      <c r="B20" s="192" t="s">
        <v>8</v>
      </c>
      <c r="C20" s="192" t="s">
        <v>16</v>
      </c>
      <c r="D20" s="327">
        <v>20.0</v>
      </c>
      <c r="E20" s="319">
        <v>20.0</v>
      </c>
      <c r="F20" s="322" t="s">
        <v>1660</v>
      </c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</row>
    <row r="21" ht="15.75" customHeight="1">
      <c r="A21" s="321" t="s">
        <v>1661</v>
      </c>
      <c r="B21" s="192" t="s">
        <v>8</v>
      </c>
      <c r="C21" s="192" t="s">
        <v>16</v>
      </c>
      <c r="D21" s="318">
        <v>15.0</v>
      </c>
      <c r="E21" s="319">
        <v>10.0</v>
      </c>
      <c r="F21" s="328" t="s">
        <v>1662</v>
      </c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</row>
    <row r="22" ht="15.75" customHeight="1">
      <c r="A22" s="317" t="s">
        <v>1663</v>
      </c>
      <c r="B22" s="192" t="s">
        <v>8</v>
      </c>
      <c r="C22" s="192" t="s">
        <v>16</v>
      </c>
      <c r="D22" s="318">
        <v>12.0</v>
      </c>
      <c r="E22" s="319">
        <v>5.0</v>
      </c>
      <c r="F22" s="320" t="s">
        <v>1664</v>
      </c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</row>
    <row r="23" ht="15.75" customHeight="1">
      <c r="A23" s="321" t="s">
        <v>1364</v>
      </c>
      <c r="B23" s="192" t="s">
        <v>8</v>
      </c>
      <c r="C23" s="192" t="s">
        <v>16</v>
      </c>
      <c r="D23" s="307">
        <v>12.0</v>
      </c>
      <c r="E23" s="307">
        <v>5.0</v>
      </c>
      <c r="F23" s="320" t="s">
        <v>1665</v>
      </c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</row>
    <row r="24" ht="15.75" customHeight="1">
      <c r="A24" s="325" t="s">
        <v>1666</v>
      </c>
      <c r="B24" s="192" t="s">
        <v>8</v>
      </c>
      <c r="C24" s="192" t="s">
        <v>16</v>
      </c>
      <c r="D24" s="307">
        <v>12.0</v>
      </c>
      <c r="E24" s="307">
        <v>5.0</v>
      </c>
      <c r="F24" s="326" t="s">
        <v>1656</v>
      </c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</row>
    <row r="25" ht="15.75" customHeight="1">
      <c r="A25" s="325" t="s">
        <v>1667</v>
      </c>
      <c r="B25" s="192" t="s">
        <v>8</v>
      </c>
      <c r="C25" s="192" t="s">
        <v>16</v>
      </c>
      <c r="D25" s="307">
        <v>12.0</v>
      </c>
      <c r="E25" s="307">
        <v>5.0</v>
      </c>
      <c r="F25" s="326" t="s">
        <v>1656</v>
      </c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</row>
    <row r="26" ht="15.75" customHeight="1">
      <c r="A26" s="325" t="s">
        <v>1668</v>
      </c>
      <c r="B26" s="192" t="s">
        <v>8</v>
      </c>
      <c r="C26" s="192" t="s">
        <v>16</v>
      </c>
      <c r="D26" s="307">
        <v>12.0</v>
      </c>
      <c r="E26" s="307">
        <v>5.0</v>
      </c>
      <c r="F26" s="329" t="s">
        <v>1669</v>
      </c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</row>
    <row r="27" ht="15.75" customHeight="1">
      <c r="A27" s="325" t="s">
        <v>1670</v>
      </c>
      <c r="B27" s="192" t="s">
        <v>8</v>
      </c>
      <c r="C27" s="192" t="s">
        <v>16</v>
      </c>
      <c r="D27" s="307">
        <v>12.0</v>
      </c>
      <c r="E27" s="307">
        <v>5.0</v>
      </c>
      <c r="F27" s="326" t="s">
        <v>785</v>
      </c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</row>
    <row r="28" ht="15.75" customHeight="1">
      <c r="A28" s="325" t="s">
        <v>1671</v>
      </c>
      <c r="B28" s="192" t="s">
        <v>8</v>
      </c>
      <c r="C28" s="192" t="s">
        <v>16</v>
      </c>
      <c r="D28" s="307">
        <v>12.0</v>
      </c>
      <c r="E28" s="307">
        <v>5.0</v>
      </c>
      <c r="F28" s="326" t="s">
        <v>785</v>
      </c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</row>
    <row r="29" ht="15.75" customHeight="1">
      <c r="A29" s="325" t="s">
        <v>1393</v>
      </c>
      <c r="B29" s="192" t="s">
        <v>8</v>
      </c>
      <c r="C29" s="192" t="s">
        <v>16</v>
      </c>
      <c r="D29" s="307">
        <v>12.0</v>
      </c>
      <c r="E29" s="307"/>
      <c r="F29" s="326" t="s">
        <v>785</v>
      </c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</row>
    <row r="30" ht="15.75" customHeight="1">
      <c r="A30" s="325" t="s">
        <v>1672</v>
      </c>
      <c r="B30" s="192" t="s">
        <v>8</v>
      </c>
      <c r="C30" s="177" t="s">
        <v>16</v>
      </c>
      <c r="D30" s="318">
        <v>12.0</v>
      </c>
      <c r="E30" s="327"/>
      <c r="F30" s="326" t="s">
        <v>1656</v>
      </c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</row>
    <row r="31" ht="15.75" customHeight="1">
      <c r="A31" s="325" t="s">
        <v>1673</v>
      </c>
      <c r="B31" s="192" t="s">
        <v>8</v>
      </c>
      <c r="C31" s="177" t="s">
        <v>16</v>
      </c>
      <c r="D31" s="318">
        <v>12.0</v>
      </c>
      <c r="E31" s="327"/>
      <c r="F31" s="322" t="s">
        <v>1674</v>
      </c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</row>
    <row r="32" ht="15.75" customHeight="1">
      <c r="A32" s="317" t="s">
        <v>1675</v>
      </c>
      <c r="B32" s="192" t="s">
        <v>8</v>
      </c>
      <c r="C32" s="177" t="s">
        <v>16</v>
      </c>
      <c r="D32" s="318">
        <v>12.0</v>
      </c>
      <c r="E32" s="327"/>
      <c r="F32" s="320" t="s">
        <v>1676</v>
      </c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</row>
    <row r="33" ht="15.75" customHeight="1">
      <c r="A33" s="317" t="s">
        <v>1394</v>
      </c>
      <c r="B33" s="192" t="s">
        <v>8</v>
      </c>
      <c r="C33" s="192" t="s">
        <v>16</v>
      </c>
      <c r="D33" s="318">
        <v>12.0</v>
      </c>
      <c r="E33" s="319"/>
      <c r="F33" s="322" t="s">
        <v>1677</v>
      </c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</row>
    <row r="34" ht="15.75" customHeight="1">
      <c r="A34" s="330" t="s">
        <v>1678</v>
      </c>
      <c r="B34" s="192" t="s">
        <v>8</v>
      </c>
      <c r="C34" s="308" t="s">
        <v>20</v>
      </c>
      <c r="D34" s="307">
        <v>15.0</v>
      </c>
      <c r="E34" s="307">
        <v>10.0</v>
      </c>
      <c r="F34" s="326" t="s">
        <v>785</v>
      </c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</row>
    <row r="35" ht="15.75" customHeight="1">
      <c r="A35" s="321" t="s">
        <v>1679</v>
      </c>
      <c r="B35" s="192" t="s">
        <v>8</v>
      </c>
      <c r="C35" s="308" t="s">
        <v>20</v>
      </c>
      <c r="D35" s="307">
        <v>15.0</v>
      </c>
      <c r="E35" s="307">
        <v>10.0</v>
      </c>
      <c r="F35" s="320" t="s">
        <v>1680</v>
      </c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</row>
    <row r="36" ht="15.75" customHeight="1">
      <c r="A36" s="321" t="s">
        <v>1068</v>
      </c>
      <c r="B36" s="192" t="s">
        <v>8</v>
      </c>
      <c r="C36" s="192" t="s">
        <v>20</v>
      </c>
      <c r="D36" s="307">
        <v>12.0</v>
      </c>
      <c r="E36" s="307">
        <v>5.0</v>
      </c>
      <c r="F36" s="322" t="s">
        <v>1681</v>
      </c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</row>
    <row r="37" ht="15.75" customHeight="1">
      <c r="A37" s="321" t="s">
        <v>1133</v>
      </c>
      <c r="B37" s="192" t="s">
        <v>8</v>
      </c>
      <c r="C37" s="192" t="s">
        <v>20</v>
      </c>
      <c r="D37" s="331">
        <v>12.0</v>
      </c>
      <c r="E37" s="331">
        <v>5.0</v>
      </c>
      <c r="F37" s="322" t="s">
        <v>1649</v>
      </c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</row>
    <row r="38" ht="15.75" customHeight="1">
      <c r="A38" s="325" t="s">
        <v>1682</v>
      </c>
      <c r="B38" s="192" t="s">
        <v>8</v>
      </c>
      <c r="C38" s="192" t="s">
        <v>20</v>
      </c>
      <c r="D38" s="318">
        <v>12.0</v>
      </c>
      <c r="E38" s="319">
        <v>5.0</v>
      </c>
      <c r="F38" s="322" t="s">
        <v>770</v>
      </c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</row>
    <row r="39" ht="15.75" customHeight="1">
      <c r="A39" s="317" t="s">
        <v>872</v>
      </c>
      <c r="B39" s="192" t="s">
        <v>8</v>
      </c>
      <c r="C39" s="192" t="s">
        <v>20</v>
      </c>
      <c r="D39" s="318">
        <v>12.0</v>
      </c>
      <c r="E39" s="319">
        <v>5.0</v>
      </c>
      <c r="F39" s="320" t="s">
        <v>1683</v>
      </c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</row>
    <row r="40" ht="15.75" customHeight="1">
      <c r="A40" s="332" t="s">
        <v>1684</v>
      </c>
      <c r="B40" s="192" t="s">
        <v>8</v>
      </c>
      <c r="C40" s="192" t="s">
        <v>20</v>
      </c>
      <c r="D40" s="318">
        <v>12.0</v>
      </c>
      <c r="E40" s="319">
        <v>5.0</v>
      </c>
      <c r="F40" s="333" t="s">
        <v>1656</v>
      </c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</row>
    <row r="41" ht="15.75" customHeight="1">
      <c r="A41" s="325" t="s">
        <v>1685</v>
      </c>
      <c r="B41" s="192" t="s">
        <v>8</v>
      </c>
      <c r="C41" s="192" t="s">
        <v>20</v>
      </c>
      <c r="D41" s="318">
        <v>12.0</v>
      </c>
      <c r="E41" s="319">
        <v>5.0</v>
      </c>
      <c r="F41" s="326" t="s">
        <v>785</v>
      </c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</row>
    <row r="42" ht="15.75" customHeight="1">
      <c r="A42" s="325" t="s">
        <v>1686</v>
      </c>
      <c r="B42" s="192" t="s">
        <v>8</v>
      </c>
      <c r="C42" s="192" t="s">
        <v>20</v>
      </c>
      <c r="D42" s="318">
        <v>12.0</v>
      </c>
      <c r="E42" s="319">
        <v>5.0</v>
      </c>
      <c r="F42" s="326" t="s">
        <v>785</v>
      </c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</row>
    <row r="43" ht="15.75" customHeight="1">
      <c r="A43" s="325" t="s">
        <v>1687</v>
      </c>
      <c r="B43" s="192" t="s">
        <v>8</v>
      </c>
      <c r="C43" s="192" t="s">
        <v>20</v>
      </c>
      <c r="D43" s="318">
        <v>12.0</v>
      </c>
      <c r="E43" s="319">
        <v>5.0</v>
      </c>
      <c r="F43" s="326" t="s">
        <v>785</v>
      </c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</row>
    <row r="44" ht="15.75" customHeight="1">
      <c r="A44" s="325" t="s">
        <v>1688</v>
      </c>
      <c r="B44" s="192" t="s">
        <v>8</v>
      </c>
      <c r="C44" s="192" t="s">
        <v>20</v>
      </c>
      <c r="D44" s="318">
        <v>12.0</v>
      </c>
      <c r="E44" s="319">
        <v>5.0</v>
      </c>
      <c r="F44" s="326" t="s">
        <v>1656</v>
      </c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</row>
    <row r="45" ht="15.75" customHeight="1">
      <c r="A45" s="317" t="s">
        <v>1689</v>
      </c>
      <c r="B45" s="192" t="s">
        <v>8</v>
      </c>
      <c r="C45" s="192" t="s">
        <v>20</v>
      </c>
      <c r="D45" s="318">
        <v>12.0</v>
      </c>
      <c r="E45" s="319"/>
      <c r="F45" s="328" t="s">
        <v>785</v>
      </c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</row>
    <row r="46" ht="15.75" customHeight="1">
      <c r="A46" s="317" t="s">
        <v>1690</v>
      </c>
      <c r="B46" s="192" t="s">
        <v>8</v>
      </c>
      <c r="C46" s="192" t="s">
        <v>12</v>
      </c>
      <c r="D46" s="318">
        <v>20.0</v>
      </c>
      <c r="E46" s="319">
        <v>20.0</v>
      </c>
      <c r="F46" s="320" t="s">
        <v>1691</v>
      </c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</row>
    <row r="47" ht="15.75" customHeight="1">
      <c r="A47" s="317" t="s">
        <v>1202</v>
      </c>
      <c r="B47" s="192" t="s">
        <v>8</v>
      </c>
      <c r="C47" s="192" t="s">
        <v>12</v>
      </c>
      <c r="D47" s="318">
        <v>15.0</v>
      </c>
      <c r="E47" s="319">
        <v>10.0</v>
      </c>
      <c r="F47" s="320" t="s">
        <v>1692</v>
      </c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</row>
    <row r="48" ht="15.75" customHeight="1">
      <c r="A48" s="330" t="s">
        <v>1693</v>
      </c>
      <c r="B48" s="192" t="s">
        <v>8</v>
      </c>
      <c r="C48" s="192" t="s">
        <v>12</v>
      </c>
      <c r="D48" s="318">
        <v>15.0</v>
      </c>
      <c r="E48" s="319">
        <v>10.0</v>
      </c>
      <c r="F48" s="326" t="s">
        <v>1694</v>
      </c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</row>
    <row r="49" ht="15.75" customHeight="1">
      <c r="A49" s="321" t="s">
        <v>886</v>
      </c>
      <c r="B49" s="192" t="s">
        <v>8</v>
      </c>
      <c r="C49" s="308" t="s">
        <v>12</v>
      </c>
      <c r="D49" s="307">
        <v>12.0</v>
      </c>
      <c r="E49" s="307">
        <v>5.0</v>
      </c>
      <c r="F49" s="320" t="s">
        <v>1695</v>
      </c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</row>
    <row r="50" ht="15.75" customHeight="1">
      <c r="A50" s="334" t="s">
        <v>1206</v>
      </c>
      <c r="B50" s="308" t="s">
        <v>8</v>
      </c>
      <c r="C50" s="308" t="s">
        <v>12</v>
      </c>
      <c r="D50" s="307">
        <v>12.0</v>
      </c>
      <c r="E50" s="307">
        <v>5.0</v>
      </c>
      <c r="F50" s="322" t="s">
        <v>1649</v>
      </c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</row>
    <row r="51" ht="15.75" customHeight="1">
      <c r="A51" s="334" t="s">
        <v>1576</v>
      </c>
      <c r="B51" s="308" t="s">
        <v>8</v>
      </c>
      <c r="C51" s="308" t="s">
        <v>12</v>
      </c>
      <c r="D51" s="307">
        <v>12.0</v>
      </c>
      <c r="E51" s="307">
        <v>5.0</v>
      </c>
      <c r="F51" s="322" t="s">
        <v>1649</v>
      </c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</row>
    <row r="52" ht="15.75" customHeight="1">
      <c r="A52" s="325" t="s">
        <v>1696</v>
      </c>
      <c r="B52" s="192" t="s">
        <v>8</v>
      </c>
      <c r="C52" s="308" t="s">
        <v>12</v>
      </c>
      <c r="D52" s="307">
        <v>12.0</v>
      </c>
      <c r="E52" s="307">
        <v>5.0</v>
      </c>
      <c r="F52" s="322" t="s">
        <v>1697</v>
      </c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</row>
    <row r="53" ht="15.75" customHeight="1">
      <c r="A53" s="325" t="s">
        <v>1698</v>
      </c>
      <c r="B53" s="177" t="s">
        <v>8</v>
      </c>
      <c r="C53" s="177" t="s">
        <v>12</v>
      </c>
      <c r="D53" s="318">
        <v>12.0</v>
      </c>
      <c r="E53" s="319">
        <v>5.0</v>
      </c>
      <c r="F53" s="326" t="s">
        <v>785</v>
      </c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</row>
    <row r="54" ht="15.75" customHeight="1">
      <c r="A54" s="325" t="s">
        <v>1699</v>
      </c>
      <c r="B54" s="177" t="s">
        <v>8</v>
      </c>
      <c r="C54" s="177" t="s">
        <v>12</v>
      </c>
      <c r="D54" s="318">
        <v>12.0</v>
      </c>
      <c r="E54" s="319">
        <v>5.0</v>
      </c>
      <c r="F54" s="326" t="s">
        <v>1656</v>
      </c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</row>
    <row r="55" ht="15.75" customHeight="1">
      <c r="A55" s="325" t="s">
        <v>1700</v>
      </c>
      <c r="B55" s="177" t="s">
        <v>8</v>
      </c>
      <c r="C55" s="177" t="s">
        <v>12</v>
      </c>
      <c r="D55" s="318">
        <v>12.0</v>
      </c>
      <c r="E55" s="327"/>
      <c r="F55" s="326" t="s">
        <v>1656</v>
      </c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</row>
    <row r="56" ht="15.75" customHeight="1">
      <c r="A56" s="317" t="s">
        <v>1294</v>
      </c>
      <c r="B56" s="192" t="s">
        <v>8</v>
      </c>
      <c r="C56" s="192" t="s">
        <v>12</v>
      </c>
      <c r="D56" s="318">
        <v>12.0</v>
      </c>
      <c r="E56" s="319"/>
      <c r="F56" s="320" t="s">
        <v>1701</v>
      </c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</row>
    <row r="57" ht="15.75" customHeight="1">
      <c r="A57" s="325" t="s">
        <v>1702</v>
      </c>
      <c r="B57" s="192" t="s">
        <v>8</v>
      </c>
      <c r="C57" s="192" t="s">
        <v>12</v>
      </c>
      <c r="D57" s="318"/>
      <c r="E57" s="327">
        <v>5.0</v>
      </c>
      <c r="F57" s="326" t="s">
        <v>1703</v>
      </c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</row>
    <row r="58" ht="15.75" customHeight="1">
      <c r="A58" s="317" t="s">
        <v>1595</v>
      </c>
      <c r="B58" s="192" t="s">
        <v>8</v>
      </c>
      <c r="C58" s="192" t="s">
        <v>40</v>
      </c>
      <c r="D58" s="318">
        <v>20.0</v>
      </c>
      <c r="E58" s="319">
        <v>20.0</v>
      </c>
      <c r="F58" s="322" t="s">
        <v>1704</v>
      </c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</row>
    <row r="59" ht="15.75" customHeight="1">
      <c r="A59" s="321" t="s">
        <v>1705</v>
      </c>
      <c r="B59" s="192" t="s">
        <v>8</v>
      </c>
      <c r="C59" s="192" t="s">
        <v>40</v>
      </c>
      <c r="D59" s="318">
        <v>15.0</v>
      </c>
      <c r="E59" s="319">
        <v>10.0</v>
      </c>
      <c r="F59" s="328" t="s">
        <v>1706</v>
      </c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</row>
    <row r="60" ht="15.75" customHeight="1">
      <c r="A60" s="335" t="s">
        <v>1026</v>
      </c>
      <c r="B60" s="308" t="s">
        <v>8</v>
      </c>
      <c r="C60" s="308" t="s">
        <v>40</v>
      </c>
      <c r="D60" s="319">
        <v>12.0</v>
      </c>
      <c r="E60" s="319">
        <v>5.0</v>
      </c>
      <c r="F60" s="324" t="s">
        <v>1665</v>
      </c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</row>
    <row r="61" ht="15.75" customHeight="1">
      <c r="A61" s="317" t="s">
        <v>719</v>
      </c>
      <c r="B61" s="308" t="s">
        <v>8</v>
      </c>
      <c r="C61" s="308" t="s">
        <v>40</v>
      </c>
      <c r="D61" s="318">
        <v>12.0</v>
      </c>
      <c r="E61" s="319">
        <v>5.0</v>
      </c>
      <c r="F61" s="324" t="s">
        <v>1665</v>
      </c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</row>
    <row r="62" ht="15.75" customHeight="1">
      <c r="A62" s="335" t="s">
        <v>592</v>
      </c>
      <c r="B62" s="308" t="s">
        <v>8</v>
      </c>
      <c r="C62" s="308" t="s">
        <v>40</v>
      </c>
      <c r="D62" s="319">
        <v>12.0</v>
      </c>
      <c r="E62" s="319">
        <v>5.0</v>
      </c>
      <c r="F62" s="322" t="s">
        <v>1707</v>
      </c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</row>
    <row r="63" ht="15.75" customHeight="1">
      <c r="A63" s="317" t="s">
        <v>645</v>
      </c>
      <c r="B63" s="308" t="s">
        <v>8</v>
      </c>
      <c r="C63" s="308" t="s">
        <v>40</v>
      </c>
      <c r="D63" s="319">
        <v>12.0</v>
      </c>
      <c r="E63" s="319">
        <v>5.0</v>
      </c>
      <c r="F63" s="324" t="s">
        <v>1708</v>
      </c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</row>
    <row r="64" ht="15.75" customHeight="1">
      <c r="A64" s="325" t="s">
        <v>1709</v>
      </c>
      <c r="B64" s="308" t="s">
        <v>8</v>
      </c>
      <c r="C64" s="308" t="s">
        <v>40</v>
      </c>
      <c r="D64" s="319">
        <v>12.0</v>
      </c>
      <c r="E64" s="319">
        <v>5.0</v>
      </c>
      <c r="F64" s="322" t="s">
        <v>1710</v>
      </c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</row>
    <row r="65" ht="15.75" customHeight="1">
      <c r="A65" s="325" t="s">
        <v>1711</v>
      </c>
      <c r="B65" s="308" t="s">
        <v>8</v>
      </c>
      <c r="C65" s="308" t="s">
        <v>40</v>
      </c>
      <c r="D65" s="319">
        <v>12.0</v>
      </c>
      <c r="E65" s="319">
        <v>5.0</v>
      </c>
      <c r="F65" s="322" t="s">
        <v>770</v>
      </c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</row>
    <row r="66" ht="15.75" customHeight="1">
      <c r="A66" s="317" t="s">
        <v>1712</v>
      </c>
      <c r="B66" s="192" t="s">
        <v>8</v>
      </c>
      <c r="C66" s="192" t="s">
        <v>40</v>
      </c>
      <c r="D66" s="318">
        <v>12.0</v>
      </c>
      <c r="E66" s="319">
        <v>5.0</v>
      </c>
      <c r="F66" s="320" t="s">
        <v>1713</v>
      </c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</row>
    <row r="67" ht="15.75" customHeight="1">
      <c r="A67" s="330" t="s">
        <v>1714</v>
      </c>
      <c r="B67" s="177" t="s">
        <v>8</v>
      </c>
      <c r="C67" s="177" t="s">
        <v>40</v>
      </c>
      <c r="D67" s="318">
        <v>12.0</v>
      </c>
      <c r="E67" s="319">
        <v>5.0</v>
      </c>
      <c r="F67" s="326" t="s">
        <v>1656</v>
      </c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</row>
    <row r="68" ht="15.75" customHeight="1">
      <c r="A68" s="330" t="s">
        <v>1715</v>
      </c>
      <c r="B68" s="177" t="s">
        <v>8</v>
      </c>
      <c r="C68" s="177" t="s">
        <v>40</v>
      </c>
      <c r="D68" s="318">
        <v>12.0</v>
      </c>
      <c r="E68" s="319">
        <v>5.0</v>
      </c>
      <c r="F68" s="326" t="s">
        <v>1656</v>
      </c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</row>
    <row r="69" ht="15.75" customHeight="1">
      <c r="A69" s="330" t="s">
        <v>1716</v>
      </c>
      <c r="B69" s="177" t="s">
        <v>8</v>
      </c>
      <c r="C69" s="192"/>
      <c r="D69" s="327">
        <v>12.0</v>
      </c>
      <c r="E69" s="319"/>
      <c r="F69" s="322" t="s">
        <v>1717</v>
      </c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</row>
    <row r="70" ht="15.75" customHeight="1">
      <c r="A70" s="321" t="s">
        <v>1718</v>
      </c>
      <c r="B70" s="192" t="s">
        <v>23</v>
      </c>
      <c r="C70" s="192" t="s">
        <v>12</v>
      </c>
      <c r="D70" s="318">
        <v>15.0</v>
      </c>
      <c r="E70" s="319"/>
      <c r="F70" s="320" t="s">
        <v>1719</v>
      </c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</row>
    <row r="71" ht="15.75" customHeight="1">
      <c r="A71" s="330" t="s">
        <v>1720</v>
      </c>
      <c r="B71" s="177" t="s">
        <v>23</v>
      </c>
      <c r="C71" s="177" t="s">
        <v>9</v>
      </c>
      <c r="D71" s="327">
        <v>3.0</v>
      </c>
      <c r="E71" s="319"/>
      <c r="F71" s="322" t="s">
        <v>1721</v>
      </c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</row>
    <row r="72" ht="15.75" customHeight="1">
      <c r="A72" s="321" t="s">
        <v>1722</v>
      </c>
      <c r="B72" s="192" t="s">
        <v>23</v>
      </c>
      <c r="C72" s="192" t="s">
        <v>12</v>
      </c>
      <c r="D72" s="318">
        <v>3.0</v>
      </c>
      <c r="E72" s="319"/>
      <c r="F72" s="320" t="s">
        <v>1723</v>
      </c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</row>
    <row r="73" ht="15.75" customHeight="1">
      <c r="A73" s="321" t="s">
        <v>1724</v>
      </c>
      <c r="B73" s="192" t="s">
        <v>23</v>
      </c>
      <c r="C73" s="192" t="s">
        <v>12</v>
      </c>
      <c r="D73" s="318">
        <v>3.0</v>
      </c>
      <c r="E73" s="319"/>
      <c r="F73" s="320" t="s">
        <v>1725</v>
      </c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</row>
    <row r="74" ht="15.75" customHeight="1">
      <c r="A74" s="321" t="s">
        <v>1726</v>
      </c>
      <c r="B74" s="192" t="s">
        <v>23</v>
      </c>
      <c r="C74" s="192" t="s">
        <v>12</v>
      </c>
      <c r="D74" s="318">
        <v>3.0</v>
      </c>
      <c r="E74" s="319"/>
      <c r="F74" s="320" t="s">
        <v>1727</v>
      </c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</row>
    <row r="75" ht="15.75" customHeight="1">
      <c r="A75" s="321" t="s">
        <v>1728</v>
      </c>
      <c r="B75" s="192" t="s">
        <v>23</v>
      </c>
      <c r="C75" s="192" t="s">
        <v>12</v>
      </c>
      <c r="D75" s="318">
        <v>3.0</v>
      </c>
      <c r="E75" s="319"/>
      <c r="F75" s="320" t="s">
        <v>1729</v>
      </c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</row>
    <row r="76" ht="15.75" customHeight="1">
      <c r="A76" s="336" t="s">
        <v>27</v>
      </c>
      <c r="B76" s="337"/>
      <c r="C76" s="337"/>
      <c r="D76" s="338">
        <f>SUM(D10:E75)</f>
        <v>1105</v>
      </c>
      <c r="E76" s="303"/>
      <c r="F76" s="339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</row>
    <row r="77" ht="15.75" customHeight="1">
      <c r="A77" s="340"/>
      <c r="B77" s="341"/>
      <c r="C77" s="341"/>
      <c r="D77" s="341"/>
      <c r="E77" s="342"/>
      <c r="F77" s="343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</row>
    <row r="78" ht="15.75" customHeight="1">
      <c r="A78" s="344" t="s">
        <v>212</v>
      </c>
      <c r="B78" s="345"/>
      <c r="C78" s="345"/>
      <c r="D78" s="345"/>
      <c r="E78" s="346"/>
      <c r="F78" s="347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</row>
    <row r="79" ht="15.75" customHeight="1">
      <c r="A79" s="348" t="s">
        <v>1730</v>
      </c>
      <c r="B79" s="349"/>
      <c r="C79" s="349"/>
      <c r="D79" s="338">
        <v>30.0</v>
      </c>
      <c r="E79" s="350"/>
      <c r="F79" s="351" t="s">
        <v>1731</v>
      </c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</row>
    <row r="80" ht="15.75" customHeight="1">
      <c r="A80" s="340"/>
      <c r="B80" s="341"/>
      <c r="C80" s="341"/>
      <c r="D80" s="341"/>
      <c r="E80" s="342"/>
      <c r="F80" s="343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</row>
    <row r="81" ht="15.75" customHeight="1">
      <c r="A81" s="352" t="s">
        <v>1732</v>
      </c>
      <c r="B81" s="299"/>
      <c r="C81" s="299"/>
      <c r="D81" s="299"/>
      <c r="E81" s="298"/>
      <c r="F81" s="353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</row>
    <row r="82" ht="15.75" customHeight="1">
      <c r="A82" s="321" t="s">
        <v>1733</v>
      </c>
      <c r="B82" s="192" t="s">
        <v>446</v>
      </c>
      <c r="C82" s="192" t="s">
        <v>1734</v>
      </c>
      <c r="D82" s="323">
        <v>2.0</v>
      </c>
      <c r="E82" s="308"/>
      <c r="F82" s="320" t="s">
        <v>1735</v>
      </c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</row>
    <row r="83" ht="15.75" customHeight="1">
      <c r="A83" s="321" t="s">
        <v>1736</v>
      </c>
      <c r="B83" s="192" t="s">
        <v>450</v>
      </c>
      <c r="C83" s="192" t="s">
        <v>1737</v>
      </c>
      <c r="D83" s="323">
        <v>3.0</v>
      </c>
      <c r="E83" s="308"/>
      <c r="F83" s="320" t="s">
        <v>1738</v>
      </c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</row>
    <row r="84" ht="15.75" customHeight="1">
      <c r="A84" s="321" t="s">
        <v>1739</v>
      </c>
      <c r="B84" s="192" t="s">
        <v>446</v>
      </c>
      <c r="C84" s="192" t="s">
        <v>1737</v>
      </c>
      <c r="D84" s="323">
        <v>3.0</v>
      </c>
      <c r="E84" s="308"/>
      <c r="F84" s="320" t="s">
        <v>1738</v>
      </c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</row>
    <row r="85" ht="15.75" customHeight="1">
      <c r="A85" s="321" t="s">
        <v>1740</v>
      </c>
      <c r="B85" s="192" t="s">
        <v>449</v>
      </c>
      <c r="C85" s="192" t="s">
        <v>1737</v>
      </c>
      <c r="D85" s="323">
        <v>2.0</v>
      </c>
      <c r="E85" s="308"/>
      <c r="F85" s="320" t="s">
        <v>1741</v>
      </c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</row>
    <row r="86" ht="15.75" customHeight="1">
      <c r="A86" s="321" t="s">
        <v>1742</v>
      </c>
      <c r="B86" s="192" t="s">
        <v>446</v>
      </c>
      <c r="C86" s="192" t="s">
        <v>1737</v>
      </c>
      <c r="D86" s="323">
        <v>2.0</v>
      </c>
      <c r="E86" s="308"/>
      <c r="F86" s="320" t="s">
        <v>1741</v>
      </c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</row>
    <row r="87" ht="15.75" customHeight="1">
      <c r="A87" s="321" t="s">
        <v>1743</v>
      </c>
      <c r="B87" s="192" t="s">
        <v>445</v>
      </c>
      <c r="C87" s="192" t="s">
        <v>1737</v>
      </c>
      <c r="D87" s="323">
        <v>2.0</v>
      </c>
      <c r="E87" s="308"/>
      <c r="F87" s="320" t="s">
        <v>1741</v>
      </c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</row>
    <row r="88" ht="15.75" customHeight="1">
      <c r="A88" s="321" t="s">
        <v>1744</v>
      </c>
      <c r="B88" s="192" t="s">
        <v>445</v>
      </c>
      <c r="C88" s="192" t="s">
        <v>1737</v>
      </c>
      <c r="D88" s="323">
        <v>2.0</v>
      </c>
      <c r="E88" s="308"/>
      <c r="F88" s="320" t="s">
        <v>1741</v>
      </c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</row>
    <row r="89" ht="15.75" customHeight="1">
      <c r="A89" s="321" t="s">
        <v>1745</v>
      </c>
      <c r="B89" s="192" t="s">
        <v>450</v>
      </c>
      <c r="C89" s="192" t="s">
        <v>1737</v>
      </c>
      <c r="D89" s="323">
        <v>2.0</v>
      </c>
      <c r="E89" s="308"/>
      <c r="F89" s="320" t="s">
        <v>1741</v>
      </c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</row>
    <row r="90" ht="15.75" customHeight="1">
      <c r="A90" s="321" t="s">
        <v>1746</v>
      </c>
      <c r="B90" s="192" t="s">
        <v>447</v>
      </c>
      <c r="C90" s="192" t="s">
        <v>1737</v>
      </c>
      <c r="D90" s="323">
        <v>2.0</v>
      </c>
      <c r="E90" s="308"/>
      <c r="F90" s="320" t="s">
        <v>1741</v>
      </c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</row>
    <row r="91" ht="15.75" customHeight="1">
      <c r="A91" s="321" t="s">
        <v>1747</v>
      </c>
      <c r="B91" s="192" t="s">
        <v>447</v>
      </c>
      <c r="C91" s="192" t="s">
        <v>1737</v>
      </c>
      <c r="D91" s="323">
        <v>2.0</v>
      </c>
      <c r="E91" s="308"/>
      <c r="F91" s="320" t="s">
        <v>1741</v>
      </c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</row>
    <row r="92" ht="15.75" customHeight="1">
      <c r="A92" s="321" t="s">
        <v>1748</v>
      </c>
      <c r="B92" s="192" t="s">
        <v>448</v>
      </c>
      <c r="C92" s="192" t="s">
        <v>1737</v>
      </c>
      <c r="D92" s="323">
        <v>2.0</v>
      </c>
      <c r="E92" s="308"/>
      <c r="F92" s="320" t="s">
        <v>1741</v>
      </c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</row>
    <row r="93" ht="15.75" customHeight="1">
      <c r="A93" s="321" t="s">
        <v>1749</v>
      </c>
      <c r="B93" s="192" t="s">
        <v>448</v>
      </c>
      <c r="C93" s="192" t="s">
        <v>1737</v>
      </c>
      <c r="D93" s="323">
        <v>2.0</v>
      </c>
      <c r="E93" s="308"/>
      <c r="F93" s="320" t="s">
        <v>1741</v>
      </c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</row>
    <row r="94" ht="15.75" customHeight="1">
      <c r="A94" s="321" t="s">
        <v>1750</v>
      </c>
      <c r="B94" s="192" t="s">
        <v>449</v>
      </c>
      <c r="C94" s="192" t="s">
        <v>1737</v>
      </c>
      <c r="D94" s="323">
        <v>2.0</v>
      </c>
      <c r="E94" s="308"/>
      <c r="F94" s="320" t="s">
        <v>1741</v>
      </c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</row>
    <row r="95" ht="15.75" customHeight="1">
      <c r="A95" s="321" t="s">
        <v>1751</v>
      </c>
      <c r="B95" s="192" t="s">
        <v>450</v>
      </c>
      <c r="C95" s="192" t="s">
        <v>1752</v>
      </c>
      <c r="D95" s="323">
        <v>2.0</v>
      </c>
      <c r="E95" s="308"/>
      <c r="F95" s="320" t="s">
        <v>1738</v>
      </c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</row>
    <row r="96" ht="15.75" customHeight="1">
      <c r="A96" s="321" t="s">
        <v>1753</v>
      </c>
      <c r="B96" s="192" t="s">
        <v>445</v>
      </c>
      <c r="C96" s="192" t="s">
        <v>1752</v>
      </c>
      <c r="D96" s="323">
        <v>2.0</v>
      </c>
      <c r="E96" s="308"/>
      <c r="F96" s="320" t="s">
        <v>1738</v>
      </c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</row>
    <row r="97" ht="15.75" customHeight="1">
      <c r="A97" s="321" t="s">
        <v>1754</v>
      </c>
      <c r="B97" s="192" t="s">
        <v>448</v>
      </c>
      <c r="C97" s="192" t="s">
        <v>1752</v>
      </c>
      <c r="D97" s="323">
        <v>2.0</v>
      </c>
      <c r="E97" s="308"/>
      <c r="F97" s="320" t="s">
        <v>1741</v>
      </c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</row>
    <row r="98" ht="15.75" customHeight="1">
      <c r="A98" s="321" t="s">
        <v>1755</v>
      </c>
      <c r="B98" s="192" t="s">
        <v>447</v>
      </c>
      <c r="C98" s="192" t="s">
        <v>1752</v>
      </c>
      <c r="D98" s="323">
        <v>2.0</v>
      </c>
      <c r="E98" s="308"/>
      <c r="F98" s="320" t="s">
        <v>1741</v>
      </c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</row>
    <row r="99" ht="15.75" customHeight="1">
      <c r="A99" s="321" t="s">
        <v>1756</v>
      </c>
      <c r="B99" s="192" t="s">
        <v>448</v>
      </c>
      <c r="C99" s="192" t="s">
        <v>1752</v>
      </c>
      <c r="D99" s="323">
        <v>2.0</v>
      </c>
      <c r="E99" s="308"/>
      <c r="F99" s="320" t="s">
        <v>1741</v>
      </c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</row>
    <row r="100" ht="15.75" customHeight="1">
      <c r="A100" s="321" t="s">
        <v>1757</v>
      </c>
      <c r="B100" s="192" t="s">
        <v>447</v>
      </c>
      <c r="C100" s="192" t="s">
        <v>1752</v>
      </c>
      <c r="D100" s="323">
        <v>2.0</v>
      </c>
      <c r="E100" s="308"/>
      <c r="F100" s="320" t="s">
        <v>1741</v>
      </c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</row>
    <row r="101" ht="15.75" customHeight="1">
      <c r="A101" s="321" t="s">
        <v>1758</v>
      </c>
      <c r="B101" s="192" t="s">
        <v>445</v>
      </c>
      <c r="C101" s="192" t="s">
        <v>1752</v>
      </c>
      <c r="D101" s="323">
        <v>2.0</v>
      </c>
      <c r="E101" s="308"/>
      <c r="F101" s="320" t="s">
        <v>1741</v>
      </c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</row>
    <row r="102" ht="15.75" customHeight="1">
      <c r="A102" s="321" t="s">
        <v>1759</v>
      </c>
      <c r="B102" s="192" t="s">
        <v>446</v>
      </c>
      <c r="C102" s="192" t="s">
        <v>1752</v>
      </c>
      <c r="D102" s="323">
        <v>2.0</v>
      </c>
      <c r="E102" s="308"/>
      <c r="F102" s="320" t="s">
        <v>1741</v>
      </c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</row>
    <row r="103" ht="15.75" customHeight="1">
      <c r="A103" s="321" t="s">
        <v>1760</v>
      </c>
      <c r="B103" s="192" t="s">
        <v>450</v>
      </c>
      <c r="C103" s="192" t="s">
        <v>1752</v>
      </c>
      <c r="D103" s="323">
        <v>2.0</v>
      </c>
      <c r="E103" s="308"/>
      <c r="F103" s="320" t="s">
        <v>1741</v>
      </c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</row>
    <row r="104" ht="15.75" customHeight="1">
      <c r="A104" s="321" t="s">
        <v>1761</v>
      </c>
      <c r="B104" s="192" t="s">
        <v>449</v>
      </c>
      <c r="C104" s="192" t="s">
        <v>1752</v>
      </c>
      <c r="D104" s="323">
        <v>2.0</v>
      </c>
      <c r="E104" s="308"/>
      <c r="F104" s="320" t="s">
        <v>1741</v>
      </c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</row>
    <row r="105" ht="15.75" customHeight="1">
      <c r="A105" s="321" t="s">
        <v>1762</v>
      </c>
      <c r="B105" s="192" t="s">
        <v>449</v>
      </c>
      <c r="C105" s="192" t="s">
        <v>1752</v>
      </c>
      <c r="D105" s="323">
        <v>2.0</v>
      </c>
      <c r="E105" s="308"/>
      <c r="F105" s="320" t="s">
        <v>1741</v>
      </c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</row>
    <row r="106" ht="15.75" customHeight="1">
      <c r="A106" s="321" t="s">
        <v>1763</v>
      </c>
      <c r="B106" s="192" t="s">
        <v>446</v>
      </c>
      <c r="C106" s="192" t="s">
        <v>1752</v>
      </c>
      <c r="D106" s="323">
        <v>2.0</v>
      </c>
      <c r="E106" s="308"/>
      <c r="F106" s="320" t="s">
        <v>1741</v>
      </c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</row>
    <row r="107" ht="15.75" customHeight="1">
      <c r="A107" s="321" t="s">
        <v>1764</v>
      </c>
      <c r="B107" s="192" t="s">
        <v>445</v>
      </c>
      <c r="C107" s="192" t="s">
        <v>1752</v>
      </c>
      <c r="D107" s="323">
        <v>2.0</v>
      </c>
      <c r="E107" s="308"/>
      <c r="F107" s="320" t="s">
        <v>1741</v>
      </c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</row>
    <row r="108" ht="15.75" customHeight="1">
      <c r="A108" s="321" t="s">
        <v>1765</v>
      </c>
      <c r="B108" s="192" t="s">
        <v>450</v>
      </c>
      <c r="C108" s="192" t="s">
        <v>1766</v>
      </c>
      <c r="D108" s="323">
        <v>2.0</v>
      </c>
      <c r="E108" s="308"/>
      <c r="F108" s="320" t="s">
        <v>1738</v>
      </c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</row>
    <row r="109" ht="15.75" customHeight="1">
      <c r="A109" s="321" t="s">
        <v>1767</v>
      </c>
      <c r="B109" s="192" t="s">
        <v>445</v>
      </c>
      <c r="C109" s="192" t="s">
        <v>1766</v>
      </c>
      <c r="D109" s="323">
        <v>2.0</v>
      </c>
      <c r="E109" s="308"/>
      <c r="F109" s="320" t="s">
        <v>1738</v>
      </c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</row>
    <row r="110" ht="15.75" customHeight="1">
      <c r="A110" s="321" t="s">
        <v>1768</v>
      </c>
      <c r="B110" s="192" t="s">
        <v>447</v>
      </c>
      <c r="C110" s="192" t="s">
        <v>1766</v>
      </c>
      <c r="D110" s="323">
        <v>2.0</v>
      </c>
      <c r="E110" s="308"/>
      <c r="F110" s="320" t="s">
        <v>1741</v>
      </c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</row>
    <row r="111" ht="15.75" customHeight="1">
      <c r="A111" s="321" t="s">
        <v>1769</v>
      </c>
      <c r="B111" s="192" t="s">
        <v>450</v>
      </c>
      <c r="C111" s="192" t="s">
        <v>1766</v>
      </c>
      <c r="D111" s="323">
        <v>2.0</v>
      </c>
      <c r="E111" s="308"/>
      <c r="F111" s="320" t="s">
        <v>1741</v>
      </c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</row>
    <row r="112" ht="15.75" customHeight="1">
      <c r="A112" s="321" t="s">
        <v>1770</v>
      </c>
      <c r="B112" s="192" t="s">
        <v>448</v>
      </c>
      <c r="C112" s="192" t="s">
        <v>1766</v>
      </c>
      <c r="D112" s="323">
        <v>2.0</v>
      </c>
      <c r="E112" s="308"/>
      <c r="F112" s="320" t="s">
        <v>1741</v>
      </c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</row>
    <row r="113" ht="15.75" customHeight="1">
      <c r="A113" s="321" t="s">
        <v>1771</v>
      </c>
      <c r="B113" s="308" t="s">
        <v>447</v>
      </c>
      <c r="C113" s="308" t="s">
        <v>1766</v>
      </c>
      <c r="D113" s="307">
        <v>2.0</v>
      </c>
      <c r="E113" s="308"/>
      <c r="F113" s="324" t="s">
        <v>1741</v>
      </c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</row>
    <row r="114" ht="15.75" customHeight="1">
      <c r="A114" s="334" t="s">
        <v>1772</v>
      </c>
      <c r="B114" s="308" t="s">
        <v>446</v>
      </c>
      <c r="C114" s="308" t="s">
        <v>1766</v>
      </c>
      <c r="D114" s="307">
        <v>2.0</v>
      </c>
      <c r="E114" s="308"/>
      <c r="F114" s="324" t="s">
        <v>1741</v>
      </c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</row>
    <row r="115" ht="15.75" customHeight="1">
      <c r="A115" s="321" t="s">
        <v>1773</v>
      </c>
      <c r="B115" s="308" t="s">
        <v>445</v>
      </c>
      <c r="C115" s="308" t="s">
        <v>1766</v>
      </c>
      <c r="D115" s="307">
        <v>2.0</v>
      </c>
      <c r="E115" s="308"/>
      <c r="F115" s="324" t="s">
        <v>1741</v>
      </c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</row>
    <row r="116" ht="15.75" customHeight="1">
      <c r="A116" s="321" t="s">
        <v>1774</v>
      </c>
      <c r="B116" s="308" t="s">
        <v>449</v>
      </c>
      <c r="C116" s="308" t="s">
        <v>1766</v>
      </c>
      <c r="D116" s="323">
        <v>2.0</v>
      </c>
      <c r="E116" s="308"/>
      <c r="F116" s="320" t="s">
        <v>1741</v>
      </c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</row>
    <row r="117" ht="15.75" customHeight="1">
      <c r="A117" s="321" t="s">
        <v>1775</v>
      </c>
      <c r="B117" s="308" t="s">
        <v>448</v>
      </c>
      <c r="C117" s="308" t="s">
        <v>1766</v>
      </c>
      <c r="D117" s="307">
        <v>2.0</v>
      </c>
      <c r="E117" s="308"/>
      <c r="F117" s="324" t="s">
        <v>1741</v>
      </c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</row>
    <row r="118" ht="15.75" customHeight="1">
      <c r="A118" s="321" t="s">
        <v>1776</v>
      </c>
      <c r="B118" s="308" t="s">
        <v>449</v>
      </c>
      <c r="C118" s="308" t="s">
        <v>1766</v>
      </c>
      <c r="D118" s="307">
        <v>2.0</v>
      </c>
      <c r="E118" s="308"/>
      <c r="F118" s="324" t="s">
        <v>1741</v>
      </c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</row>
    <row r="119" ht="15.75" customHeight="1">
      <c r="A119" s="321" t="s">
        <v>1777</v>
      </c>
      <c r="B119" s="308" t="s">
        <v>446</v>
      </c>
      <c r="C119" s="308" t="s">
        <v>1766</v>
      </c>
      <c r="D119" s="323">
        <v>2.0</v>
      </c>
      <c r="E119" s="308"/>
      <c r="F119" s="320" t="s">
        <v>1741</v>
      </c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</row>
    <row r="120" ht="15.75" customHeight="1">
      <c r="A120" s="334" t="s">
        <v>1778</v>
      </c>
      <c r="B120" s="308" t="s">
        <v>447</v>
      </c>
      <c r="C120" s="308" t="s">
        <v>1779</v>
      </c>
      <c r="D120" s="307">
        <v>2.0</v>
      </c>
      <c r="E120" s="308"/>
      <c r="F120" s="324" t="s">
        <v>1738</v>
      </c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</row>
    <row r="121" ht="15.75" customHeight="1">
      <c r="A121" s="321" t="s">
        <v>1780</v>
      </c>
      <c r="B121" s="308" t="s">
        <v>450</v>
      </c>
      <c r="C121" s="308" t="s">
        <v>1779</v>
      </c>
      <c r="D121" s="307">
        <v>2.0</v>
      </c>
      <c r="E121" s="308"/>
      <c r="F121" s="324" t="s">
        <v>1738</v>
      </c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</row>
    <row r="122" ht="15.75" customHeight="1">
      <c r="A122" s="321" t="s">
        <v>1781</v>
      </c>
      <c r="B122" s="308" t="s">
        <v>446</v>
      </c>
      <c r="C122" s="308" t="s">
        <v>1779</v>
      </c>
      <c r="D122" s="323">
        <v>2.0</v>
      </c>
      <c r="E122" s="308"/>
      <c r="F122" s="320" t="s">
        <v>1741</v>
      </c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</row>
    <row r="123" ht="15.75" customHeight="1">
      <c r="A123" s="334" t="s">
        <v>1782</v>
      </c>
      <c r="B123" s="308" t="s">
        <v>448</v>
      </c>
      <c r="C123" s="308" t="s">
        <v>1779</v>
      </c>
      <c r="D123" s="307">
        <v>2.0</v>
      </c>
      <c r="E123" s="308"/>
      <c r="F123" s="324" t="s">
        <v>1741</v>
      </c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</row>
    <row r="124" ht="15.75" customHeight="1">
      <c r="A124" s="321" t="s">
        <v>1783</v>
      </c>
      <c r="B124" s="308" t="s">
        <v>448</v>
      </c>
      <c r="C124" s="308" t="s">
        <v>1779</v>
      </c>
      <c r="D124" s="307">
        <v>2.0</v>
      </c>
      <c r="E124" s="308"/>
      <c r="F124" s="324" t="s">
        <v>1741</v>
      </c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</row>
    <row r="125" ht="15.75" customHeight="1">
      <c r="A125" s="321" t="s">
        <v>1784</v>
      </c>
      <c r="B125" s="308" t="s">
        <v>450</v>
      </c>
      <c r="C125" s="308" t="s">
        <v>1779</v>
      </c>
      <c r="D125" s="323">
        <v>2.0</v>
      </c>
      <c r="E125" s="308"/>
      <c r="F125" s="320" t="s">
        <v>1741</v>
      </c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</row>
    <row r="126" ht="15.75" customHeight="1">
      <c r="A126" s="334" t="s">
        <v>1785</v>
      </c>
      <c r="B126" s="308" t="s">
        <v>449</v>
      </c>
      <c r="C126" s="308" t="s">
        <v>1779</v>
      </c>
      <c r="D126" s="307">
        <v>2.0</v>
      </c>
      <c r="E126" s="308"/>
      <c r="F126" s="324" t="s">
        <v>1741</v>
      </c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</row>
    <row r="127" ht="15.75" customHeight="1">
      <c r="A127" s="321" t="s">
        <v>1786</v>
      </c>
      <c r="B127" s="308" t="s">
        <v>445</v>
      </c>
      <c r="C127" s="308" t="s">
        <v>1779</v>
      </c>
      <c r="D127" s="307">
        <v>2.0</v>
      </c>
      <c r="E127" s="308"/>
      <c r="F127" s="324" t="s">
        <v>1741</v>
      </c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</row>
    <row r="128" ht="15.75" customHeight="1">
      <c r="A128" s="321" t="s">
        <v>1787</v>
      </c>
      <c r="B128" s="308" t="s">
        <v>447</v>
      </c>
      <c r="C128" s="308" t="s">
        <v>1779</v>
      </c>
      <c r="D128" s="323">
        <v>2.0</v>
      </c>
      <c r="E128" s="308"/>
      <c r="F128" s="324" t="s">
        <v>1741</v>
      </c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</row>
    <row r="129" ht="15.75" customHeight="1">
      <c r="A129" s="334" t="s">
        <v>1788</v>
      </c>
      <c r="B129" s="308" t="s">
        <v>449</v>
      </c>
      <c r="C129" s="308" t="s">
        <v>1779</v>
      </c>
      <c r="D129" s="307">
        <v>2.0</v>
      </c>
      <c r="E129" s="308"/>
      <c r="F129" s="324" t="s">
        <v>1741</v>
      </c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</row>
    <row r="130" ht="15.75" customHeight="1">
      <c r="A130" s="334" t="s">
        <v>1789</v>
      </c>
      <c r="B130" s="308" t="s">
        <v>445</v>
      </c>
      <c r="C130" s="308" t="s">
        <v>1779</v>
      </c>
      <c r="D130" s="307">
        <v>2.0</v>
      </c>
      <c r="E130" s="308"/>
      <c r="F130" s="324" t="s">
        <v>1741</v>
      </c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</row>
    <row r="131" ht="15.75" customHeight="1">
      <c r="A131" s="334" t="s">
        <v>1790</v>
      </c>
      <c r="B131" s="192" t="s">
        <v>446</v>
      </c>
      <c r="C131" s="192" t="s">
        <v>1779</v>
      </c>
      <c r="D131" s="307">
        <v>2.0</v>
      </c>
      <c r="E131" s="308"/>
      <c r="F131" s="320" t="s">
        <v>1741</v>
      </c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</row>
    <row r="132" ht="15.75" customHeight="1">
      <c r="A132" s="334" t="s">
        <v>1791</v>
      </c>
      <c r="B132" s="192" t="s">
        <v>445</v>
      </c>
      <c r="C132" s="192" t="s">
        <v>1779</v>
      </c>
      <c r="D132" s="307">
        <v>2.0</v>
      </c>
      <c r="E132" s="308"/>
      <c r="F132" s="320" t="s">
        <v>1741</v>
      </c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</row>
    <row r="133" ht="15.75" customHeight="1">
      <c r="A133" s="334" t="s">
        <v>1792</v>
      </c>
      <c r="B133" s="192" t="s">
        <v>450</v>
      </c>
      <c r="C133" s="192" t="s">
        <v>1793</v>
      </c>
      <c r="D133" s="307">
        <v>2.0</v>
      </c>
      <c r="E133" s="308"/>
      <c r="F133" s="320" t="s">
        <v>1738</v>
      </c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</row>
    <row r="134" ht="15.75" customHeight="1">
      <c r="A134" s="334" t="s">
        <v>1794</v>
      </c>
      <c r="B134" s="192" t="s">
        <v>448</v>
      </c>
      <c r="C134" s="192" t="s">
        <v>1793</v>
      </c>
      <c r="D134" s="307">
        <v>2.0</v>
      </c>
      <c r="E134" s="308"/>
      <c r="F134" s="320" t="s">
        <v>1738</v>
      </c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</row>
    <row r="135" ht="15.75" customHeight="1">
      <c r="A135" s="334" t="s">
        <v>1795</v>
      </c>
      <c r="B135" s="192" t="s">
        <v>450</v>
      </c>
      <c r="C135" s="192" t="s">
        <v>1793</v>
      </c>
      <c r="D135" s="307">
        <v>2.0</v>
      </c>
      <c r="E135" s="308"/>
      <c r="F135" s="320" t="s">
        <v>1741</v>
      </c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</row>
    <row r="136" ht="15.75" customHeight="1">
      <c r="A136" s="321" t="s">
        <v>1796</v>
      </c>
      <c r="B136" s="192" t="s">
        <v>447</v>
      </c>
      <c r="C136" s="192" t="s">
        <v>1793</v>
      </c>
      <c r="D136" s="323">
        <v>2.0</v>
      </c>
      <c r="E136" s="308"/>
      <c r="F136" s="320" t="s">
        <v>1741</v>
      </c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</row>
    <row r="137" ht="15.75" customHeight="1">
      <c r="A137" s="334" t="s">
        <v>1797</v>
      </c>
      <c r="B137" s="192" t="s">
        <v>447</v>
      </c>
      <c r="C137" s="192" t="s">
        <v>1793</v>
      </c>
      <c r="D137" s="307">
        <v>2.0</v>
      </c>
      <c r="E137" s="308"/>
      <c r="F137" s="320" t="s">
        <v>1741</v>
      </c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</row>
    <row r="138" ht="15.75" customHeight="1">
      <c r="A138" s="334" t="s">
        <v>1798</v>
      </c>
      <c r="B138" s="192" t="s">
        <v>446</v>
      </c>
      <c r="C138" s="192" t="s">
        <v>1793</v>
      </c>
      <c r="D138" s="307">
        <v>2.0</v>
      </c>
      <c r="E138" s="308"/>
      <c r="F138" s="320" t="s">
        <v>1741</v>
      </c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</row>
    <row r="139" ht="15.75" customHeight="1">
      <c r="A139" s="321" t="s">
        <v>1799</v>
      </c>
      <c r="B139" s="192" t="s">
        <v>448</v>
      </c>
      <c r="C139" s="192" t="s">
        <v>1793</v>
      </c>
      <c r="D139" s="307">
        <v>2.0</v>
      </c>
      <c r="E139" s="308"/>
      <c r="F139" s="320" t="s">
        <v>1741</v>
      </c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</row>
    <row r="140" ht="15.75" customHeight="1">
      <c r="A140" s="334" t="s">
        <v>1800</v>
      </c>
      <c r="B140" s="192" t="s">
        <v>445</v>
      </c>
      <c r="C140" s="192" t="s">
        <v>1793</v>
      </c>
      <c r="D140" s="307">
        <v>2.0</v>
      </c>
      <c r="E140" s="308"/>
      <c r="F140" s="320" t="s">
        <v>1741</v>
      </c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</row>
    <row r="141" ht="15.75" customHeight="1">
      <c r="A141" s="334" t="s">
        <v>1801</v>
      </c>
      <c r="B141" s="192" t="s">
        <v>445</v>
      </c>
      <c r="C141" s="192" t="s">
        <v>1793</v>
      </c>
      <c r="D141" s="307">
        <v>2.0</v>
      </c>
      <c r="E141" s="308"/>
      <c r="F141" s="320" t="s">
        <v>1741</v>
      </c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</row>
    <row r="142" ht="15.75" customHeight="1">
      <c r="A142" s="334" t="s">
        <v>1802</v>
      </c>
      <c r="B142" s="192" t="s">
        <v>449</v>
      </c>
      <c r="C142" s="192" t="s">
        <v>1793</v>
      </c>
      <c r="D142" s="307">
        <v>2.0</v>
      </c>
      <c r="E142" s="308"/>
      <c r="F142" s="320" t="s">
        <v>1741</v>
      </c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</row>
    <row r="143" ht="15.75" customHeight="1">
      <c r="A143" s="334" t="s">
        <v>1803</v>
      </c>
      <c r="B143" s="192" t="s">
        <v>446</v>
      </c>
      <c r="C143" s="192" t="s">
        <v>1793</v>
      </c>
      <c r="D143" s="307">
        <v>2.0</v>
      </c>
      <c r="E143" s="308"/>
      <c r="F143" s="320" t="s">
        <v>1741</v>
      </c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</row>
    <row r="144" ht="15.75" customHeight="1">
      <c r="A144" s="334" t="s">
        <v>1804</v>
      </c>
      <c r="B144" s="192" t="s">
        <v>449</v>
      </c>
      <c r="C144" s="192" t="s">
        <v>1793</v>
      </c>
      <c r="D144" s="307">
        <v>2.0</v>
      </c>
      <c r="E144" s="308"/>
      <c r="F144" s="320" t="s">
        <v>1741</v>
      </c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</row>
    <row r="145" ht="15.75" customHeight="1">
      <c r="A145" s="334" t="s">
        <v>1805</v>
      </c>
      <c r="B145" s="192" t="s">
        <v>445</v>
      </c>
      <c r="C145" s="192" t="s">
        <v>1793</v>
      </c>
      <c r="D145" s="307">
        <v>2.0</v>
      </c>
      <c r="E145" s="308"/>
      <c r="F145" s="320" t="s">
        <v>1741</v>
      </c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</row>
    <row r="146" ht="15.75" customHeight="1">
      <c r="A146" s="334" t="s">
        <v>1806</v>
      </c>
      <c r="B146" s="192" t="s">
        <v>445</v>
      </c>
      <c r="C146" s="192" t="s">
        <v>1793</v>
      </c>
      <c r="D146" s="307">
        <v>2.0</v>
      </c>
      <c r="E146" s="308"/>
      <c r="F146" s="320" t="s">
        <v>1741</v>
      </c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</row>
    <row r="147" ht="15.75" customHeight="1">
      <c r="A147" s="321" t="s">
        <v>1807</v>
      </c>
      <c r="B147" s="308" t="s">
        <v>1734</v>
      </c>
      <c r="C147" s="308" t="s">
        <v>1734</v>
      </c>
      <c r="D147" s="307">
        <v>3.0</v>
      </c>
      <c r="E147" s="308"/>
      <c r="F147" s="354" t="s">
        <v>1808</v>
      </c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</row>
    <row r="148" ht="15.75" customHeight="1">
      <c r="A148" s="334" t="s">
        <v>1809</v>
      </c>
      <c r="B148" s="308" t="s">
        <v>1734</v>
      </c>
      <c r="C148" s="308" t="s">
        <v>1734</v>
      </c>
      <c r="D148" s="307">
        <v>3.0</v>
      </c>
      <c r="E148" s="308"/>
      <c r="F148" s="354" t="s">
        <v>1808</v>
      </c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</row>
    <row r="149" ht="15.75" customHeight="1">
      <c r="A149" s="302" t="s">
        <v>1810</v>
      </c>
      <c r="B149" s="303" t="s">
        <v>1734</v>
      </c>
      <c r="C149" s="303" t="s">
        <v>1734</v>
      </c>
      <c r="D149" s="304">
        <v>3.0</v>
      </c>
      <c r="E149" s="303"/>
      <c r="F149" s="305" t="s">
        <v>1811</v>
      </c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</row>
    <row r="150" ht="15.75" customHeight="1">
      <c r="A150" s="355" t="s">
        <v>1812</v>
      </c>
      <c r="B150" s="303"/>
      <c r="C150" s="303"/>
      <c r="D150" s="304">
        <f>sum(D82:D144)</f>
        <v>128</v>
      </c>
      <c r="E150" s="303"/>
      <c r="F150" s="339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</row>
    <row r="151" ht="15.75" customHeight="1">
      <c r="A151" s="340"/>
      <c r="B151" s="342"/>
      <c r="C151" s="342"/>
      <c r="D151" s="342"/>
      <c r="E151" s="342"/>
      <c r="F151" s="343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</row>
    <row r="152" ht="15.75" customHeight="1">
      <c r="A152" s="340"/>
      <c r="B152" s="342"/>
      <c r="C152" s="342"/>
      <c r="D152" s="342"/>
      <c r="E152" s="342"/>
      <c r="F152" s="343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</row>
    <row r="153" ht="15.75" customHeight="1">
      <c r="A153" s="356" t="s">
        <v>1813</v>
      </c>
      <c r="B153" s="299"/>
      <c r="C153" s="299"/>
      <c r="D153" s="298"/>
      <c r="E153" s="298"/>
      <c r="F153" s="353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</row>
    <row r="154" ht="15.75" customHeight="1">
      <c r="A154" s="321" t="s">
        <v>1814</v>
      </c>
      <c r="B154" s="192"/>
      <c r="C154" s="192"/>
      <c r="D154" s="307">
        <v>10.0</v>
      </c>
      <c r="E154" s="308"/>
      <c r="F154" s="320" t="s">
        <v>1815</v>
      </c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</row>
    <row r="155" ht="15.75" customHeight="1">
      <c r="A155" s="321" t="s">
        <v>1816</v>
      </c>
      <c r="B155" s="308"/>
      <c r="C155" s="308"/>
      <c r="D155" s="307">
        <v>10.0</v>
      </c>
      <c r="E155" s="308"/>
      <c r="F155" s="354" t="s">
        <v>1817</v>
      </c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</row>
    <row r="156" ht="15.75" customHeight="1">
      <c r="A156" s="321" t="s">
        <v>1818</v>
      </c>
      <c r="B156" s="192"/>
      <c r="C156" s="192"/>
      <c r="D156" s="307">
        <v>10.0</v>
      </c>
      <c r="E156" s="308"/>
      <c r="F156" s="320" t="s">
        <v>1819</v>
      </c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</row>
    <row r="157" ht="15.75" customHeight="1">
      <c r="A157" s="321" t="s">
        <v>1820</v>
      </c>
      <c r="B157" s="192"/>
      <c r="C157" s="192"/>
      <c r="D157" s="307">
        <v>10.0</v>
      </c>
      <c r="E157" s="308"/>
      <c r="F157" s="320" t="s">
        <v>1821</v>
      </c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</row>
    <row r="158" ht="15.75" customHeight="1">
      <c r="A158" s="321" t="s">
        <v>1822</v>
      </c>
      <c r="B158" s="192"/>
      <c r="C158" s="192"/>
      <c r="D158" s="307">
        <v>10.0</v>
      </c>
      <c r="E158" s="308"/>
      <c r="F158" s="320" t="s">
        <v>1823</v>
      </c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</row>
    <row r="159" ht="15.75" customHeight="1">
      <c r="A159" s="321" t="s">
        <v>1824</v>
      </c>
      <c r="B159" s="308"/>
      <c r="C159" s="308"/>
      <c r="D159" s="307">
        <v>10.0</v>
      </c>
      <c r="E159" s="308"/>
      <c r="F159" s="354" t="s">
        <v>1825</v>
      </c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</row>
    <row r="160" ht="15.75" customHeight="1">
      <c r="A160" s="321" t="s">
        <v>1826</v>
      </c>
      <c r="B160" s="308"/>
      <c r="C160" s="308"/>
      <c r="D160" s="307">
        <v>10.0</v>
      </c>
      <c r="E160" s="308"/>
      <c r="F160" s="354" t="s">
        <v>1827</v>
      </c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</row>
    <row r="161" ht="15.75" customHeight="1">
      <c r="A161" s="321" t="s">
        <v>1828</v>
      </c>
      <c r="B161" s="192"/>
      <c r="C161" s="192"/>
      <c r="D161" s="307">
        <v>10.0</v>
      </c>
      <c r="E161" s="308"/>
      <c r="F161" s="320" t="s">
        <v>1829</v>
      </c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</row>
    <row r="162" ht="15.75" customHeight="1">
      <c r="A162" s="321" t="s">
        <v>1830</v>
      </c>
      <c r="B162" s="192"/>
      <c r="C162" s="192"/>
      <c r="D162" s="307">
        <v>10.0</v>
      </c>
      <c r="E162" s="308"/>
      <c r="F162" s="320" t="s">
        <v>1831</v>
      </c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</row>
    <row r="163" ht="15.75" customHeight="1">
      <c r="A163" s="321" t="s">
        <v>1832</v>
      </c>
      <c r="B163" s="308"/>
      <c r="C163" s="308"/>
      <c r="D163" s="307">
        <v>10.0</v>
      </c>
      <c r="E163" s="308"/>
      <c r="F163" s="354" t="s">
        <v>1833</v>
      </c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</row>
    <row r="164" ht="15.75" customHeight="1">
      <c r="A164" s="321" t="s">
        <v>1834</v>
      </c>
      <c r="B164" s="192"/>
      <c r="C164" s="192"/>
      <c r="D164" s="307">
        <v>10.0</v>
      </c>
      <c r="E164" s="308"/>
      <c r="F164" s="320" t="s">
        <v>1835</v>
      </c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</row>
    <row r="165" ht="15.75" customHeight="1">
      <c r="A165" s="321" t="s">
        <v>1836</v>
      </c>
      <c r="B165" s="192"/>
      <c r="C165" s="192"/>
      <c r="D165" s="307">
        <v>10.0</v>
      </c>
      <c r="E165" s="308"/>
      <c r="F165" s="320" t="s">
        <v>1837</v>
      </c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</row>
    <row r="166" ht="15.75" customHeight="1">
      <c r="A166" s="321" t="s">
        <v>1838</v>
      </c>
      <c r="B166" s="308"/>
      <c r="C166" s="308"/>
      <c r="D166" s="307">
        <v>10.0</v>
      </c>
      <c r="E166" s="308"/>
      <c r="F166" s="354" t="s">
        <v>1839</v>
      </c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</row>
    <row r="167" ht="15.75" customHeight="1">
      <c r="A167" s="321" t="s">
        <v>1840</v>
      </c>
      <c r="B167" s="308"/>
      <c r="C167" s="308"/>
      <c r="D167" s="307">
        <v>10.0</v>
      </c>
      <c r="E167" s="308"/>
      <c r="F167" s="354" t="s">
        <v>1841</v>
      </c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</row>
    <row r="168" ht="15.75" customHeight="1">
      <c r="A168" s="321" t="s">
        <v>1842</v>
      </c>
      <c r="B168" s="192"/>
      <c r="C168" s="192"/>
      <c r="D168" s="307">
        <v>10.0</v>
      </c>
      <c r="E168" s="308"/>
      <c r="F168" s="320" t="s">
        <v>1843</v>
      </c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</row>
    <row r="169" ht="15.75" customHeight="1">
      <c r="A169" s="321" t="s">
        <v>1844</v>
      </c>
      <c r="B169" s="192"/>
      <c r="C169" s="192"/>
      <c r="D169" s="307">
        <v>10.0</v>
      </c>
      <c r="E169" s="308"/>
      <c r="F169" s="320" t="s">
        <v>1845</v>
      </c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</row>
    <row r="170" ht="15.75" customHeight="1">
      <c r="A170" s="321" t="s">
        <v>1846</v>
      </c>
      <c r="B170" s="192"/>
      <c r="C170" s="192"/>
      <c r="D170" s="307">
        <v>10.0</v>
      </c>
      <c r="E170" s="308"/>
      <c r="F170" s="320" t="s">
        <v>1847</v>
      </c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</row>
    <row r="171" ht="15.75" customHeight="1">
      <c r="A171" s="348" t="s">
        <v>1848</v>
      </c>
      <c r="B171" s="303"/>
      <c r="C171" s="303"/>
      <c r="D171" s="304">
        <v>10.0</v>
      </c>
      <c r="E171" s="303"/>
      <c r="F171" s="305" t="s">
        <v>1849</v>
      </c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</row>
    <row r="172" ht="15.75" customHeight="1">
      <c r="A172" s="355" t="s">
        <v>1850</v>
      </c>
      <c r="B172" s="337"/>
      <c r="C172" s="337"/>
      <c r="D172" s="304">
        <f>SUM(D154:D171)</f>
        <v>180</v>
      </c>
      <c r="E172" s="303"/>
      <c r="F172" s="339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</row>
    <row r="173" ht="15.75" customHeight="1">
      <c r="A173" s="357"/>
      <c r="B173" s="341"/>
      <c r="C173" s="341"/>
      <c r="D173" s="358"/>
      <c r="E173" s="342"/>
      <c r="F173" s="343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</row>
    <row r="174" ht="15.75" customHeight="1">
      <c r="A174" s="357"/>
      <c r="B174" s="341"/>
      <c r="C174" s="341"/>
      <c r="D174" s="358"/>
      <c r="E174" s="342"/>
      <c r="F174" s="343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</row>
    <row r="175" ht="15.75" customHeight="1">
      <c r="A175" s="352" t="s">
        <v>226</v>
      </c>
      <c r="B175" s="298"/>
      <c r="C175" s="298"/>
      <c r="D175" s="298"/>
      <c r="E175" s="298"/>
      <c r="F175" s="353"/>
      <c r="G175" s="359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</row>
    <row r="176" ht="15.75" customHeight="1">
      <c r="A176" s="334" t="s">
        <v>1851</v>
      </c>
      <c r="B176" s="308"/>
      <c r="C176" s="308"/>
      <c r="D176" s="307">
        <v>10.0</v>
      </c>
      <c r="E176" s="308"/>
      <c r="F176" s="354" t="s">
        <v>1852</v>
      </c>
      <c r="G176" s="359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</row>
    <row r="177" ht="15.75" customHeight="1">
      <c r="A177" s="360" t="s">
        <v>1851</v>
      </c>
      <c r="B177" s="219"/>
      <c r="C177" s="219"/>
      <c r="D177" s="331">
        <v>10.0</v>
      </c>
      <c r="E177" s="219"/>
      <c r="F177" s="361" t="s">
        <v>1853</v>
      </c>
      <c r="G177" s="359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</row>
    <row r="178" ht="15.75" customHeight="1">
      <c r="A178" s="360" t="s">
        <v>1851</v>
      </c>
      <c r="B178" s="219"/>
      <c r="C178" s="219"/>
      <c r="D178" s="331">
        <v>10.0</v>
      </c>
      <c r="E178" s="219"/>
      <c r="F178" s="361" t="s">
        <v>1854</v>
      </c>
      <c r="G178" s="359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</row>
    <row r="179" ht="15.75" customHeight="1">
      <c r="A179" s="360" t="s">
        <v>1851</v>
      </c>
      <c r="B179" s="219"/>
      <c r="C179" s="219"/>
      <c r="D179" s="331">
        <v>10.0</v>
      </c>
      <c r="E179" s="219"/>
      <c r="F179" s="361" t="s">
        <v>1855</v>
      </c>
      <c r="G179" s="359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</row>
    <row r="180" ht="15.75" customHeight="1">
      <c r="A180" s="360" t="s">
        <v>1851</v>
      </c>
      <c r="B180" s="219"/>
      <c r="C180" s="219"/>
      <c r="D180" s="331">
        <v>10.0</v>
      </c>
      <c r="E180" s="219"/>
      <c r="F180" s="361" t="s">
        <v>1856</v>
      </c>
      <c r="G180" s="359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</row>
    <row r="181" ht="15.75" customHeight="1">
      <c r="A181" s="360" t="s">
        <v>1851</v>
      </c>
      <c r="B181" s="219"/>
      <c r="C181" s="219"/>
      <c r="D181" s="331">
        <v>10.0</v>
      </c>
      <c r="E181" s="219"/>
      <c r="F181" s="361" t="s">
        <v>1857</v>
      </c>
      <c r="G181" s="359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</row>
    <row r="182" ht="15.75" customHeight="1">
      <c r="A182" s="362" t="s">
        <v>1851</v>
      </c>
      <c r="B182" s="363"/>
      <c r="C182" s="363"/>
      <c r="D182" s="364">
        <v>10.0</v>
      </c>
      <c r="E182" s="363"/>
      <c r="F182" s="365" t="s">
        <v>1858</v>
      </c>
      <c r="G182" s="359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</row>
    <row r="183" ht="15.75" customHeight="1">
      <c r="A183" s="366" t="s">
        <v>233</v>
      </c>
      <c r="B183" s="363"/>
      <c r="C183" s="363"/>
      <c r="D183" s="364">
        <f>SUM(D176:D182)</f>
        <v>70</v>
      </c>
      <c r="E183" s="363"/>
      <c r="F183" s="339"/>
      <c r="G183" s="359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</row>
    <row r="184" ht="15.75" customHeight="1">
      <c r="A184" s="367"/>
      <c r="B184" s="359"/>
      <c r="C184" s="359"/>
      <c r="D184" s="359"/>
      <c r="E184" s="359"/>
      <c r="F184" s="368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</row>
    <row r="185" ht="15.75" customHeight="1">
      <c r="A185" s="367"/>
      <c r="B185" s="359"/>
      <c r="C185" s="359"/>
      <c r="D185" s="359"/>
      <c r="E185" s="359"/>
      <c r="F185" s="368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</row>
    <row r="186" ht="15.75" customHeight="1">
      <c r="A186" s="369" t="s">
        <v>1859</v>
      </c>
      <c r="B186" s="370"/>
      <c r="C186" s="370"/>
      <c r="D186" s="370"/>
      <c r="E186" s="370"/>
      <c r="F186" s="353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</row>
    <row r="187" ht="15.75" customHeight="1">
      <c r="A187" s="330" t="s">
        <v>1860</v>
      </c>
      <c r="B187" s="219"/>
      <c r="C187" s="219"/>
      <c r="D187" s="331">
        <v>10.0</v>
      </c>
      <c r="E187" s="219"/>
      <c r="F187" s="322" t="s">
        <v>1861</v>
      </c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</row>
    <row r="188" ht="15.75" customHeight="1">
      <c r="A188" s="330" t="s">
        <v>1862</v>
      </c>
      <c r="B188" s="219"/>
      <c r="C188" s="219"/>
      <c r="D188" s="331">
        <v>10.0</v>
      </c>
      <c r="E188" s="219"/>
      <c r="F188" s="322" t="s">
        <v>1863</v>
      </c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</row>
    <row r="189" ht="15.75" customHeight="1">
      <c r="A189" s="330" t="s">
        <v>1864</v>
      </c>
      <c r="B189" s="219"/>
      <c r="C189" s="219"/>
      <c r="D189" s="331">
        <v>10.0</v>
      </c>
      <c r="E189" s="219"/>
      <c r="F189" s="322" t="s">
        <v>1865</v>
      </c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</row>
    <row r="190" ht="15.75" customHeight="1">
      <c r="A190" s="330" t="s">
        <v>1866</v>
      </c>
      <c r="B190" s="219"/>
      <c r="C190" s="219"/>
      <c r="D190" s="331">
        <v>10.0</v>
      </c>
      <c r="E190" s="219"/>
      <c r="F190" s="322" t="s">
        <v>1867</v>
      </c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</row>
    <row r="191" ht="15.75" customHeight="1">
      <c r="A191" s="330" t="s">
        <v>1868</v>
      </c>
      <c r="B191" s="219"/>
      <c r="C191" s="219"/>
      <c r="D191" s="331">
        <v>10.0</v>
      </c>
      <c r="E191" s="219"/>
      <c r="F191" s="322" t="s">
        <v>1869</v>
      </c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</row>
    <row r="192" ht="15.75" customHeight="1">
      <c r="A192" s="330" t="s">
        <v>1870</v>
      </c>
      <c r="B192" s="219"/>
      <c r="C192" s="219"/>
      <c r="D192" s="331">
        <v>10.0</v>
      </c>
      <c r="E192" s="219"/>
      <c r="F192" s="322" t="s">
        <v>1871</v>
      </c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</row>
    <row r="193" ht="15.75" customHeight="1">
      <c r="A193" s="330" t="s">
        <v>1314</v>
      </c>
      <c r="B193" s="219"/>
      <c r="C193" s="219"/>
      <c r="D193" s="371">
        <v>30.0</v>
      </c>
      <c r="E193" s="219"/>
      <c r="F193" s="322" t="s">
        <v>1315</v>
      </c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</row>
    <row r="194" ht="15.75" customHeight="1">
      <c r="A194" s="330" t="s">
        <v>1872</v>
      </c>
      <c r="B194" s="219"/>
      <c r="C194" s="219"/>
      <c r="D194" s="371">
        <v>30.0</v>
      </c>
      <c r="E194" s="219"/>
      <c r="F194" s="322" t="s">
        <v>1383</v>
      </c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</row>
    <row r="195" ht="15.75" customHeight="1">
      <c r="A195" s="330" t="s">
        <v>1873</v>
      </c>
      <c r="B195" s="219"/>
      <c r="C195" s="219"/>
      <c r="D195" s="371">
        <v>30.0</v>
      </c>
      <c r="E195" s="219"/>
      <c r="F195" s="322" t="s">
        <v>1419</v>
      </c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</row>
    <row r="196" ht="15.75" customHeight="1">
      <c r="A196" s="330" t="s">
        <v>1874</v>
      </c>
      <c r="B196" s="219"/>
      <c r="C196" s="219"/>
      <c r="D196" s="371">
        <v>30.0</v>
      </c>
      <c r="E196" s="219"/>
      <c r="F196" s="322" t="s">
        <v>1488</v>
      </c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</row>
    <row r="197" ht="15.75" customHeight="1">
      <c r="A197" s="330" t="s">
        <v>1875</v>
      </c>
      <c r="B197" s="219"/>
      <c r="C197" s="219"/>
      <c r="D197" s="371">
        <v>30.0</v>
      </c>
      <c r="E197" s="219"/>
      <c r="F197" s="322" t="s">
        <v>1553</v>
      </c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</row>
    <row r="198" ht="15.75" customHeight="1">
      <c r="A198" s="330" t="s">
        <v>1876</v>
      </c>
      <c r="B198" s="219"/>
      <c r="C198" s="219"/>
      <c r="D198" s="371">
        <v>30.0</v>
      </c>
      <c r="E198" s="219"/>
      <c r="F198" s="322" t="s">
        <v>1593</v>
      </c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</row>
    <row r="199" ht="15.75" customHeight="1">
      <c r="A199" s="330" t="s">
        <v>1877</v>
      </c>
      <c r="B199" s="219"/>
      <c r="C199" s="219"/>
      <c r="D199" s="371">
        <v>50.0</v>
      </c>
      <c r="E199" s="219"/>
      <c r="F199" s="322" t="s">
        <v>1878</v>
      </c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</row>
    <row r="200" ht="15.75" customHeight="1">
      <c r="A200" s="330" t="s">
        <v>1879</v>
      </c>
      <c r="B200" s="219"/>
      <c r="C200" s="219"/>
      <c r="D200" s="371">
        <v>50.0</v>
      </c>
      <c r="E200" s="219"/>
      <c r="F200" s="322" t="s">
        <v>1880</v>
      </c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</row>
    <row r="201" ht="15.75" customHeight="1">
      <c r="A201" s="330" t="s">
        <v>1881</v>
      </c>
      <c r="B201" s="219"/>
      <c r="C201" s="219"/>
      <c r="D201" s="371">
        <v>50.0</v>
      </c>
      <c r="E201" s="219"/>
      <c r="F201" s="322" t="s">
        <v>1882</v>
      </c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</row>
    <row r="202" ht="15.75" customHeight="1">
      <c r="A202" s="330" t="s">
        <v>1883</v>
      </c>
      <c r="B202" s="219"/>
      <c r="C202" s="219"/>
      <c r="D202" s="371">
        <v>50.0</v>
      </c>
      <c r="E202" s="219"/>
      <c r="F202" s="322" t="s">
        <v>1884</v>
      </c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</row>
    <row r="203" ht="15.75" customHeight="1">
      <c r="A203" s="330" t="s">
        <v>1885</v>
      </c>
      <c r="B203" s="219"/>
      <c r="C203" s="219"/>
      <c r="D203" s="371">
        <v>50.0</v>
      </c>
      <c r="E203" s="219"/>
      <c r="F203" s="322" t="s">
        <v>1886</v>
      </c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</row>
    <row r="204" ht="15.75" customHeight="1">
      <c r="A204" s="330" t="s">
        <v>1887</v>
      </c>
      <c r="B204" s="219"/>
      <c r="C204" s="219"/>
      <c r="D204" s="371">
        <v>50.0</v>
      </c>
      <c r="E204" s="219"/>
      <c r="F204" s="322" t="s">
        <v>1888</v>
      </c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</row>
    <row r="205" ht="15.75" customHeight="1">
      <c r="A205" s="372" t="s">
        <v>1889</v>
      </c>
      <c r="B205" s="373"/>
      <c r="C205" s="373"/>
      <c r="D205" s="374">
        <f>SUM(D187:D204)</f>
        <v>540</v>
      </c>
      <c r="E205" s="373"/>
      <c r="F205" s="375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</row>
    <row r="206" ht="15.75" customHeight="1">
      <c r="A206" s="376"/>
      <c r="B206" s="301"/>
      <c r="C206" s="301"/>
      <c r="D206" s="301"/>
      <c r="E206" s="301"/>
      <c r="F206" s="343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</row>
    <row r="207" ht="15.75" customHeight="1">
      <c r="A207" s="376"/>
      <c r="B207" s="301"/>
      <c r="C207" s="301"/>
      <c r="D207" s="301"/>
      <c r="E207" s="301"/>
      <c r="F207" s="343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</row>
    <row r="208" ht="15.75" customHeight="1">
      <c r="A208" s="369" t="s">
        <v>1890</v>
      </c>
      <c r="B208" s="377" t="s">
        <v>1891</v>
      </c>
      <c r="C208" s="378"/>
      <c r="D208" s="378"/>
      <c r="E208" s="377" t="s">
        <v>1892</v>
      </c>
      <c r="F208" s="347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</row>
    <row r="209" ht="15.75" customHeight="1">
      <c r="A209" s="360" t="s">
        <v>1893</v>
      </c>
      <c r="B209" s="219">
        <v>3.0</v>
      </c>
      <c r="C209" s="219" t="s">
        <v>1737</v>
      </c>
      <c r="D209" s="331">
        <v>2.0</v>
      </c>
      <c r="E209" s="331">
        <v>0.0</v>
      </c>
      <c r="F209" s="361" t="s">
        <v>1894</v>
      </c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</row>
    <row r="210" ht="15.75" customHeight="1">
      <c r="A210" s="360" t="s">
        <v>1895</v>
      </c>
      <c r="B210" s="219">
        <v>4.0</v>
      </c>
      <c r="C210" s="219" t="s">
        <v>1737</v>
      </c>
      <c r="D210" s="331">
        <v>3.0</v>
      </c>
      <c r="E210" s="331">
        <v>0.0</v>
      </c>
      <c r="F210" s="361" t="s">
        <v>1894</v>
      </c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</row>
    <row r="211" ht="15.75" customHeight="1">
      <c r="A211" s="360" t="s">
        <v>1896</v>
      </c>
      <c r="B211" s="219">
        <v>3.0</v>
      </c>
      <c r="C211" s="219" t="s">
        <v>1752</v>
      </c>
      <c r="D211" s="331">
        <v>2.0</v>
      </c>
      <c r="E211" s="331">
        <v>0.0</v>
      </c>
      <c r="F211" s="361" t="s">
        <v>1897</v>
      </c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</row>
    <row r="212" ht="15.75" customHeight="1">
      <c r="A212" s="360" t="s">
        <v>1898</v>
      </c>
      <c r="B212" s="219">
        <v>4.0</v>
      </c>
      <c r="C212" s="219" t="s">
        <v>1752</v>
      </c>
      <c r="D212" s="331">
        <v>3.0</v>
      </c>
      <c r="E212" s="331">
        <v>0.0</v>
      </c>
      <c r="F212" s="361" t="s">
        <v>1897</v>
      </c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</row>
    <row r="213" ht="15.75" customHeight="1">
      <c r="A213" s="360" t="s">
        <v>1899</v>
      </c>
      <c r="B213" s="219">
        <v>3.0</v>
      </c>
      <c r="C213" s="219" t="s">
        <v>1766</v>
      </c>
      <c r="D213" s="331">
        <v>2.0</v>
      </c>
      <c r="E213" s="331">
        <v>0.0</v>
      </c>
      <c r="F213" s="361" t="s">
        <v>1900</v>
      </c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</row>
    <row r="214" ht="15.75" customHeight="1">
      <c r="A214" s="360" t="s">
        <v>1901</v>
      </c>
      <c r="B214" s="219">
        <v>4.0</v>
      </c>
      <c r="C214" s="219" t="s">
        <v>1766</v>
      </c>
      <c r="D214" s="331">
        <v>3.0</v>
      </c>
      <c r="E214" s="331">
        <v>0.0</v>
      </c>
      <c r="F214" s="361" t="s">
        <v>1900</v>
      </c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</row>
    <row r="215" ht="15.75" customHeight="1">
      <c r="A215" s="360" t="s">
        <v>1902</v>
      </c>
      <c r="B215" s="219">
        <v>3.0</v>
      </c>
      <c r="C215" s="219" t="s">
        <v>1779</v>
      </c>
      <c r="D215" s="331">
        <v>2.0</v>
      </c>
      <c r="E215" s="331">
        <v>0.0</v>
      </c>
      <c r="F215" s="361" t="s">
        <v>1903</v>
      </c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</row>
    <row r="216" ht="15.75" customHeight="1">
      <c r="A216" s="360" t="s">
        <v>1904</v>
      </c>
      <c r="B216" s="219">
        <v>4.0</v>
      </c>
      <c r="C216" s="219" t="s">
        <v>1779</v>
      </c>
      <c r="D216" s="331">
        <v>3.0</v>
      </c>
      <c r="E216" s="331">
        <v>0.0</v>
      </c>
      <c r="F216" s="361" t="s">
        <v>1903</v>
      </c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</row>
    <row r="217" ht="15.75" customHeight="1">
      <c r="A217" s="360" t="s">
        <v>1905</v>
      </c>
      <c r="B217" s="219">
        <v>3.0</v>
      </c>
      <c r="C217" s="219" t="s">
        <v>1793</v>
      </c>
      <c r="D217" s="331">
        <v>2.0</v>
      </c>
      <c r="E217" s="331">
        <v>0.0</v>
      </c>
      <c r="F217" s="361" t="s">
        <v>1906</v>
      </c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</row>
    <row r="218" ht="15.75" customHeight="1">
      <c r="A218" s="360" t="s">
        <v>1907</v>
      </c>
      <c r="B218" s="219">
        <v>4.0</v>
      </c>
      <c r="C218" s="219" t="s">
        <v>1793</v>
      </c>
      <c r="D218" s="331">
        <v>3.0</v>
      </c>
      <c r="E218" s="331">
        <v>0.0</v>
      </c>
      <c r="F218" s="361" t="s">
        <v>1906</v>
      </c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</row>
    <row r="219" ht="15.75" customHeight="1">
      <c r="A219" s="360" t="s">
        <v>1908</v>
      </c>
      <c r="B219" s="219">
        <v>3.0</v>
      </c>
      <c r="C219" s="219" t="s">
        <v>450</v>
      </c>
      <c r="D219" s="331">
        <v>6.0</v>
      </c>
      <c r="E219" s="331">
        <v>0.0</v>
      </c>
      <c r="F219" s="361" t="s">
        <v>1909</v>
      </c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</row>
    <row r="220" ht="15.75" customHeight="1">
      <c r="A220" s="360" t="s">
        <v>1910</v>
      </c>
      <c r="B220" s="219">
        <v>4.0</v>
      </c>
      <c r="C220" s="219" t="s">
        <v>450</v>
      </c>
      <c r="D220" s="331">
        <v>9.0</v>
      </c>
      <c r="E220" s="331">
        <v>0.0</v>
      </c>
      <c r="F220" s="361" t="s">
        <v>1909</v>
      </c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</row>
    <row r="221" ht="15.75" customHeight="1">
      <c r="A221" s="360" t="s">
        <v>1911</v>
      </c>
      <c r="B221" s="219">
        <v>3.0</v>
      </c>
      <c r="C221" s="219" t="s">
        <v>1912</v>
      </c>
      <c r="D221" s="331">
        <v>2.0</v>
      </c>
      <c r="E221" s="331">
        <v>0.0</v>
      </c>
      <c r="F221" s="361" t="s">
        <v>1913</v>
      </c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</row>
    <row r="222" ht="15.75" customHeight="1">
      <c r="A222" s="360" t="s">
        <v>1914</v>
      </c>
      <c r="B222" s="219">
        <v>4.0</v>
      </c>
      <c r="C222" s="219" t="s">
        <v>1912</v>
      </c>
      <c r="D222" s="331">
        <v>3.0</v>
      </c>
      <c r="E222" s="331">
        <v>0.0</v>
      </c>
      <c r="F222" s="361" t="s">
        <v>1913</v>
      </c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</row>
    <row r="223" ht="15.75" customHeight="1">
      <c r="A223" s="379" t="s">
        <v>1915</v>
      </c>
      <c r="B223" s="380"/>
      <c r="C223" s="380"/>
      <c r="D223" s="374">
        <f>SUM(D209*(E209+1),D210*(E210+1),D211*(E211+1),D212*(E212+1),D213*(E213+1),D214*(E214+1),D215*(E215+1),D216*(E216+1),D217*(E217+1),D218*(E218+1),D219*(E219+1),D220*(E220+1),D221*(E221+1),D222*(E222+1))</f>
        <v>45</v>
      </c>
      <c r="E223" s="380"/>
      <c r="F223" s="38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</row>
    <row r="224" ht="15.75" customHeight="1">
      <c r="A224" s="376"/>
      <c r="B224" s="301"/>
      <c r="C224" s="301"/>
      <c r="D224" s="301"/>
      <c r="E224" s="301"/>
      <c r="F224" s="343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</row>
    <row r="225" ht="15.75" customHeight="1">
      <c r="A225" s="376"/>
      <c r="B225" s="301"/>
      <c r="C225" s="301"/>
      <c r="D225" s="301"/>
      <c r="E225" s="301"/>
      <c r="F225" s="343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</row>
    <row r="226" ht="15.75" customHeight="1">
      <c r="A226" s="369" t="s">
        <v>1916</v>
      </c>
      <c r="B226" s="377" t="s">
        <v>1891</v>
      </c>
      <c r="C226" s="370"/>
      <c r="D226" s="370"/>
      <c r="E226" s="370"/>
      <c r="F226" s="353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</row>
    <row r="227" ht="15.75" customHeight="1">
      <c r="A227" s="360" t="s">
        <v>1917</v>
      </c>
      <c r="B227" s="382">
        <v>3.0</v>
      </c>
      <c r="C227" s="219" t="s">
        <v>1918</v>
      </c>
      <c r="D227" s="177">
        <v>10.0</v>
      </c>
      <c r="E227" s="219"/>
      <c r="F227" s="361" t="s">
        <v>1919</v>
      </c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</row>
    <row r="228" ht="15.75" customHeight="1">
      <c r="A228" s="383" t="s">
        <v>1920</v>
      </c>
      <c r="B228" s="363">
        <v>3.0</v>
      </c>
      <c r="C228" s="363" t="s">
        <v>1918</v>
      </c>
      <c r="D228" s="363">
        <v>10.0</v>
      </c>
      <c r="E228" s="363"/>
      <c r="F228" s="384" t="s">
        <v>1921</v>
      </c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</row>
    <row r="229" ht="15.75" customHeight="1">
      <c r="A229" s="366" t="s">
        <v>1922</v>
      </c>
      <c r="B229" s="363"/>
      <c r="C229" s="363"/>
      <c r="D229" s="364">
        <f>SUM(D227:D228)</f>
        <v>20</v>
      </c>
      <c r="E229" s="363"/>
      <c r="F229" s="339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</row>
    <row r="230" ht="15.75" customHeight="1">
      <c r="A230" s="376"/>
      <c r="B230" s="301"/>
      <c r="C230" s="301"/>
      <c r="D230" s="301"/>
      <c r="E230" s="301"/>
      <c r="F230" s="343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</row>
    <row r="231" ht="15.75" customHeight="1">
      <c r="A231" s="376"/>
      <c r="B231" s="301"/>
      <c r="C231" s="301"/>
      <c r="D231" s="301"/>
      <c r="E231" s="301"/>
      <c r="F231" s="343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</row>
    <row r="232" ht="15.75" customHeight="1">
      <c r="A232" s="369" t="s">
        <v>1923</v>
      </c>
      <c r="B232" s="370"/>
      <c r="C232" s="370"/>
      <c r="D232" s="370"/>
      <c r="E232" s="377" t="s">
        <v>1924</v>
      </c>
      <c r="F232" s="353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</row>
    <row r="233" ht="15.75" customHeight="1">
      <c r="A233" s="360" t="s">
        <v>1925</v>
      </c>
      <c r="B233" s="177" t="s">
        <v>1926</v>
      </c>
      <c r="C233" s="219" t="s">
        <v>1927</v>
      </c>
      <c r="D233" s="331">
        <v>5.0</v>
      </c>
      <c r="E233" s="331">
        <v>9.0</v>
      </c>
      <c r="F233" s="361" t="s">
        <v>1928</v>
      </c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</row>
    <row r="234" ht="15.75" customHeight="1">
      <c r="A234" s="360" t="s">
        <v>1929</v>
      </c>
      <c r="B234" s="177" t="s">
        <v>1926</v>
      </c>
      <c r="C234" s="219" t="s">
        <v>1927</v>
      </c>
      <c r="D234" s="331">
        <v>5.0</v>
      </c>
      <c r="E234" s="331">
        <v>9.0</v>
      </c>
      <c r="F234" s="361" t="s">
        <v>1912</v>
      </c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</row>
    <row r="235" ht="15.75" customHeight="1">
      <c r="A235" s="360" t="s">
        <v>1930</v>
      </c>
      <c r="B235" s="177" t="s">
        <v>1926</v>
      </c>
      <c r="C235" s="219" t="s">
        <v>1931</v>
      </c>
      <c r="D235" s="331">
        <v>5.0</v>
      </c>
      <c r="E235" s="331">
        <v>9.0</v>
      </c>
      <c r="F235" s="361" t="s">
        <v>1932</v>
      </c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</row>
    <row r="236" ht="15.75" customHeight="1">
      <c r="A236" s="360" t="s">
        <v>1933</v>
      </c>
      <c r="B236" s="177" t="s">
        <v>1926</v>
      </c>
      <c r="C236" s="219" t="s">
        <v>1931</v>
      </c>
      <c r="D236" s="331">
        <v>5.0</v>
      </c>
      <c r="E236" s="331">
        <v>9.0</v>
      </c>
      <c r="F236" s="361" t="s">
        <v>1934</v>
      </c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</row>
    <row r="237" ht="15.75" customHeight="1">
      <c r="A237" s="360" t="s">
        <v>1935</v>
      </c>
      <c r="B237" s="177" t="s">
        <v>1926</v>
      </c>
      <c r="C237" s="219" t="s">
        <v>1931</v>
      </c>
      <c r="D237" s="331">
        <v>5.0</v>
      </c>
      <c r="E237" s="331">
        <v>9.0</v>
      </c>
      <c r="F237" s="361" t="s">
        <v>1936</v>
      </c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</row>
    <row r="238" ht="15.75" customHeight="1">
      <c r="A238" s="360" t="s">
        <v>1937</v>
      </c>
      <c r="B238" s="177" t="s">
        <v>1926</v>
      </c>
      <c r="C238" s="219" t="s">
        <v>445</v>
      </c>
      <c r="D238" s="331">
        <v>5.0</v>
      </c>
      <c r="E238" s="331">
        <v>9.0</v>
      </c>
      <c r="F238" s="361" t="s">
        <v>1938</v>
      </c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</row>
    <row r="239" ht="15.75" customHeight="1">
      <c r="A239" s="360" t="s">
        <v>1939</v>
      </c>
      <c r="B239" s="177" t="s">
        <v>1926</v>
      </c>
      <c r="C239" s="219" t="s">
        <v>446</v>
      </c>
      <c r="D239" s="331">
        <v>5.0</v>
      </c>
      <c r="E239" s="331">
        <v>9.0</v>
      </c>
      <c r="F239" s="361" t="s">
        <v>1938</v>
      </c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</row>
    <row r="240" ht="15.75" customHeight="1">
      <c r="A240" s="360" t="s">
        <v>1940</v>
      </c>
      <c r="B240" s="177" t="s">
        <v>1926</v>
      </c>
      <c r="C240" s="219" t="s">
        <v>447</v>
      </c>
      <c r="D240" s="331">
        <v>5.0</v>
      </c>
      <c r="E240" s="331">
        <v>9.0</v>
      </c>
      <c r="F240" s="361" t="s">
        <v>1938</v>
      </c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</row>
    <row r="241" ht="15.75" customHeight="1">
      <c r="A241" s="360" t="s">
        <v>1941</v>
      </c>
      <c r="B241" s="177" t="s">
        <v>1926</v>
      </c>
      <c r="C241" s="219" t="s">
        <v>448</v>
      </c>
      <c r="D241" s="331">
        <v>5.0</v>
      </c>
      <c r="E241" s="331">
        <v>9.0</v>
      </c>
      <c r="F241" s="361" t="s">
        <v>1938</v>
      </c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</row>
    <row r="242" ht="15.75" customHeight="1">
      <c r="A242" s="360" t="s">
        <v>1942</v>
      </c>
      <c r="B242" s="177" t="s">
        <v>1926</v>
      </c>
      <c r="C242" s="219" t="s">
        <v>449</v>
      </c>
      <c r="D242" s="331">
        <v>5.0</v>
      </c>
      <c r="E242" s="331">
        <v>9.0</v>
      </c>
      <c r="F242" s="361" t="s">
        <v>1938</v>
      </c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</row>
    <row r="243" ht="15.75" customHeight="1">
      <c r="A243" s="385" t="s">
        <v>1943</v>
      </c>
      <c r="B243" s="177" t="s">
        <v>1926</v>
      </c>
      <c r="C243" s="219" t="s">
        <v>450</v>
      </c>
      <c r="D243" s="219">
        <v>5.0</v>
      </c>
      <c r="E243" s="331">
        <v>9.0</v>
      </c>
      <c r="F243" s="386" t="s">
        <v>1938</v>
      </c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</row>
    <row r="244" ht="15.75" customHeight="1">
      <c r="A244" s="379" t="s">
        <v>1944</v>
      </c>
      <c r="B244" s="373"/>
      <c r="C244" s="373"/>
      <c r="D244" s="374">
        <f>SUM(D233*(E233+1),D234*(E234+1),D235*(E235+1),D236*(E236+1),D237*(E237+1),D238*(E238+1))</f>
        <v>300</v>
      </c>
      <c r="E244" s="373"/>
      <c r="F244" s="375"/>
      <c r="G244" s="387"/>
      <c r="H244" s="387"/>
      <c r="I244" s="387"/>
      <c r="J244" s="387"/>
      <c r="K244" s="387"/>
      <c r="L244" s="387"/>
      <c r="M244" s="387"/>
      <c r="N244" s="387"/>
      <c r="O244" s="387"/>
      <c r="P244" s="387"/>
      <c r="Q244" s="387"/>
      <c r="R244" s="387"/>
      <c r="S244" s="387"/>
      <c r="T244" s="387"/>
      <c r="U244" s="387"/>
    </row>
    <row r="245" ht="15.75" customHeight="1">
      <c r="A245" s="376"/>
      <c r="B245" s="301"/>
      <c r="C245" s="301"/>
      <c r="D245" s="301"/>
      <c r="E245" s="301"/>
      <c r="F245" s="343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</row>
    <row r="246" ht="15.75" customHeight="1">
      <c r="A246" s="376"/>
      <c r="B246" s="301"/>
      <c r="C246" s="301"/>
      <c r="D246" s="301"/>
      <c r="E246" s="301"/>
      <c r="F246" s="343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</row>
    <row r="247" ht="15.75" customHeight="1">
      <c r="A247" s="369" t="s">
        <v>220</v>
      </c>
      <c r="B247" s="370"/>
      <c r="C247" s="370"/>
      <c r="D247" s="370"/>
      <c r="E247" s="370"/>
      <c r="F247" s="353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</row>
    <row r="248" ht="15.75" customHeight="1">
      <c r="A248" s="360" t="s">
        <v>1945</v>
      </c>
      <c r="B248" s="219" t="s">
        <v>1946</v>
      </c>
      <c r="C248" s="219" t="s">
        <v>1947</v>
      </c>
      <c r="D248" s="331">
        <v>5.0</v>
      </c>
      <c r="E248" s="219"/>
      <c r="F248" s="361" t="s">
        <v>1948</v>
      </c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</row>
    <row r="249" ht="15.75" customHeight="1">
      <c r="A249" s="360" t="s">
        <v>1949</v>
      </c>
      <c r="B249" s="219" t="s">
        <v>1946</v>
      </c>
      <c r="C249" s="219" t="s">
        <v>1947</v>
      </c>
      <c r="D249" s="331">
        <v>5.0</v>
      </c>
      <c r="E249" s="219"/>
      <c r="F249" s="361" t="s">
        <v>1948</v>
      </c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</row>
    <row r="250" ht="15.75" customHeight="1">
      <c r="A250" s="360" t="s">
        <v>1950</v>
      </c>
      <c r="B250" s="219" t="s">
        <v>1946</v>
      </c>
      <c r="C250" s="219" t="s">
        <v>1947</v>
      </c>
      <c r="D250" s="331">
        <v>5.0</v>
      </c>
      <c r="E250" s="219"/>
      <c r="F250" s="361" t="s">
        <v>1948</v>
      </c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</row>
    <row r="251" ht="15.75" customHeight="1">
      <c r="A251" s="360" t="s">
        <v>1951</v>
      </c>
      <c r="B251" s="219" t="s">
        <v>1946</v>
      </c>
      <c r="C251" s="219" t="s">
        <v>1947</v>
      </c>
      <c r="D251" s="331">
        <v>5.0</v>
      </c>
      <c r="E251" s="219"/>
      <c r="F251" s="361" t="s">
        <v>1948</v>
      </c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</row>
    <row r="252" ht="15.75" customHeight="1">
      <c r="A252" s="360" t="s">
        <v>1952</v>
      </c>
      <c r="B252" s="219" t="s">
        <v>1953</v>
      </c>
      <c r="C252" s="219" t="s">
        <v>1954</v>
      </c>
      <c r="D252" s="331">
        <v>12.0</v>
      </c>
      <c r="E252" s="219"/>
      <c r="F252" s="361" t="s">
        <v>1955</v>
      </c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</row>
    <row r="253" ht="15.75" customHeight="1">
      <c r="A253" s="372" t="s">
        <v>225</v>
      </c>
      <c r="B253" s="373"/>
      <c r="C253" s="373"/>
      <c r="D253" s="374">
        <f>SUM(D248:D252)</f>
        <v>32</v>
      </c>
      <c r="E253" s="373"/>
      <c r="F253" s="375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</row>
    <row r="254" ht="15.75" customHeight="1">
      <c r="A254" s="376"/>
      <c r="B254" s="301"/>
      <c r="C254" s="301"/>
      <c r="D254" s="301"/>
      <c r="E254" s="301"/>
      <c r="F254" s="388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</row>
    <row r="255" ht="15.75" customHeight="1">
      <c r="A255" s="376"/>
      <c r="B255" s="301"/>
      <c r="C255" s="301"/>
      <c r="D255" s="301"/>
      <c r="E255" s="301"/>
      <c r="F255" s="388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</row>
    <row r="256" ht="15.75" customHeight="1">
      <c r="A256" s="369" t="s">
        <v>37</v>
      </c>
      <c r="B256" s="370"/>
      <c r="C256" s="370"/>
      <c r="D256" s="370"/>
      <c r="E256" s="370"/>
      <c r="F256" s="389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</row>
    <row r="257" ht="15.75" customHeight="1">
      <c r="A257" s="147" t="s">
        <v>1182</v>
      </c>
      <c r="B257" s="219"/>
      <c r="C257" s="219"/>
      <c r="D257" s="177">
        <v>3.0</v>
      </c>
      <c r="F257" s="386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</row>
    <row r="258" ht="15.75" customHeight="1">
      <c r="A258" s="330" t="s">
        <v>1956</v>
      </c>
      <c r="B258" s="177" t="s">
        <v>19</v>
      </c>
      <c r="C258" s="177" t="s">
        <v>16</v>
      </c>
      <c r="D258" s="219"/>
      <c r="E258" s="219"/>
      <c r="F258" s="326" t="s">
        <v>1656</v>
      </c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</row>
    <row r="259" ht="15.75" customHeight="1">
      <c r="A259" s="330" t="s">
        <v>1957</v>
      </c>
      <c r="B259" s="177" t="s">
        <v>19</v>
      </c>
      <c r="C259" s="177" t="s">
        <v>40</v>
      </c>
      <c r="D259" s="219"/>
      <c r="E259" s="219"/>
      <c r="F259" s="326" t="s">
        <v>1656</v>
      </c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</row>
    <row r="260" ht="15.75" customHeight="1">
      <c r="A260" s="147" t="s">
        <v>1182</v>
      </c>
      <c r="B260" s="219"/>
      <c r="C260" s="219"/>
      <c r="D260" s="177">
        <v>3.0</v>
      </c>
      <c r="F260" s="386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</row>
    <row r="261" ht="15.75" customHeight="1">
      <c r="A261" s="330" t="s">
        <v>1958</v>
      </c>
      <c r="B261" s="177" t="s">
        <v>19</v>
      </c>
      <c r="C261" s="177" t="s">
        <v>20</v>
      </c>
      <c r="D261" s="219"/>
      <c r="E261" s="219"/>
      <c r="F261" s="326" t="s">
        <v>1656</v>
      </c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</row>
    <row r="262" ht="15.75" customHeight="1">
      <c r="A262" s="330" t="s">
        <v>1959</v>
      </c>
      <c r="B262" s="177" t="s">
        <v>19</v>
      </c>
      <c r="C262" s="177" t="s">
        <v>20</v>
      </c>
      <c r="D262" s="219"/>
      <c r="E262" s="219"/>
      <c r="F262" s="326" t="s">
        <v>1656</v>
      </c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</row>
    <row r="263" ht="15.75" customHeight="1">
      <c r="A263" s="147" t="s">
        <v>1182</v>
      </c>
      <c r="B263" s="219"/>
      <c r="C263" s="219"/>
      <c r="D263" s="177">
        <v>4.0</v>
      </c>
      <c r="F263" s="386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</row>
    <row r="264" ht="15.75" customHeight="1">
      <c r="A264" s="330" t="s">
        <v>1960</v>
      </c>
      <c r="B264" s="177" t="s">
        <v>19</v>
      </c>
      <c r="C264" s="177" t="s">
        <v>16</v>
      </c>
      <c r="D264" s="219"/>
      <c r="E264" s="219"/>
      <c r="F264" s="326" t="s">
        <v>1656</v>
      </c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</row>
    <row r="265" ht="15.75" customHeight="1">
      <c r="A265" s="330" t="s">
        <v>1961</v>
      </c>
      <c r="B265" s="177" t="s">
        <v>19</v>
      </c>
      <c r="C265" s="177" t="s">
        <v>16</v>
      </c>
      <c r="D265" s="219"/>
      <c r="E265" s="219"/>
      <c r="F265" s="326" t="s">
        <v>1656</v>
      </c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</row>
    <row r="266" ht="15.75" customHeight="1">
      <c r="A266" s="330" t="s">
        <v>1962</v>
      </c>
      <c r="B266" s="177" t="s">
        <v>19</v>
      </c>
      <c r="C266" s="177" t="s">
        <v>12</v>
      </c>
      <c r="D266" s="219"/>
      <c r="E266" s="219"/>
      <c r="F266" s="326" t="s">
        <v>1656</v>
      </c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</row>
    <row r="267" ht="15.75" customHeight="1">
      <c r="A267" s="147" t="s">
        <v>1182</v>
      </c>
      <c r="B267" s="219"/>
      <c r="C267" s="219"/>
      <c r="D267" s="177">
        <v>6.0</v>
      </c>
      <c r="F267" s="386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</row>
    <row r="268" ht="15.75" customHeight="1">
      <c r="A268" s="330" t="s">
        <v>1963</v>
      </c>
      <c r="B268" s="177" t="s">
        <v>19</v>
      </c>
      <c r="C268" s="177" t="s">
        <v>16</v>
      </c>
      <c r="D268" s="219"/>
      <c r="E268" s="219"/>
      <c r="F268" s="326" t="s">
        <v>1656</v>
      </c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</row>
    <row r="269" ht="15.75" customHeight="1">
      <c r="A269" s="330" t="s">
        <v>1964</v>
      </c>
      <c r="B269" s="177" t="s">
        <v>19</v>
      </c>
      <c r="C269" s="177" t="s">
        <v>12</v>
      </c>
      <c r="D269" s="219"/>
      <c r="E269" s="219"/>
      <c r="F269" s="326" t="s">
        <v>1656</v>
      </c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</row>
    <row r="270" ht="15.75" customHeight="1">
      <c r="A270" s="330" t="s">
        <v>1965</v>
      </c>
      <c r="B270" s="177" t="s">
        <v>19</v>
      </c>
      <c r="C270" s="177" t="s">
        <v>12</v>
      </c>
      <c r="D270" s="219"/>
      <c r="E270" s="219"/>
      <c r="F270" s="326" t="s">
        <v>1656</v>
      </c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</row>
    <row r="271" ht="15.75" customHeight="1">
      <c r="A271" s="330" t="s">
        <v>1966</v>
      </c>
      <c r="B271" s="177" t="s">
        <v>19</v>
      </c>
      <c r="C271" s="177" t="s">
        <v>12</v>
      </c>
      <c r="D271" s="219"/>
      <c r="E271" s="219"/>
      <c r="F271" s="326" t="s">
        <v>1656</v>
      </c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</row>
    <row r="272" ht="15.75" customHeight="1">
      <c r="A272" s="330" t="s">
        <v>1967</v>
      </c>
      <c r="B272" s="177" t="s">
        <v>19</v>
      </c>
      <c r="C272" s="219"/>
      <c r="D272" s="219"/>
      <c r="E272" s="219"/>
      <c r="F272" s="326" t="s">
        <v>1656</v>
      </c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</row>
    <row r="273" ht="15.75" customHeight="1">
      <c r="A273" s="330" t="s">
        <v>1968</v>
      </c>
      <c r="B273" s="177" t="s">
        <v>19</v>
      </c>
      <c r="C273" s="177" t="s">
        <v>12</v>
      </c>
      <c r="D273" s="219"/>
      <c r="E273" s="219"/>
      <c r="F273" s="326" t="s">
        <v>1656</v>
      </c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</row>
    <row r="274" ht="15.75" customHeight="1">
      <c r="A274" s="147" t="s">
        <v>1179</v>
      </c>
      <c r="B274" s="219"/>
      <c r="C274" s="219"/>
      <c r="D274" s="371">
        <v>4.0</v>
      </c>
      <c r="E274" s="219"/>
      <c r="F274" s="386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</row>
    <row r="275" ht="15.75" customHeight="1">
      <c r="A275" s="330" t="s">
        <v>1969</v>
      </c>
      <c r="B275" s="177" t="s">
        <v>15</v>
      </c>
      <c r="C275" s="177" t="s">
        <v>20</v>
      </c>
      <c r="D275" s="219"/>
      <c r="E275" s="219"/>
      <c r="F275" s="326" t="s">
        <v>1656</v>
      </c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</row>
    <row r="276" ht="15.75" customHeight="1">
      <c r="A276" s="330" t="s">
        <v>1970</v>
      </c>
      <c r="B276" s="177" t="s">
        <v>15</v>
      </c>
      <c r="C276" s="177" t="s">
        <v>20</v>
      </c>
      <c r="D276" s="219"/>
      <c r="E276" s="219"/>
      <c r="F276" s="326" t="s">
        <v>1656</v>
      </c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</row>
    <row r="277" ht="15.75" customHeight="1">
      <c r="A277" s="147" t="s">
        <v>1179</v>
      </c>
      <c r="B277" s="219"/>
      <c r="C277" s="219"/>
      <c r="D277" s="371">
        <v>4.0</v>
      </c>
      <c r="E277" s="219"/>
      <c r="F277" s="386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</row>
    <row r="278" ht="15.75" customHeight="1">
      <c r="A278" s="330" t="s">
        <v>1971</v>
      </c>
      <c r="B278" s="177" t="s">
        <v>15</v>
      </c>
      <c r="C278" s="177" t="s">
        <v>9</v>
      </c>
      <c r="D278" s="219"/>
      <c r="E278" s="219"/>
      <c r="F278" s="326" t="s">
        <v>1656</v>
      </c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</row>
    <row r="279" ht="15.75" customHeight="1">
      <c r="A279" s="330" t="s">
        <v>1972</v>
      </c>
      <c r="B279" s="177" t="s">
        <v>15</v>
      </c>
      <c r="C279" s="177" t="s">
        <v>9</v>
      </c>
      <c r="D279" s="219"/>
      <c r="E279" s="219"/>
      <c r="F279" s="326" t="s">
        <v>1656</v>
      </c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</row>
    <row r="280" ht="15.75" customHeight="1">
      <c r="A280" s="147" t="s">
        <v>1179</v>
      </c>
      <c r="B280" s="219"/>
      <c r="C280" s="219"/>
      <c r="D280" s="371">
        <v>5.0</v>
      </c>
      <c r="E280" s="219"/>
      <c r="F280" s="386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</row>
    <row r="281" ht="15.75" customHeight="1">
      <c r="A281" s="330" t="s">
        <v>1973</v>
      </c>
      <c r="B281" s="177" t="s">
        <v>15</v>
      </c>
      <c r="C281" s="177" t="s">
        <v>9</v>
      </c>
      <c r="D281" s="219"/>
      <c r="E281" s="219"/>
      <c r="F281" s="326" t="s">
        <v>1656</v>
      </c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</row>
    <row r="282" ht="15.75" customHeight="1">
      <c r="A282" s="330" t="s">
        <v>1974</v>
      </c>
      <c r="B282" s="177" t="s">
        <v>417</v>
      </c>
      <c r="C282" s="177" t="s">
        <v>12</v>
      </c>
      <c r="D282" s="219"/>
      <c r="E282" s="219"/>
      <c r="F282" s="326" t="s">
        <v>1656</v>
      </c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</row>
    <row r="283" ht="15.75" customHeight="1">
      <c r="A283" s="330" t="s">
        <v>1975</v>
      </c>
      <c r="B283" s="177" t="s">
        <v>141</v>
      </c>
      <c r="C283" s="177" t="s">
        <v>9</v>
      </c>
      <c r="D283" s="219"/>
      <c r="E283" s="219"/>
      <c r="F283" s="326" t="s">
        <v>1656</v>
      </c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</row>
    <row r="284" ht="15.75" customHeight="1">
      <c r="A284" s="330" t="s">
        <v>1976</v>
      </c>
      <c r="B284" s="177" t="s">
        <v>141</v>
      </c>
      <c r="C284" s="177" t="s">
        <v>12</v>
      </c>
      <c r="D284" s="219"/>
      <c r="E284" s="219"/>
      <c r="F284" s="326" t="s">
        <v>1656</v>
      </c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</row>
    <row r="285" ht="15.75" customHeight="1">
      <c r="A285" s="147" t="s">
        <v>1179</v>
      </c>
      <c r="B285" s="219"/>
      <c r="C285" s="219"/>
      <c r="D285" s="177">
        <v>6.0</v>
      </c>
      <c r="E285" s="219"/>
      <c r="F285" s="386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</row>
    <row r="286" ht="15.75" customHeight="1">
      <c r="A286" s="330" t="s">
        <v>1977</v>
      </c>
      <c r="B286" s="219" t="s">
        <v>15</v>
      </c>
      <c r="C286" s="177" t="s">
        <v>16</v>
      </c>
      <c r="D286" s="219"/>
      <c r="E286" s="219"/>
      <c r="F286" s="326" t="s">
        <v>1656</v>
      </c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</row>
    <row r="287" ht="15.75" customHeight="1">
      <c r="A287" s="330" t="s">
        <v>1978</v>
      </c>
      <c r="B287" s="219" t="s">
        <v>15</v>
      </c>
      <c r="C287" s="177" t="s">
        <v>20</v>
      </c>
      <c r="D287" s="219"/>
      <c r="E287" s="219"/>
      <c r="F287" s="326" t="s">
        <v>1656</v>
      </c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</row>
    <row r="288" ht="15.75" customHeight="1">
      <c r="A288" s="330" t="s">
        <v>1979</v>
      </c>
      <c r="B288" s="219" t="s">
        <v>15</v>
      </c>
      <c r="C288" s="177" t="s">
        <v>20</v>
      </c>
      <c r="D288" s="219"/>
      <c r="E288" s="219"/>
      <c r="F288" s="326" t="s">
        <v>1656</v>
      </c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</row>
    <row r="289" ht="15.75" customHeight="1">
      <c r="A289" s="330" t="s">
        <v>1980</v>
      </c>
      <c r="B289" s="219" t="s">
        <v>15</v>
      </c>
      <c r="C289" s="177" t="s">
        <v>12</v>
      </c>
      <c r="D289" s="219"/>
      <c r="E289" s="219"/>
      <c r="F289" s="326" t="s">
        <v>1656</v>
      </c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</row>
    <row r="290" ht="15.75" customHeight="1">
      <c r="A290" s="330" t="s">
        <v>1981</v>
      </c>
      <c r="B290" s="219" t="s">
        <v>15</v>
      </c>
      <c r="C290" s="177" t="s">
        <v>12</v>
      </c>
      <c r="D290" s="219"/>
      <c r="E290" s="219"/>
      <c r="F290" s="326" t="s">
        <v>1656</v>
      </c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</row>
    <row r="291" ht="15.75" customHeight="1">
      <c r="A291" s="147" t="s">
        <v>1179</v>
      </c>
      <c r="B291" s="219"/>
      <c r="C291" s="219"/>
      <c r="D291" s="177">
        <v>10.0</v>
      </c>
      <c r="F291" s="386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</row>
    <row r="292" ht="15.75" customHeight="1">
      <c r="A292" s="330" t="s">
        <v>1982</v>
      </c>
      <c r="B292" s="219" t="s">
        <v>15</v>
      </c>
      <c r="C292" s="219" t="s">
        <v>40</v>
      </c>
      <c r="D292" s="219"/>
      <c r="E292" s="219"/>
      <c r="F292" s="361" t="s">
        <v>1162</v>
      </c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</row>
    <row r="293" ht="15.75" customHeight="1">
      <c r="A293" s="330" t="s">
        <v>1983</v>
      </c>
      <c r="B293" s="219" t="s">
        <v>15</v>
      </c>
      <c r="C293" s="219" t="s">
        <v>20</v>
      </c>
      <c r="D293" s="219"/>
      <c r="E293" s="219"/>
      <c r="F293" s="361" t="s">
        <v>1984</v>
      </c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</row>
    <row r="294" ht="15.75" customHeight="1">
      <c r="A294" s="330" t="s">
        <v>1410</v>
      </c>
      <c r="B294" s="219" t="s">
        <v>15</v>
      </c>
      <c r="C294" s="219" t="s">
        <v>12</v>
      </c>
      <c r="D294" s="219"/>
      <c r="E294" s="219"/>
      <c r="F294" s="361" t="s">
        <v>1985</v>
      </c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</row>
    <row r="295" ht="15.75" customHeight="1">
      <c r="A295" s="330" t="s">
        <v>1986</v>
      </c>
      <c r="B295" s="219" t="s">
        <v>15</v>
      </c>
      <c r="C295" s="219" t="s">
        <v>16</v>
      </c>
      <c r="D295" s="219"/>
      <c r="E295" s="219"/>
      <c r="F295" s="361" t="s">
        <v>1987</v>
      </c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</row>
    <row r="296" ht="15.75" customHeight="1">
      <c r="A296" s="330" t="s">
        <v>1988</v>
      </c>
      <c r="B296" s="219" t="s">
        <v>15</v>
      </c>
      <c r="C296" s="219" t="s">
        <v>9</v>
      </c>
      <c r="D296" s="219"/>
      <c r="E296" s="219"/>
      <c r="F296" s="361" t="s">
        <v>1989</v>
      </c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</row>
    <row r="297" ht="15.75" customHeight="1">
      <c r="A297" s="330" t="s">
        <v>1990</v>
      </c>
      <c r="B297" s="219" t="s">
        <v>15</v>
      </c>
      <c r="C297" s="219" t="s">
        <v>40</v>
      </c>
      <c r="D297" s="219"/>
      <c r="E297" s="219"/>
      <c r="F297" s="361" t="s">
        <v>1991</v>
      </c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</row>
    <row r="298" ht="15.75" customHeight="1">
      <c r="A298" s="147" t="s">
        <v>1179</v>
      </c>
      <c r="B298" s="219"/>
      <c r="C298" s="219"/>
      <c r="D298" s="371">
        <v>10.0</v>
      </c>
      <c r="E298" s="219"/>
      <c r="F298" s="386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</row>
    <row r="299" ht="15.75" customHeight="1">
      <c r="A299" s="330" t="s">
        <v>1992</v>
      </c>
      <c r="B299" s="177" t="s">
        <v>417</v>
      </c>
      <c r="C299" s="177" t="s">
        <v>20</v>
      </c>
      <c r="D299" s="219"/>
      <c r="E299" s="219"/>
      <c r="F299" s="326" t="s">
        <v>1656</v>
      </c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</row>
    <row r="300" ht="15.75" customHeight="1">
      <c r="A300" s="330" t="s">
        <v>1993</v>
      </c>
      <c r="B300" s="177" t="s">
        <v>15</v>
      </c>
      <c r="C300" s="177" t="s">
        <v>16</v>
      </c>
      <c r="D300" s="219"/>
      <c r="E300" s="219"/>
      <c r="F300" s="326" t="s">
        <v>1656</v>
      </c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</row>
    <row r="301" ht="15.75" customHeight="1">
      <c r="A301" s="330" t="s">
        <v>1994</v>
      </c>
      <c r="B301" s="177" t="s">
        <v>141</v>
      </c>
      <c r="C301" s="177" t="s">
        <v>16</v>
      </c>
      <c r="D301" s="219"/>
      <c r="E301" s="219"/>
      <c r="F301" s="326" t="s">
        <v>1656</v>
      </c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</row>
    <row r="302" ht="15.75" customHeight="1">
      <c r="A302" s="330" t="s">
        <v>1995</v>
      </c>
      <c r="B302" s="177" t="s">
        <v>15</v>
      </c>
      <c r="C302" s="177" t="s">
        <v>9</v>
      </c>
      <c r="D302" s="219"/>
      <c r="E302" s="219"/>
      <c r="F302" s="326" t="s">
        <v>1656</v>
      </c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</row>
    <row r="303" ht="15.75" customHeight="1">
      <c r="A303" s="330" t="s">
        <v>1996</v>
      </c>
      <c r="B303" s="177" t="s">
        <v>15</v>
      </c>
      <c r="C303" s="177" t="s">
        <v>16</v>
      </c>
      <c r="D303" s="219"/>
      <c r="E303" s="219"/>
      <c r="F303" s="326" t="s">
        <v>1656</v>
      </c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</row>
    <row r="304" ht="15.75" customHeight="1">
      <c r="A304" s="330" t="s">
        <v>1997</v>
      </c>
      <c r="B304" s="177" t="s">
        <v>141</v>
      </c>
      <c r="C304" s="177" t="s">
        <v>20</v>
      </c>
      <c r="D304" s="219"/>
      <c r="E304" s="219"/>
      <c r="F304" s="326" t="s">
        <v>1656</v>
      </c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</row>
    <row r="305" ht="15.75" customHeight="1">
      <c r="A305" s="147" t="s">
        <v>1179</v>
      </c>
      <c r="B305" s="219"/>
      <c r="C305" s="219"/>
      <c r="D305" s="371">
        <v>7.0</v>
      </c>
      <c r="E305" s="219"/>
      <c r="F305" s="386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</row>
    <row r="306" ht="15.75" customHeight="1">
      <c r="A306" s="330" t="s">
        <v>993</v>
      </c>
      <c r="B306" s="219"/>
      <c r="C306" s="219"/>
      <c r="D306" s="219"/>
      <c r="E306" s="219"/>
      <c r="F306" s="326" t="s">
        <v>785</v>
      </c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</row>
    <row r="307" ht="15.75" customHeight="1">
      <c r="A307" s="330" t="s">
        <v>993</v>
      </c>
      <c r="B307" s="219"/>
      <c r="C307" s="219"/>
      <c r="D307" s="219"/>
      <c r="E307" s="219"/>
      <c r="F307" s="326" t="s">
        <v>785</v>
      </c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</row>
    <row r="308" ht="15.75" customHeight="1">
      <c r="A308" s="330" t="s">
        <v>1998</v>
      </c>
      <c r="B308" s="219" t="s">
        <v>15</v>
      </c>
      <c r="C308" s="219" t="s">
        <v>12</v>
      </c>
      <c r="D308" s="219"/>
      <c r="E308" s="219"/>
      <c r="F308" s="326" t="s">
        <v>785</v>
      </c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</row>
    <row r="309" ht="15.75" customHeight="1">
      <c r="A309" s="330" t="s">
        <v>1999</v>
      </c>
      <c r="B309" s="219" t="s">
        <v>15</v>
      </c>
      <c r="C309" s="219" t="s">
        <v>20</v>
      </c>
      <c r="D309" s="219"/>
      <c r="E309" s="219"/>
      <c r="F309" s="326" t="s">
        <v>785</v>
      </c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</row>
    <row r="310" ht="15.75" customHeight="1">
      <c r="A310" s="330" t="s">
        <v>2000</v>
      </c>
      <c r="B310" s="219" t="s">
        <v>15</v>
      </c>
      <c r="C310" s="219" t="s">
        <v>16</v>
      </c>
      <c r="D310" s="219"/>
      <c r="E310" s="219"/>
      <c r="F310" s="326" t="s">
        <v>785</v>
      </c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</row>
    <row r="311" ht="15.75" customHeight="1">
      <c r="A311" s="330" t="s">
        <v>2001</v>
      </c>
      <c r="B311" s="219" t="s">
        <v>15</v>
      </c>
      <c r="C311" s="219" t="s">
        <v>9</v>
      </c>
      <c r="D311" s="219"/>
      <c r="E311" s="219"/>
      <c r="F311" s="326" t="s">
        <v>785</v>
      </c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</row>
    <row r="312" ht="15.75" customHeight="1">
      <c r="A312" s="147" t="s">
        <v>1179</v>
      </c>
      <c r="B312" s="219"/>
      <c r="C312" s="219"/>
      <c r="D312" s="331">
        <v>7.0</v>
      </c>
      <c r="E312" s="219"/>
      <c r="F312" s="386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</row>
    <row r="313" ht="15.75" customHeight="1">
      <c r="A313" s="330" t="s">
        <v>2002</v>
      </c>
      <c r="B313" s="219" t="s">
        <v>15</v>
      </c>
      <c r="C313" s="219" t="s">
        <v>16</v>
      </c>
      <c r="D313" s="219"/>
      <c r="E313" s="219"/>
      <c r="F313" s="326" t="s">
        <v>785</v>
      </c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</row>
    <row r="314" ht="15.75" customHeight="1">
      <c r="A314" s="330" t="s">
        <v>2003</v>
      </c>
      <c r="B314" s="219" t="s">
        <v>15</v>
      </c>
      <c r="C314" s="219" t="s">
        <v>9</v>
      </c>
      <c r="D314" s="219"/>
      <c r="E314" s="219"/>
      <c r="F314" s="326" t="s">
        <v>785</v>
      </c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</row>
    <row r="315" ht="15.75" customHeight="1">
      <c r="A315" s="330" t="s">
        <v>2004</v>
      </c>
      <c r="B315" s="219" t="s">
        <v>15</v>
      </c>
      <c r="C315" s="219" t="s">
        <v>16</v>
      </c>
      <c r="D315" s="219"/>
      <c r="E315" s="219"/>
      <c r="F315" s="326" t="s">
        <v>785</v>
      </c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</row>
    <row r="316" ht="15.75" customHeight="1">
      <c r="A316" s="330" t="s">
        <v>2005</v>
      </c>
      <c r="B316" s="219" t="s">
        <v>15</v>
      </c>
      <c r="C316" s="219" t="s">
        <v>20</v>
      </c>
      <c r="D316" s="219"/>
      <c r="E316" s="219"/>
      <c r="F316" s="326" t="s">
        <v>785</v>
      </c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</row>
    <row r="317" ht="15.75" customHeight="1">
      <c r="A317" s="330" t="s">
        <v>2006</v>
      </c>
      <c r="B317" s="219" t="s">
        <v>15</v>
      </c>
      <c r="C317" s="219" t="s">
        <v>12</v>
      </c>
      <c r="D317" s="219"/>
      <c r="E317" s="219"/>
      <c r="F317" s="326" t="s">
        <v>785</v>
      </c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</row>
    <row r="318" ht="15.75" customHeight="1">
      <c r="A318" s="330" t="s">
        <v>2007</v>
      </c>
      <c r="B318" s="219" t="s">
        <v>15</v>
      </c>
      <c r="C318" s="177" t="s">
        <v>40</v>
      </c>
      <c r="D318" s="219"/>
      <c r="E318" s="219"/>
      <c r="F318" s="326" t="s">
        <v>785</v>
      </c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</row>
    <row r="319" ht="15.75" customHeight="1">
      <c r="A319" s="147" t="s">
        <v>992</v>
      </c>
      <c r="B319" s="219"/>
      <c r="C319" s="219"/>
      <c r="D319" s="177">
        <v>8.0</v>
      </c>
      <c r="E319" s="219"/>
      <c r="F319" s="386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</row>
    <row r="320" ht="15.75" customHeight="1">
      <c r="A320" s="330" t="s">
        <v>1008</v>
      </c>
      <c r="B320" s="219" t="s">
        <v>96</v>
      </c>
      <c r="C320" s="219" t="s">
        <v>12</v>
      </c>
      <c r="D320" s="219"/>
      <c r="E320" s="219"/>
      <c r="F320" s="361" t="s">
        <v>2008</v>
      </c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</row>
    <row r="321" ht="15.75" customHeight="1">
      <c r="A321" s="330" t="s">
        <v>2009</v>
      </c>
      <c r="B321" s="219" t="s">
        <v>96</v>
      </c>
      <c r="C321" s="219" t="s">
        <v>16</v>
      </c>
      <c r="D321" s="219"/>
      <c r="E321" s="219"/>
      <c r="F321" s="361" t="s">
        <v>2010</v>
      </c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</row>
    <row r="322" ht="15.75" customHeight="1">
      <c r="A322" s="330" t="s">
        <v>2011</v>
      </c>
      <c r="B322" s="219" t="s">
        <v>96</v>
      </c>
      <c r="C322" s="219" t="s">
        <v>20</v>
      </c>
      <c r="D322" s="219"/>
      <c r="E322" s="219"/>
      <c r="F322" s="361" t="s">
        <v>2010</v>
      </c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</row>
    <row r="323" ht="15.75" customHeight="1">
      <c r="A323" s="147" t="s">
        <v>992</v>
      </c>
      <c r="B323" s="219"/>
      <c r="C323" s="219"/>
      <c r="D323" s="371">
        <v>10.0</v>
      </c>
      <c r="E323" s="219"/>
      <c r="F323" s="386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</row>
    <row r="324" ht="15.75" customHeight="1">
      <c r="A324" s="330" t="s">
        <v>2012</v>
      </c>
      <c r="B324" s="219" t="s">
        <v>8</v>
      </c>
      <c r="C324" s="219" t="s">
        <v>9</v>
      </c>
      <c r="D324" s="219"/>
      <c r="E324" s="219"/>
      <c r="F324" s="361" t="s">
        <v>2013</v>
      </c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</row>
    <row r="325" ht="15.75" customHeight="1">
      <c r="A325" s="330" t="s">
        <v>2014</v>
      </c>
      <c r="B325" s="219" t="s">
        <v>8</v>
      </c>
      <c r="C325" s="219" t="s">
        <v>16</v>
      </c>
      <c r="D325" s="219"/>
      <c r="E325" s="219"/>
      <c r="F325" s="390" t="s">
        <v>2015</v>
      </c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</row>
    <row r="326" ht="15.75" customHeight="1">
      <c r="A326" s="147" t="s">
        <v>992</v>
      </c>
      <c r="B326" s="219"/>
      <c r="C326" s="219"/>
      <c r="D326" s="371">
        <v>7.0</v>
      </c>
      <c r="E326" s="219"/>
      <c r="F326" s="386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</row>
    <row r="327" ht="15.75" customHeight="1">
      <c r="A327" s="330" t="s">
        <v>993</v>
      </c>
      <c r="B327" s="177" t="s">
        <v>8</v>
      </c>
      <c r="C327" s="219"/>
      <c r="D327" s="219"/>
      <c r="E327" s="219"/>
      <c r="F327" s="326" t="s">
        <v>785</v>
      </c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</row>
    <row r="328" ht="15.75" customHeight="1">
      <c r="A328" s="330" t="s">
        <v>993</v>
      </c>
      <c r="B328" s="177" t="s">
        <v>8</v>
      </c>
      <c r="C328" s="219"/>
      <c r="D328" s="219"/>
      <c r="E328" s="219"/>
      <c r="F328" s="326" t="s">
        <v>785</v>
      </c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</row>
    <row r="329" ht="15.75" customHeight="1">
      <c r="A329" s="147" t="s">
        <v>992</v>
      </c>
      <c r="B329" s="219"/>
      <c r="C329" s="219"/>
      <c r="D329" s="371">
        <v>20.0</v>
      </c>
      <c r="E329" s="219"/>
      <c r="F329" s="386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</row>
    <row r="330" ht="15.75" customHeight="1">
      <c r="A330" s="330" t="s">
        <v>2016</v>
      </c>
      <c r="B330" s="219" t="s">
        <v>8</v>
      </c>
      <c r="C330" s="219" t="s">
        <v>16</v>
      </c>
      <c r="D330" s="219"/>
      <c r="E330" s="219"/>
      <c r="F330" s="361" t="s">
        <v>1662</v>
      </c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</row>
    <row r="331" ht="15.75" customHeight="1">
      <c r="A331" s="330" t="s">
        <v>993</v>
      </c>
      <c r="B331" s="177" t="s">
        <v>8</v>
      </c>
      <c r="C331" s="219"/>
      <c r="D331" s="219"/>
      <c r="E331" s="219"/>
      <c r="F331" s="326" t="s">
        <v>785</v>
      </c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</row>
    <row r="332" ht="15.75" customHeight="1">
      <c r="A332" s="147" t="s">
        <v>992</v>
      </c>
      <c r="B332" s="219"/>
      <c r="C332" s="219"/>
      <c r="D332" s="371">
        <v>7.0</v>
      </c>
      <c r="E332" s="219"/>
      <c r="F332" s="386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</row>
    <row r="333" ht="15.75" customHeight="1">
      <c r="A333" s="330" t="s">
        <v>2017</v>
      </c>
      <c r="B333" s="177" t="s">
        <v>8</v>
      </c>
      <c r="C333" s="177" t="s">
        <v>16</v>
      </c>
      <c r="D333" s="219"/>
      <c r="E333" s="219"/>
      <c r="F333" s="326" t="s">
        <v>1656</v>
      </c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</row>
    <row r="334" ht="15.75" customHeight="1">
      <c r="A334" s="330" t="s">
        <v>2018</v>
      </c>
      <c r="B334" s="177" t="s">
        <v>8</v>
      </c>
      <c r="C334" s="177" t="s">
        <v>12</v>
      </c>
      <c r="D334" s="219"/>
      <c r="E334" s="219"/>
      <c r="F334" s="326" t="s">
        <v>785</v>
      </c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</row>
    <row r="335" ht="15.75" customHeight="1">
      <c r="A335" s="147" t="s">
        <v>992</v>
      </c>
      <c r="B335" s="219"/>
      <c r="C335" s="219"/>
      <c r="D335" s="371">
        <v>7.0</v>
      </c>
      <c r="E335" s="219"/>
      <c r="F335" s="386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</row>
    <row r="336" ht="15.75" customHeight="1">
      <c r="A336" s="330" t="s">
        <v>2019</v>
      </c>
      <c r="B336" s="177" t="s">
        <v>8</v>
      </c>
      <c r="C336" s="177" t="s">
        <v>12</v>
      </c>
      <c r="D336" s="219"/>
      <c r="E336" s="219"/>
      <c r="F336" s="326" t="s">
        <v>1656</v>
      </c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</row>
    <row r="337" ht="15.75" customHeight="1">
      <c r="A337" s="330" t="s">
        <v>2020</v>
      </c>
      <c r="B337" s="177" t="s">
        <v>8</v>
      </c>
      <c r="C337" s="177"/>
      <c r="D337" s="219"/>
      <c r="E337" s="219"/>
      <c r="F337" s="326" t="s">
        <v>785</v>
      </c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</row>
    <row r="338" ht="15.75" customHeight="1">
      <c r="A338" s="147" t="s">
        <v>992</v>
      </c>
      <c r="B338" s="219"/>
      <c r="C338" s="219"/>
      <c r="D338" s="371">
        <v>7.0</v>
      </c>
      <c r="E338" s="219"/>
      <c r="F338" s="386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</row>
    <row r="339" ht="15.75" customHeight="1">
      <c r="A339" s="330" t="s">
        <v>2021</v>
      </c>
      <c r="B339" s="177" t="s">
        <v>8</v>
      </c>
      <c r="C339" s="177" t="s">
        <v>40</v>
      </c>
      <c r="D339" s="219"/>
      <c r="E339" s="219"/>
      <c r="F339" s="326" t="s">
        <v>1656</v>
      </c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</row>
    <row r="340" ht="15.75" customHeight="1">
      <c r="A340" s="330" t="s">
        <v>2022</v>
      </c>
      <c r="B340" s="177" t="s">
        <v>96</v>
      </c>
      <c r="C340" s="177" t="s">
        <v>40</v>
      </c>
      <c r="D340" s="219"/>
      <c r="E340" s="219"/>
      <c r="F340" s="326" t="s">
        <v>1656</v>
      </c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</row>
    <row r="341" ht="15.75" customHeight="1">
      <c r="A341" s="147" t="s">
        <v>992</v>
      </c>
      <c r="B341" s="219"/>
      <c r="C341" s="219"/>
      <c r="D341" s="371">
        <v>7.0</v>
      </c>
      <c r="E341" s="219"/>
      <c r="F341" s="386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</row>
    <row r="342" ht="15.75" customHeight="1">
      <c r="A342" s="330" t="s">
        <v>2023</v>
      </c>
      <c r="B342" s="177" t="s">
        <v>8</v>
      </c>
      <c r="C342" s="177" t="s">
        <v>20</v>
      </c>
      <c r="D342" s="219"/>
      <c r="E342" s="219"/>
      <c r="F342" s="326" t="s">
        <v>785</v>
      </c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</row>
    <row r="343" ht="15.75" customHeight="1">
      <c r="A343" s="330" t="s">
        <v>2024</v>
      </c>
      <c r="B343" s="177" t="s">
        <v>8</v>
      </c>
      <c r="C343" s="177" t="s">
        <v>40</v>
      </c>
      <c r="D343" s="219"/>
      <c r="E343" s="219"/>
      <c r="F343" s="326" t="s">
        <v>785</v>
      </c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</row>
    <row r="344" ht="15.75" customHeight="1">
      <c r="A344" s="147" t="s">
        <v>992</v>
      </c>
      <c r="B344" s="219"/>
      <c r="C344" s="219"/>
      <c r="D344" s="371">
        <v>7.0</v>
      </c>
      <c r="E344" s="219"/>
      <c r="F344" s="386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</row>
    <row r="345" ht="15.75" customHeight="1">
      <c r="A345" s="144" t="s">
        <v>2025</v>
      </c>
      <c r="B345" s="177" t="s">
        <v>8</v>
      </c>
      <c r="C345" s="177" t="s">
        <v>12</v>
      </c>
      <c r="D345" s="219"/>
      <c r="E345" s="219"/>
      <c r="F345" s="326" t="s">
        <v>785</v>
      </c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</row>
    <row r="346" ht="15.75" customHeight="1">
      <c r="A346" s="330" t="s">
        <v>2026</v>
      </c>
      <c r="B346" s="177" t="s">
        <v>8</v>
      </c>
      <c r="C346" s="177" t="s">
        <v>40</v>
      </c>
      <c r="D346" s="219"/>
      <c r="E346" s="219"/>
      <c r="F346" s="326" t="s">
        <v>785</v>
      </c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</row>
    <row r="347" ht="15.75" customHeight="1">
      <c r="A347" s="147" t="s">
        <v>992</v>
      </c>
      <c r="B347" s="219"/>
      <c r="C347" s="219"/>
      <c r="D347" s="371">
        <v>7.0</v>
      </c>
      <c r="E347" s="219"/>
      <c r="F347" s="386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</row>
    <row r="348" ht="15.75" customHeight="1">
      <c r="A348" s="144" t="s">
        <v>2027</v>
      </c>
      <c r="B348" s="177" t="s">
        <v>8</v>
      </c>
      <c r="C348" s="177" t="s">
        <v>20</v>
      </c>
      <c r="D348" s="219"/>
      <c r="E348" s="219"/>
      <c r="F348" s="326" t="s">
        <v>785</v>
      </c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</row>
    <row r="349" ht="15.75" customHeight="1">
      <c r="A349" s="330" t="s">
        <v>2028</v>
      </c>
      <c r="B349" s="177" t="s">
        <v>8</v>
      </c>
      <c r="C349" s="177" t="s">
        <v>20</v>
      </c>
      <c r="D349" s="219"/>
      <c r="E349" s="219"/>
      <c r="F349" s="326" t="s">
        <v>785</v>
      </c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</row>
    <row r="350" ht="15.75" customHeight="1">
      <c r="A350" s="147" t="s">
        <v>992</v>
      </c>
      <c r="B350" s="219"/>
      <c r="C350" s="219"/>
      <c r="D350" s="371">
        <v>7.0</v>
      </c>
      <c r="E350" s="219"/>
      <c r="F350" s="386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</row>
    <row r="351" ht="15.75" customHeight="1">
      <c r="A351" s="144" t="s">
        <v>2029</v>
      </c>
      <c r="B351" s="177" t="s">
        <v>8</v>
      </c>
      <c r="C351" s="177" t="s">
        <v>40</v>
      </c>
      <c r="D351" s="219"/>
      <c r="E351" s="219"/>
      <c r="F351" s="326" t="s">
        <v>785</v>
      </c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</row>
    <row r="352" ht="15.75" customHeight="1">
      <c r="A352" s="330" t="s">
        <v>993</v>
      </c>
      <c r="B352" s="177" t="s">
        <v>8</v>
      </c>
      <c r="C352" s="177"/>
      <c r="D352" s="219"/>
      <c r="E352" s="219"/>
      <c r="F352" s="326" t="s">
        <v>785</v>
      </c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</row>
    <row r="353" ht="15.75" customHeight="1">
      <c r="A353" s="147" t="s">
        <v>992</v>
      </c>
      <c r="B353" s="219"/>
      <c r="C353" s="219"/>
      <c r="D353" s="371">
        <v>7.0</v>
      </c>
      <c r="E353" s="219"/>
      <c r="F353" s="386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</row>
    <row r="354" ht="15.75" customHeight="1">
      <c r="A354" s="330" t="s">
        <v>993</v>
      </c>
      <c r="B354" s="177" t="s">
        <v>8</v>
      </c>
      <c r="C354" s="219"/>
      <c r="D354" s="219"/>
      <c r="E354" s="219"/>
      <c r="F354" s="326" t="s">
        <v>785</v>
      </c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</row>
    <row r="355" ht="15.75" customHeight="1">
      <c r="A355" s="330" t="s">
        <v>993</v>
      </c>
      <c r="B355" s="177" t="s">
        <v>8</v>
      </c>
      <c r="C355" s="219"/>
      <c r="D355" s="219"/>
      <c r="E355" s="219"/>
      <c r="F355" s="326" t="s">
        <v>785</v>
      </c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</row>
    <row r="356" ht="15.75" customHeight="1">
      <c r="A356" s="147" t="s">
        <v>992</v>
      </c>
      <c r="B356" s="219"/>
      <c r="C356" s="219"/>
      <c r="D356" s="331">
        <v>7.0</v>
      </c>
      <c r="E356" s="219"/>
      <c r="F356" s="386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</row>
    <row r="357" ht="15.75" customHeight="1">
      <c r="A357" s="330" t="s">
        <v>2030</v>
      </c>
      <c r="B357" s="219" t="s">
        <v>8</v>
      </c>
      <c r="C357" s="177" t="s">
        <v>20</v>
      </c>
      <c r="D357" s="219"/>
      <c r="E357" s="219"/>
      <c r="F357" s="329" t="s">
        <v>763</v>
      </c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</row>
    <row r="358" ht="15.75" customHeight="1">
      <c r="A358" s="330" t="s">
        <v>2031</v>
      </c>
      <c r="B358" s="177" t="s">
        <v>8</v>
      </c>
      <c r="C358" s="177" t="s">
        <v>12</v>
      </c>
      <c r="D358" s="219"/>
      <c r="E358" s="219"/>
      <c r="F358" s="329" t="s">
        <v>2032</v>
      </c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</row>
    <row r="359" ht="15.75" customHeight="1">
      <c r="A359" s="147" t="s">
        <v>992</v>
      </c>
      <c r="B359" s="219"/>
      <c r="C359" s="219"/>
      <c r="D359" s="331">
        <v>7.0</v>
      </c>
      <c r="E359" s="219"/>
      <c r="F359" s="386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</row>
    <row r="360" ht="15.75" customHeight="1">
      <c r="A360" s="330" t="s">
        <v>2033</v>
      </c>
      <c r="B360" s="219" t="s">
        <v>8</v>
      </c>
      <c r="C360" s="219" t="s">
        <v>9</v>
      </c>
      <c r="D360" s="219"/>
      <c r="E360" s="219"/>
      <c r="F360" s="386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</row>
    <row r="361" ht="15.75" customHeight="1">
      <c r="A361" s="330" t="s">
        <v>993</v>
      </c>
      <c r="B361" s="177" t="s">
        <v>8</v>
      </c>
      <c r="C361" s="219"/>
      <c r="D361" s="219"/>
      <c r="E361" s="219"/>
      <c r="F361" s="326" t="s">
        <v>785</v>
      </c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</row>
    <row r="362" ht="15.75" customHeight="1">
      <c r="A362" s="147" t="s">
        <v>992</v>
      </c>
      <c r="B362" s="219"/>
      <c r="C362" s="219"/>
      <c r="D362" s="371">
        <v>8.0</v>
      </c>
      <c r="E362" s="219"/>
      <c r="F362" s="386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</row>
    <row r="363" ht="15.75" customHeight="1">
      <c r="A363" s="330" t="s">
        <v>2034</v>
      </c>
      <c r="B363" s="219" t="s">
        <v>54</v>
      </c>
      <c r="C363" s="219" t="s">
        <v>20</v>
      </c>
      <c r="D363" s="219"/>
      <c r="E363" s="219"/>
      <c r="F363" s="386" t="s">
        <v>2035</v>
      </c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</row>
    <row r="364" ht="15.75" customHeight="1">
      <c r="A364" s="330" t="s">
        <v>2036</v>
      </c>
      <c r="B364" s="219" t="s">
        <v>54</v>
      </c>
      <c r="C364" s="219" t="s">
        <v>12</v>
      </c>
      <c r="D364" s="219"/>
      <c r="E364" s="219"/>
      <c r="F364" s="386" t="s">
        <v>2035</v>
      </c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</row>
    <row r="365" ht="15.75" customHeight="1">
      <c r="A365" s="330" t="s">
        <v>2037</v>
      </c>
      <c r="B365" s="219" t="s">
        <v>54</v>
      </c>
      <c r="C365" s="219" t="s">
        <v>9</v>
      </c>
      <c r="D365" s="219"/>
      <c r="E365" s="219"/>
      <c r="F365" s="386" t="s">
        <v>2038</v>
      </c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</row>
    <row r="366" ht="15.75" customHeight="1">
      <c r="A366" s="147" t="s">
        <v>992</v>
      </c>
      <c r="B366" s="219"/>
      <c r="C366" s="219"/>
      <c r="D366" s="371">
        <v>8.0</v>
      </c>
      <c r="E366" s="219"/>
      <c r="F366" s="386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</row>
    <row r="367" ht="15.75" customHeight="1">
      <c r="A367" s="330" t="s">
        <v>2039</v>
      </c>
      <c r="B367" s="219" t="s">
        <v>8</v>
      </c>
      <c r="C367" s="219" t="s">
        <v>9</v>
      </c>
      <c r="D367" s="219"/>
      <c r="E367" s="219"/>
      <c r="F367" s="386" t="s">
        <v>1665</v>
      </c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</row>
    <row r="368" ht="15.75" customHeight="1">
      <c r="A368" s="330" t="s">
        <v>993</v>
      </c>
      <c r="B368" s="177" t="s">
        <v>8</v>
      </c>
      <c r="C368" s="219"/>
      <c r="D368" s="219"/>
      <c r="E368" s="219"/>
      <c r="F368" s="326" t="s">
        <v>785</v>
      </c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</row>
    <row r="369" ht="15.75" customHeight="1">
      <c r="A369" s="330" t="s">
        <v>1273</v>
      </c>
      <c r="B369" s="219" t="s">
        <v>8</v>
      </c>
      <c r="C369" s="219" t="s">
        <v>16</v>
      </c>
      <c r="D369" s="219"/>
      <c r="E369" s="219"/>
      <c r="F369" s="386" t="s">
        <v>2040</v>
      </c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</row>
    <row r="370" ht="15.75" customHeight="1">
      <c r="A370" s="147" t="s">
        <v>992</v>
      </c>
      <c r="B370" s="219"/>
      <c r="C370" s="219"/>
      <c r="D370" s="371">
        <v>8.0</v>
      </c>
      <c r="E370" s="219"/>
      <c r="F370" s="386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</row>
    <row r="371" ht="15.75" customHeight="1">
      <c r="A371" s="330" t="s">
        <v>2041</v>
      </c>
      <c r="B371" s="219" t="s">
        <v>8</v>
      </c>
      <c r="C371" s="177" t="s">
        <v>40</v>
      </c>
      <c r="D371" s="219"/>
      <c r="E371" s="219"/>
      <c r="F371" s="326" t="s">
        <v>1656</v>
      </c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</row>
    <row r="372" ht="15.75" customHeight="1">
      <c r="A372" s="330" t="s">
        <v>2042</v>
      </c>
      <c r="B372" s="177" t="s">
        <v>8</v>
      </c>
      <c r="C372" s="219"/>
      <c r="D372" s="219"/>
      <c r="E372" s="219"/>
      <c r="F372" s="326" t="s">
        <v>785</v>
      </c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</row>
    <row r="373" ht="15.75" customHeight="1">
      <c r="A373" s="330" t="s">
        <v>2043</v>
      </c>
      <c r="B373" s="219" t="s">
        <v>8</v>
      </c>
      <c r="C373" s="219"/>
      <c r="D373" s="219"/>
      <c r="E373" s="219"/>
      <c r="F373" s="326" t="s">
        <v>785</v>
      </c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</row>
    <row r="374" ht="15.75" customHeight="1">
      <c r="A374" s="147" t="s">
        <v>992</v>
      </c>
      <c r="B374" s="219"/>
      <c r="C374" s="219"/>
      <c r="D374" s="371">
        <v>9.0</v>
      </c>
      <c r="E374" s="219"/>
      <c r="F374" s="386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</row>
    <row r="375" ht="15.75" customHeight="1">
      <c r="A375" s="330" t="s">
        <v>2044</v>
      </c>
      <c r="B375" s="219" t="s">
        <v>8</v>
      </c>
      <c r="C375" s="219" t="s">
        <v>9</v>
      </c>
      <c r="D375" s="219"/>
      <c r="E375" s="219"/>
      <c r="F375" s="386" t="s">
        <v>1665</v>
      </c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</row>
    <row r="376" ht="15.75" customHeight="1">
      <c r="A376" s="330" t="s">
        <v>2045</v>
      </c>
      <c r="B376" s="219" t="s">
        <v>8</v>
      </c>
      <c r="C376" s="219" t="s">
        <v>40</v>
      </c>
      <c r="D376" s="219"/>
      <c r="E376" s="219"/>
      <c r="F376" s="386" t="s">
        <v>2046</v>
      </c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</row>
    <row r="377" ht="15.75" customHeight="1">
      <c r="A377" s="330" t="s">
        <v>2047</v>
      </c>
      <c r="B377" s="219" t="s">
        <v>8</v>
      </c>
      <c r="C377" s="219" t="s">
        <v>16</v>
      </c>
      <c r="D377" s="219"/>
      <c r="E377" s="219"/>
      <c r="F377" s="386" t="s">
        <v>2048</v>
      </c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</row>
    <row r="378" ht="15.75" customHeight="1">
      <c r="A378" s="330" t="s">
        <v>2049</v>
      </c>
      <c r="B378" s="219" t="s">
        <v>8</v>
      </c>
      <c r="C378" s="219" t="s">
        <v>9</v>
      </c>
      <c r="D378" s="219"/>
      <c r="E378" s="219"/>
      <c r="F378" s="386" t="s">
        <v>2050</v>
      </c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</row>
    <row r="379" ht="15.75" customHeight="1">
      <c r="A379" s="147" t="s">
        <v>992</v>
      </c>
      <c r="B379" s="219"/>
      <c r="C379" s="219"/>
      <c r="D379" s="371">
        <v>9.0</v>
      </c>
      <c r="E379" s="219"/>
      <c r="F379" s="386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</row>
    <row r="380" ht="15.75" customHeight="1">
      <c r="A380" s="330" t="s">
        <v>2051</v>
      </c>
      <c r="B380" s="177" t="s">
        <v>8</v>
      </c>
      <c r="C380" s="177" t="s">
        <v>9</v>
      </c>
      <c r="D380" s="219"/>
      <c r="E380" s="219"/>
      <c r="F380" s="326" t="s">
        <v>1656</v>
      </c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</row>
    <row r="381" ht="15.75" customHeight="1">
      <c r="A381" s="330" t="s">
        <v>2052</v>
      </c>
      <c r="B381" s="177" t="s">
        <v>96</v>
      </c>
      <c r="C381" s="177" t="s">
        <v>9</v>
      </c>
      <c r="D381" s="219"/>
      <c r="E381" s="219"/>
      <c r="F381" s="326" t="s">
        <v>1656</v>
      </c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</row>
    <row r="382" ht="15.75" customHeight="1">
      <c r="A382" s="330" t="s">
        <v>2053</v>
      </c>
      <c r="B382" s="177" t="s">
        <v>8</v>
      </c>
      <c r="C382" s="219"/>
      <c r="D382" s="219"/>
      <c r="E382" s="219"/>
      <c r="F382" s="326" t="s">
        <v>1656</v>
      </c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</row>
    <row r="383" ht="15.75" customHeight="1">
      <c r="A383" s="330" t="s">
        <v>2054</v>
      </c>
      <c r="B383" s="177" t="s">
        <v>54</v>
      </c>
      <c r="C383" s="177" t="s">
        <v>9</v>
      </c>
      <c r="D383" s="219"/>
      <c r="E383" s="219"/>
      <c r="F383" s="326" t="s">
        <v>1656</v>
      </c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</row>
    <row r="384" ht="15.75" customHeight="1">
      <c r="A384" s="147" t="s">
        <v>992</v>
      </c>
      <c r="B384" s="219"/>
      <c r="C384" s="219"/>
      <c r="D384" s="371">
        <v>9.0</v>
      </c>
      <c r="E384" s="219"/>
      <c r="F384" s="386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</row>
    <row r="385" ht="15.75" customHeight="1">
      <c r="A385" s="330" t="s">
        <v>1634</v>
      </c>
      <c r="B385" s="177" t="s">
        <v>8</v>
      </c>
      <c r="C385" s="177" t="s">
        <v>20</v>
      </c>
      <c r="D385" s="219"/>
      <c r="E385" s="219"/>
      <c r="F385" s="326" t="s">
        <v>785</v>
      </c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</row>
    <row r="386" ht="15.75" customHeight="1">
      <c r="A386" s="330" t="s">
        <v>2055</v>
      </c>
      <c r="B386" s="177" t="s">
        <v>8</v>
      </c>
      <c r="C386" s="177" t="s">
        <v>16</v>
      </c>
      <c r="D386" s="219"/>
      <c r="E386" s="219"/>
      <c r="F386" s="326" t="s">
        <v>785</v>
      </c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</row>
    <row r="387" ht="15.75" customHeight="1">
      <c r="A387" s="330" t="s">
        <v>993</v>
      </c>
      <c r="B387" s="177" t="s">
        <v>8</v>
      </c>
      <c r="C387" s="219"/>
      <c r="D387" s="219"/>
      <c r="E387" s="219"/>
      <c r="F387" s="326" t="s">
        <v>785</v>
      </c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</row>
    <row r="388" ht="15.75" customHeight="1">
      <c r="A388" s="330" t="s">
        <v>993</v>
      </c>
      <c r="B388" s="177" t="s">
        <v>8</v>
      </c>
      <c r="C388" s="219"/>
      <c r="D388" s="219"/>
      <c r="E388" s="219"/>
      <c r="F388" s="326" t="s">
        <v>785</v>
      </c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</row>
    <row r="389" ht="15.75" customHeight="1">
      <c r="A389" s="147" t="s">
        <v>992</v>
      </c>
      <c r="B389" s="219"/>
      <c r="C389" s="219"/>
      <c r="D389" s="371">
        <v>9.0</v>
      </c>
      <c r="E389" s="219"/>
      <c r="F389" s="386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</row>
    <row r="390" ht="15.75" customHeight="1">
      <c r="A390" s="330" t="s">
        <v>2056</v>
      </c>
      <c r="B390" s="177" t="s">
        <v>8</v>
      </c>
      <c r="C390" s="177" t="s">
        <v>9</v>
      </c>
      <c r="D390" s="219"/>
      <c r="E390" s="219"/>
      <c r="F390" s="329" t="s">
        <v>770</v>
      </c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</row>
    <row r="391" ht="15.75" customHeight="1">
      <c r="A391" s="330" t="s">
        <v>993</v>
      </c>
      <c r="B391" s="177" t="s">
        <v>8</v>
      </c>
      <c r="C391" s="219"/>
      <c r="D391" s="219"/>
      <c r="E391" s="219"/>
      <c r="F391" s="326" t="s">
        <v>785</v>
      </c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</row>
    <row r="392" ht="15.75" customHeight="1">
      <c r="A392" s="330" t="s">
        <v>2057</v>
      </c>
      <c r="B392" s="177" t="s">
        <v>8</v>
      </c>
      <c r="C392" s="177" t="s">
        <v>40</v>
      </c>
      <c r="D392" s="219"/>
      <c r="E392" s="219"/>
      <c r="F392" s="329" t="s">
        <v>770</v>
      </c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</row>
    <row r="393" ht="15.75" customHeight="1">
      <c r="A393" s="330" t="s">
        <v>993</v>
      </c>
      <c r="B393" s="177" t="s">
        <v>8</v>
      </c>
      <c r="C393" s="219"/>
      <c r="D393" s="219"/>
      <c r="E393" s="219"/>
      <c r="F393" s="326" t="s">
        <v>785</v>
      </c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</row>
    <row r="394" ht="15.75" customHeight="1">
      <c r="A394" s="147" t="s">
        <v>992</v>
      </c>
      <c r="B394" s="219"/>
      <c r="C394" s="219"/>
      <c r="D394" s="371">
        <v>9.0</v>
      </c>
      <c r="E394" s="219"/>
      <c r="F394" s="386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</row>
    <row r="395" ht="15.75" customHeight="1">
      <c r="A395" s="330" t="s">
        <v>993</v>
      </c>
      <c r="B395" s="177" t="s">
        <v>8</v>
      </c>
      <c r="C395" s="219"/>
      <c r="D395" s="219"/>
      <c r="E395" s="219"/>
      <c r="F395" s="326" t="s">
        <v>785</v>
      </c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</row>
    <row r="396" ht="15.75" customHeight="1">
      <c r="A396" s="330" t="s">
        <v>993</v>
      </c>
      <c r="B396" s="177" t="s">
        <v>8</v>
      </c>
      <c r="C396" s="219"/>
      <c r="D396" s="219"/>
      <c r="E396" s="219"/>
      <c r="F396" s="326" t="s">
        <v>785</v>
      </c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</row>
    <row r="397" ht="15.75" customHeight="1">
      <c r="A397" s="330" t="s">
        <v>993</v>
      </c>
      <c r="B397" s="177" t="s">
        <v>8</v>
      </c>
      <c r="C397" s="219"/>
      <c r="D397" s="219"/>
      <c r="E397" s="219"/>
      <c r="F397" s="326" t="s">
        <v>785</v>
      </c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</row>
    <row r="398" ht="15.75" customHeight="1">
      <c r="A398" s="330" t="s">
        <v>993</v>
      </c>
      <c r="B398" s="177" t="s">
        <v>8</v>
      </c>
      <c r="C398" s="219"/>
      <c r="D398" s="219"/>
      <c r="E398" s="219"/>
      <c r="F398" s="326" t="s">
        <v>785</v>
      </c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</row>
    <row r="399" ht="15.75" customHeight="1">
      <c r="A399" s="147" t="s">
        <v>992</v>
      </c>
      <c r="B399" s="219"/>
      <c r="C399" s="219"/>
      <c r="D399" s="371">
        <v>9.0</v>
      </c>
      <c r="E399" s="219"/>
      <c r="F399" s="386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</row>
    <row r="400" ht="15.75" customHeight="1">
      <c r="A400" s="330" t="s">
        <v>993</v>
      </c>
      <c r="B400" s="177" t="s">
        <v>8</v>
      </c>
      <c r="C400" s="219"/>
      <c r="D400" s="219"/>
      <c r="E400" s="219"/>
      <c r="F400" s="326" t="s">
        <v>785</v>
      </c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</row>
    <row r="401" ht="15.75" customHeight="1">
      <c r="A401" s="330" t="s">
        <v>993</v>
      </c>
      <c r="B401" s="177" t="s">
        <v>8</v>
      </c>
      <c r="C401" s="219"/>
      <c r="D401" s="219"/>
      <c r="E401" s="219"/>
      <c r="F401" s="326" t="s">
        <v>785</v>
      </c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</row>
    <row r="402" ht="15.75" customHeight="1">
      <c r="A402" s="330" t="s">
        <v>993</v>
      </c>
      <c r="B402" s="177" t="s">
        <v>8</v>
      </c>
      <c r="C402" s="219"/>
      <c r="D402" s="219"/>
      <c r="E402" s="219"/>
      <c r="F402" s="326" t="s">
        <v>785</v>
      </c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</row>
    <row r="403" ht="15.75" customHeight="1">
      <c r="A403" s="330" t="s">
        <v>993</v>
      </c>
      <c r="B403" s="177" t="s">
        <v>8</v>
      </c>
      <c r="C403" s="219"/>
      <c r="D403" s="219"/>
      <c r="E403" s="219"/>
      <c r="F403" s="326" t="s">
        <v>785</v>
      </c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</row>
    <row r="404" ht="15.75" customHeight="1">
      <c r="A404" s="147" t="s">
        <v>992</v>
      </c>
      <c r="B404" s="219"/>
      <c r="C404" s="219"/>
      <c r="D404" s="371">
        <v>9.0</v>
      </c>
      <c r="E404" s="219"/>
      <c r="F404" s="386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</row>
    <row r="405" ht="15.75" customHeight="1">
      <c r="A405" s="330" t="s">
        <v>993</v>
      </c>
      <c r="B405" s="177" t="s">
        <v>8</v>
      </c>
      <c r="C405" s="219"/>
      <c r="D405" s="219"/>
      <c r="E405" s="219"/>
      <c r="F405" s="326" t="s">
        <v>785</v>
      </c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</row>
    <row r="406" ht="15.75" customHeight="1">
      <c r="A406" s="330" t="s">
        <v>993</v>
      </c>
      <c r="B406" s="177" t="s">
        <v>8</v>
      </c>
      <c r="C406" s="219"/>
      <c r="D406" s="219"/>
      <c r="E406" s="219"/>
      <c r="F406" s="326" t="s">
        <v>785</v>
      </c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</row>
    <row r="407" ht="15.75" customHeight="1">
      <c r="A407" s="330" t="s">
        <v>993</v>
      </c>
      <c r="B407" s="177" t="s">
        <v>8</v>
      </c>
      <c r="C407" s="219"/>
      <c r="D407" s="219"/>
      <c r="E407" s="219"/>
      <c r="F407" s="326" t="s">
        <v>785</v>
      </c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</row>
    <row r="408" ht="15.75" customHeight="1">
      <c r="A408" s="330" t="s">
        <v>993</v>
      </c>
      <c r="B408" s="177" t="s">
        <v>8</v>
      </c>
      <c r="C408" s="219"/>
      <c r="D408" s="219"/>
      <c r="E408" s="219"/>
      <c r="F408" s="326" t="s">
        <v>785</v>
      </c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</row>
    <row r="409" ht="15.75" customHeight="1">
      <c r="A409" s="147" t="s">
        <v>992</v>
      </c>
      <c r="B409" s="219"/>
      <c r="C409" s="219"/>
      <c r="D409" s="371">
        <v>12.0</v>
      </c>
      <c r="E409" s="219"/>
      <c r="F409" s="386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</row>
    <row r="410" ht="15.75" customHeight="1">
      <c r="A410" s="330" t="s">
        <v>2058</v>
      </c>
      <c r="B410" s="219" t="s">
        <v>54</v>
      </c>
      <c r="C410" s="219" t="s">
        <v>20</v>
      </c>
      <c r="D410" s="219"/>
      <c r="E410" s="219"/>
      <c r="F410" s="386" t="s">
        <v>2059</v>
      </c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</row>
    <row r="411" ht="15.75" customHeight="1">
      <c r="A411" s="330" t="s">
        <v>2060</v>
      </c>
      <c r="B411" s="219" t="s">
        <v>8</v>
      </c>
      <c r="C411" s="219" t="s">
        <v>20</v>
      </c>
      <c r="D411" s="219"/>
      <c r="E411" s="219"/>
      <c r="F411" s="386" t="s">
        <v>2061</v>
      </c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</row>
    <row r="412" ht="15.75" customHeight="1">
      <c r="A412" s="330" t="s">
        <v>993</v>
      </c>
      <c r="B412" s="177" t="s">
        <v>8</v>
      </c>
      <c r="C412" s="219"/>
      <c r="D412" s="219"/>
      <c r="E412" s="219"/>
      <c r="F412" s="326" t="s">
        <v>785</v>
      </c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</row>
    <row r="413" ht="15.75" customHeight="1">
      <c r="A413" s="330" t="s">
        <v>2062</v>
      </c>
      <c r="B413" s="219" t="s">
        <v>8</v>
      </c>
      <c r="C413" s="219" t="s">
        <v>16</v>
      </c>
      <c r="D413" s="219"/>
      <c r="E413" s="219"/>
      <c r="F413" s="326" t="s">
        <v>2063</v>
      </c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</row>
    <row r="414" ht="15.75" customHeight="1">
      <c r="A414" s="330" t="s">
        <v>2064</v>
      </c>
      <c r="B414" s="219" t="s">
        <v>8</v>
      </c>
      <c r="C414" s="219" t="s">
        <v>9</v>
      </c>
      <c r="D414" s="219"/>
      <c r="E414" s="219"/>
      <c r="F414" s="386" t="s">
        <v>1644</v>
      </c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</row>
    <row r="415" ht="15.75" customHeight="1">
      <c r="A415" s="330" t="s">
        <v>2065</v>
      </c>
      <c r="B415" s="219" t="s">
        <v>8</v>
      </c>
      <c r="C415" s="219" t="s">
        <v>9</v>
      </c>
      <c r="D415" s="219"/>
      <c r="E415" s="219"/>
      <c r="F415" s="386" t="s">
        <v>2066</v>
      </c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</row>
    <row r="416" ht="15.75" customHeight="1">
      <c r="A416" s="147" t="s">
        <v>992</v>
      </c>
      <c r="B416" s="219"/>
      <c r="C416" s="219"/>
      <c r="D416" s="371">
        <v>12.0</v>
      </c>
      <c r="E416" s="219"/>
      <c r="F416" s="386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</row>
    <row r="417" ht="15.75" customHeight="1">
      <c r="A417" s="330" t="s">
        <v>2067</v>
      </c>
      <c r="B417" s="177" t="s">
        <v>8</v>
      </c>
      <c r="C417" s="177" t="s">
        <v>9</v>
      </c>
      <c r="D417" s="219"/>
      <c r="E417" s="219"/>
      <c r="F417" s="326" t="s">
        <v>1656</v>
      </c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</row>
    <row r="418" ht="15.75" customHeight="1">
      <c r="A418" s="330" t="s">
        <v>2068</v>
      </c>
      <c r="B418" s="177" t="s">
        <v>8</v>
      </c>
      <c r="C418" s="177" t="s">
        <v>20</v>
      </c>
      <c r="D418" s="219"/>
      <c r="E418" s="219"/>
      <c r="F418" s="326" t="s">
        <v>1656</v>
      </c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</row>
    <row r="419" ht="15.75" customHeight="1">
      <c r="A419" s="330" t="s">
        <v>2069</v>
      </c>
      <c r="B419" s="177" t="s">
        <v>8</v>
      </c>
      <c r="C419" s="177" t="s">
        <v>16</v>
      </c>
      <c r="D419" s="219"/>
      <c r="E419" s="219"/>
      <c r="F419" s="326" t="s">
        <v>1656</v>
      </c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</row>
    <row r="420" ht="15.75" customHeight="1">
      <c r="A420" s="330" t="s">
        <v>993</v>
      </c>
      <c r="B420" s="177" t="s">
        <v>8</v>
      </c>
      <c r="C420" s="219"/>
      <c r="D420" s="219"/>
      <c r="E420" s="219"/>
      <c r="F420" s="326" t="s">
        <v>785</v>
      </c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</row>
    <row r="421" ht="15.75" customHeight="1">
      <c r="A421" s="330" t="s">
        <v>2070</v>
      </c>
      <c r="B421" s="177" t="s">
        <v>8</v>
      </c>
      <c r="C421" s="177" t="s">
        <v>9</v>
      </c>
      <c r="D421" s="219"/>
      <c r="E421" s="219"/>
      <c r="F421" s="326" t="s">
        <v>1656</v>
      </c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</row>
    <row r="422" ht="15.75" customHeight="1">
      <c r="A422" s="330" t="s">
        <v>2071</v>
      </c>
      <c r="B422" s="177" t="s">
        <v>8</v>
      </c>
      <c r="C422" s="177" t="s">
        <v>40</v>
      </c>
      <c r="D422" s="219"/>
      <c r="E422" s="219"/>
      <c r="F422" s="326" t="s">
        <v>1656</v>
      </c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</row>
    <row r="423" ht="15.75" customHeight="1">
      <c r="A423" s="147" t="s">
        <v>992</v>
      </c>
      <c r="B423" s="219"/>
      <c r="C423" s="219"/>
      <c r="D423" s="371">
        <v>12.0</v>
      </c>
      <c r="E423" s="219"/>
      <c r="F423" s="386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</row>
    <row r="424" ht="15.75" customHeight="1">
      <c r="A424" s="330" t="s">
        <v>2072</v>
      </c>
      <c r="B424" s="177" t="s">
        <v>8</v>
      </c>
      <c r="C424" s="177" t="s">
        <v>16</v>
      </c>
      <c r="D424" s="219"/>
      <c r="E424" s="219"/>
      <c r="F424" s="326" t="s">
        <v>785</v>
      </c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</row>
    <row r="425" ht="15.75" customHeight="1">
      <c r="A425" s="330" t="s">
        <v>993</v>
      </c>
      <c r="B425" s="177" t="s">
        <v>8</v>
      </c>
      <c r="C425" s="219"/>
      <c r="D425" s="219"/>
      <c r="E425" s="219"/>
      <c r="F425" s="326" t="s">
        <v>785</v>
      </c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</row>
    <row r="426" ht="15.75" customHeight="1">
      <c r="A426" s="330" t="s">
        <v>993</v>
      </c>
      <c r="B426" s="177" t="s">
        <v>8</v>
      </c>
      <c r="C426" s="219"/>
      <c r="D426" s="219"/>
      <c r="E426" s="219"/>
      <c r="F426" s="326" t="s">
        <v>785</v>
      </c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</row>
    <row r="427" ht="15.75" customHeight="1">
      <c r="A427" s="330" t="s">
        <v>993</v>
      </c>
      <c r="B427" s="177" t="s">
        <v>8</v>
      </c>
      <c r="C427" s="219"/>
      <c r="D427" s="219"/>
      <c r="E427" s="219"/>
      <c r="F427" s="326" t="s">
        <v>785</v>
      </c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</row>
    <row r="428" ht="15.75" customHeight="1">
      <c r="A428" s="330" t="s">
        <v>993</v>
      </c>
      <c r="B428" s="177" t="s">
        <v>8</v>
      </c>
      <c r="C428" s="219"/>
      <c r="D428" s="219"/>
      <c r="E428" s="219"/>
      <c r="F428" s="326" t="s">
        <v>785</v>
      </c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</row>
    <row r="429" ht="15.75" customHeight="1">
      <c r="A429" s="330" t="s">
        <v>993</v>
      </c>
      <c r="B429" s="177" t="s">
        <v>8</v>
      </c>
      <c r="C429" s="219"/>
      <c r="D429" s="219"/>
      <c r="E429" s="219"/>
      <c r="F429" s="326" t="s">
        <v>785</v>
      </c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</row>
    <row r="430" ht="15.75" customHeight="1">
      <c r="A430" s="147" t="s">
        <v>992</v>
      </c>
      <c r="B430" s="219"/>
      <c r="C430" s="219"/>
      <c r="D430" s="371">
        <v>12.0</v>
      </c>
      <c r="E430" s="219"/>
      <c r="F430" s="386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</row>
    <row r="431" ht="15.75" customHeight="1">
      <c r="A431" s="330" t="s">
        <v>2073</v>
      </c>
      <c r="B431" s="177" t="s">
        <v>8</v>
      </c>
      <c r="C431" s="177" t="s">
        <v>20</v>
      </c>
      <c r="D431" s="219"/>
      <c r="E431" s="219"/>
      <c r="F431" s="326" t="s">
        <v>785</v>
      </c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</row>
    <row r="432" ht="15.75" customHeight="1">
      <c r="A432" s="330" t="s">
        <v>2074</v>
      </c>
      <c r="B432" s="177" t="s">
        <v>8</v>
      </c>
      <c r="C432" s="177" t="s">
        <v>40</v>
      </c>
      <c r="D432" s="219"/>
      <c r="E432" s="219"/>
      <c r="F432" s="326" t="s">
        <v>785</v>
      </c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</row>
    <row r="433" ht="15.75" customHeight="1">
      <c r="A433" s="330" t="s">
        <v>2075</v>
      </c>
      <c r="B433" s="177" t="s">
        <v>8</v>
      </c>
      <c r="C433" s="177" t="s">
        <v>16</v>
      </c>
      <c r="D433" s="219"/>
      <c r="E433" s="219"/>
      <c r="F433" s="326" t="s">
        <v>785</v>
      </c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</row>
    <row r="434" ht="15.75" customHeight="1">
      <c r="A434" s="330" t="s">
        <v>993</v>
      </c>
      <c r="B434" s="177" t="s">
        <v>8</v>
      </c>
      <c r="C434" s="219"/>
      <c r="D434" s="219"/>
      <c r="E434" s="219"/>
      <c r="F434" s="326" t="s">
        <v>785</v>
      </c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</row>
    <row r="435" ht="15.75" customHeight="1">
      <c r="A435" s="330" t="s">
        <v>993</v>
      </c>
      <c r="B435" s="177" t="s">
        <v>8</v>
      </c>
      <c r="C435" s="219"/>
      <c r="D435" s="219"/>
      <c r="E435" s="219"/>
      <c r="F435" s="326" t="s">
        <v>785</v>
      </c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</row>
    <row r="436" ht="15.75" customHeight="1">
      <c r="A436" s="330" t="s">
        <v>993</v>
      </c>
      <c r="B436" s="177" t="s">
        <v>8</v>
      </c>
      <c r="C436" s="219"/>
      <c r="D436" s="219"/>
      <c r="E436" s="219"/>
      <c r="F436" s="326" t="s">
        <v>785</v>
      </c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</row>
    <row r="437" ht="15.75" customHeight="1">
      <c r="A437" s="147" t="s">
        <v>992</v>
      </c>
      <c r="B437" s="219"/>
      <c r="C437" s="219"/>
      <c r="D437" s="371">
        <v>12.0</v>
      </c>
      <c r="E437" s="219"/>
      <c r="F437" s="386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</row>
    <row r="438" ht="15.75" customHeight="1">
      <c r="A438" s="330" t="s">
        <v>2076</v>
      </c>
      <c r="B438" s="177" t="s">
        <v>8</v>
      </c>
      <c r="C438" s="177" t="s">
        <v>40</v>
      </c>
      <c r="D438" s="219"/>
      <c r="E438" s="219"/>
      <c r="F438" s="326" t="s">
        <v>785</v>
      </c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</row>
    <row r="439" ht="15.75" customHeight="1">
      <c r="A439" s="330" t="s">
        <v>2077</v>
      </c>
      <c r="B439" s="177" t="s">
        <v>8</v>
      </c>
      <c r="C439" s="177" t="s">
        <v>40</v>
      </c>
      <c r="D439" s="219"/>
      <c r="E439" s="219"/>
      <c r="F439" s="326" t="s">
        <v>785</v>
      </c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</row>
    <row r="440" ht="15.75" customHeight="1">
      <c r="A440" s="330" t="s">
        <v>2078</v>
      </c>
      <c r="B440" s="177" t="s">
        <v>8</v>
      </c>
      <c r="C440" s="177" t="s">
        <v>16</v>
      </c>
      <c r="D440" s="219"/>
      <c r="E440" s="219"/>
      <c r="F440" s="326" t="s">
        <v>785</v>
      </c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</row>
    <row r="441" ht="15.75" customHeight="1">
      <c r="A441" s="330" t="s">
        <v>2079</v>
      </c>
      <c r="B441" s="177" t="s">
        <v>8</v>
      </c>
      <c r="C441" s="177" t="s">
        <v>20</v>
      </c>
      <c r="D441" s="219"/>
      <c r="E441" s="219"/>
      <c r="F441" s="326" t="s">
        <v>785</v>
      </c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</row>
    <row r="442" ht="15.75" customHeight="1">
      <c r="A442" s="330" t="s">
        <v>2080</v>
      </c>
      <c r="B442" s="177" t="s">
        <v>8</v>
      </c>
      <c r="C442" s="177" t="s">
        <v>12</v>
      </c>
      <c r="D442" s="219"/>
      <c r="E442" s="219"/>
      <c r="F442" s="326" t="s">
        <v>785</v>
      </c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</row>
    <row r="443" ht="15.75" customHeight="1">
      <c r="A443" s="330" t="s">
        <v>993</v>
      </c>
      <c r="B443" s="177" t="s">
        <v>8</v>
      </c>
      <c r="C443" s="219"/>
      <c r="D443" s="219"/>
      <c r="E443" s="219"/>
      <c r="F443" s="326" t="s">
        <v>785</v>
      </c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</row>
    <row r="444" ht="15.75" customHeight="1">
      <c r="A444" s="147" t="s">
        <v>992</v>
      </c>
      <c r="B444" s="219"/>
      <c r="C444" s="219"/>
      <c r="D444" s="371">
        <v>12.0</v>
      </c>
      <c r="E444" s="219"/>
      <c r="F444" s="386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</row>
    <row r="445" ht="15.75" customHeight="1">
      <c r="A445" s="330" t="s">
        <v>993</v>
      </c>
      <c r="B445" s="177" t="s">
        <v>8</v>
      </c>
      <c r="C445" s="219"/>
      <c r="D445" s="219"/>
      <c r="E445" s="219"/>
      <c r="F445" s="326" t="s">
        <v>785</v>
      </c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</row>
    <row r="446" ht="15.75" customHeight="1">
      <c r="A446" s="330" t="s">
        <v>993</v>
      </c>
      <c r="B446" s="177" t="s">
        <v>8</v>
      </c>
      <c r="C446" s="219"/>
      <c r="D446" s="219"/>
      <c r="E446" s="219"/>
      <c r="F446" s="326" t="s">
        <v>785</v>
      </c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</row>
    <row r="447" ht="15.75" customHeight="1">
      <c r="A447" s="330" t="s">
        <v>993</v>
      </c>
      <c r="B447" s="177" t="s">
        <v>8</v>
      </c>
      <c r="C447" s="219"/>
      <c r="D447" s="219"/>
      <c r="E447" s="219"/>
      <c r="F447" s="326" t="s">
        <v>785</v>
      </c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</row>
    <row r="448" ht="15.75" customHeight="1">
      <c r="A448" s="330" t="s">
        <v>993</v>
      </c>
      <c r="B448" s="177" t="s">
        <v>8</v>
      </c>
      <c r="C448" s="219"/>
      <c r="D448" s="219"/>
      <c r="E448" s="219"/>
      <c r="F448" s="326" t="s">
        <v>785</v>
      </c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</row>
    <row r="449" ht="15.75" customHeight="1">
      <c r="A449" s="330" t="s">
        <v>993</v>
      </c>
      <c r="B449" s="177" t="s">
        <v>8</v>
      </c>
      <c r="C449" s="219"/>
      <c r="D449" s="219"/>
      <c r="E449" s="219"/>
      <c r="F449" s="326" t="s">
        <v>785</v>
      </c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</row>
    <row r="450" ht="15.75" customHeight="1">
      <c r="A450" s="330" t="s">
        <v>993</v>
      </c>
      <c r="B450" s="177" t="s">
        <v>8</v>
      </c>
      <c r="C450" s="219"/>
      <c r="D450" s="219"/>
      <c r="E450" s="219"/>
      <c r="F450" s="326" t="s">
        <v>785</v>
      </c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</row>
    <row r="451" ht="15.75" customHeight="1">
      <c r="A451" s="147" t="s">
        <v>992</v>
      </c>
      <c r="B451" s="219"/>
      <c r="C451" s="219"/>
      <c r="D451" s="371">
        <v>12.0</v>
      </c>
      <c r="E451" s="219"/>
      <c r="F451" s="386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</row>
    <row r="452" ht="15.75" customHeight="1">
      <c r="A452" s="330" t="s">
        <v>993</v>
      </c>
      <c r="B452" s="177" t="s">
        <v>8</v>
      </c>
      <c r="C452" s="219"/>
      <c r="D452" s="219"/>
      <c r="E452" s="219"/>
      <c r="F452" s="326" t="s">
        <v>785</v>
      </c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</row>
    <row r="453" ht="15.75" customHeight="1">
      <c r="A453" s="330" t="s">
        <v>993</v>
      </c>
      <c r="B453" s="177" t="s">
        <v>8</v>
      </c>
      <c r="C453" s="219"/>
      <c r="D453" s="219"/>
      <c r="E453" s="219"/>
      <c r="F453" s="326" t="s">
        <v>785</v>
      </c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</row>
    <row r="454" ht="15.75" customHeight="1">
      <c r="A454" s="330" t="s">
        <v>993</v>
      </c>
      <c r="B454" s="177" t="s">
        <v>8</v>
      </c>
      <c r="C454" s="219"/>
      <c r="D454" s="219"/>
      <c r="E454" s="219"/>
      <c r="F454" s="326" t="s">
        <v>785</v>
      </c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</row>
    <row r="455" ht="15.75" customHeight="1">
      <c r="A455" s="330" t="s">
        <v>993</v>
      </c>
      <c r="B455" s="177" t="s">
        <v>8</v>
      </c>
      <c r="C455" s="219"/>
      <c r="D455" s="219"/>
      <c r="E455" s="219"/>
      <c r="F455" s="326" t="s">
        <v>785</v>
      </c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</row>
    <row r="456" ht="15.75" customHeight="1">
      <c r="A456" s="330" t="s">
        <v>993</v>
      </c>
      <c r="B456" s="177" t="s">
        <v>8</v>
      </c>
      <c r="C456" s="219"/>
      <c r="D456" s="219"/>
      <c r="E456" s="219"/>
      <c r="F456" s="326" t="s">
        <v>785</v>
      </c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</row>
    <row r="457" ht="15.75" customHeight="1">
      <c r="A457" s="325" t="s">
        <v>993</v>
      </c>
      <c r="B457" s="177" t="s">
        <v>8</v>
      </c>
      <c r="C457" s="219"/>
      <c r="D457" s="331"/>
      <c r="E457" s="219"/>
      <c r="F457" s="326" t="s">
        <v>785</v>
      </c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</row>
    <row r="458" ht="15.75" customHeight="1">
      <c r="A458" s="379" t="s">
        <v>64</v>
      </c>
      <c r="B458" s="373"/>
      <c r="C458" s="373"/>
      <c r="D458" s="374">
        <f>SUM(D291:D457)</f>
        <v>320</v>
      </c>
      <c r="E458" s="373"/>
      <c r="F458" s="391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</row>
    <row r="459" ht="15.75" customHeight="1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</row>
    <row r="460" ht="15.75" customHeight="1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</row>
    <row r="461" ht="15.75" customHeight="1">
      <c r="A461" s="392" t="s">
        <v>2081</v>
      </c>
      <c r="B461" s="393">
        <f>D3+D76+D79+D150+D172+D183+D205+D223+D229+D244+D253+D458</f>
        <v>2780</v>
      </c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</row>
    <row r="462" ht="15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</row>
    <row r="463" ht="15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</row>
    <row r="464" ht="15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</row>
    <row r="465" ht="15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</row>
    <row r="466" ht="15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</row>
    <row r="467" ht="15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</row>
    <row r="468" ht="15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</row>
    <row r="469" ht="15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</row>
    <row r="470" ht="15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</row>
    <row r="471" ht="15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</row>
    <row r="472" ht="15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</row>
    <row r="473" ht="15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</row>
    <row r="474" ht="15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</row>
    <row r="475" ht="15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</row>
    <row r="476" ht="15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</row>
    <row r="477" ht="15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</row>
    <row r="478" ht="15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</row>
    <row r="479" ht="15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</row>
    <row r="480" ht="15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</row>
    <row r="481" ht="15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</row>
    <row r="482" ht="15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</row>
    <row r="483" ht="15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</row>
    <row r="484" ht="15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</row>
    <row r="485" ht="15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</row>
    <row r="486" ht="15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</row>
    <row r="487" ht="15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</row>
    <row r="488" ht="15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</row>
    <row r="489" ht="15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</row>
    <row r="490" ht="15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</row>
    <row r="491" ht="15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</row>
    <row r="492" ht="15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</row>
    <row r="493" ht="15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</row>
    <row r="494" ht="15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</row>
    <row r="495" ht="15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</row>
    <row r="496" ht="15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</row>
    <row r="497" ht="15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</row>
    <row r="498" ht="15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</row>
    <row r="499" ht="15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</row>
    <row r="500" ht="15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</row>
    <row r="501" ht="15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</row>
    <row r="502" ht="15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</row>
    <row r="503" ht="15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</row>
    <row r="504" ht="15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</row>
    <row r="505" ht="15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</row>
    <row r="506" ht="15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</row>
    <row r="507" ht="15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</row>
    <row r="508" ht="15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</row>
    <row r="509" ht="15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</row>
    <row r="510" ht="15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</row>
    <row r="511" ht="15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</row>
    <row r="512" ht="15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</row>
    <row r="513" ht="15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</row>
    <row r="514" ht="15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</row>
    <row r="515" ht="15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</row>
    <row r="516" ht="15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</row>
    <row r="517" ht="15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</row>
    <row r="518" ht="15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</row>
    <row r="519" ht="15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</row>
    <row r="520" ht="15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</row>
    <row r="521" ht="15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</row>
    <row r="522" ht="15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</row>
    <row r="523" ht="15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</row>
    <row r="524" ht="15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</row>
    <row r="525" ht="15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</row>
    <row r="526" ht="15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</row>
    <row r="527" ht="15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</row>
    <row r="528" ht="15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</row>
    <row r="529" ht="15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</row>
    <row r="530" ht="15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</row>
    <row r="531" ht="15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</row>
    <row r="532" ht="15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</row>
    <row r="533" ht="15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</row>
    <row r="534" ht="15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</row>
    <row r="535" ht="15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</row>
    <row r="536" ht="15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</row>
    <row r="537" ht="15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</row>
    <row r="538" ht="15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</row>
    <row r="539" ht="15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</row>
    <row r="540" ht="15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</row>
    <row r="541" ht="15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</row>
    <row r="542" ht="15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</row>
    <row r="543" ht="15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</row>
    <row r="544" ht="15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</row>
    <row r="545" ht="15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</row>
    <row r="546" ht="15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</row>
    <row r="547" ht="15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</row>
    <row r="548" ht="15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</row>
    <row r="549" ht="15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</row>
    <row r="550" ht="15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</row>
    <row r="551" ht="15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</row>
    <row r="552" ht="15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</row>
    <row r="553" ht="15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</row>
    <row r="554" ht="15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</row>
    <row r="555" ht="15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</row>
    <row r="556" ht="15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</row>
    <row r="557" ht="15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</row>
    <row r="558" ht="15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</row>
    <row r="559" ht="15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</row>
    <row r="560" ht="15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</row>
    <row r="561" ht="15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</row>
    <row r="562" ht="15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</row>
    <row r="563" ht="15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</row>
    <row r="564" ht="15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</row>
    <row r="565" ht="15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</row>
    <row r="566" ht="15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</row>
    <row r="567" ht="15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</row>
    <row r="568" ht="15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</row>
    <row r="569" ht="15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</row>
    <row r="570" ht="15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</row>
    <row r="571" ht="15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</row>
    <row r="572" ht="15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</row>
    <row r="573" ht="15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</row>
    <row r="574" ht="15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</row>
    <row r="575" ht="15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</row>
    <row r="576" ht="15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</row>
    <row r="577" ht="15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</row>
    <row r="578" ht="15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</row>
    <row r="579" ht="15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</row>
    <row r="580" ht="15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</row>
    <row r="581" ht="15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</row>
    <row r="582" ht="15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</row>
    <row r="583" ht="15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</row>
    <row r="584" ht="15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</row>
    <row r="585" ht="15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</row>
    <row r="586" ht="15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</row>
    <row r="587" ht="15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</row>
    <row r="588" ht="15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</row>
    <row r="589" ht="15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</row>
    <row r="590" ht="15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</row>
    <row r="591" ht="15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</row>
    <row r="592" ht="15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</row>
    <row r="593" ht="15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</row>
    <row r="594" ht="15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</row>
    <row r="595" ht="15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</row>
    <row r="596" ht="15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</row>
    <row r="597" ht="15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</row>
    <row r="598" ht="15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</row>
    <row r="599" ht="15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</row>
    <row r="600" ht="15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</row>
    <row r="601" ht="15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</row>
    <row r="602" ht="15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</row>
    <row r="603" ht="15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</row>
    <row r="604" ht="15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</row>
    <row r="605" ht="15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</row>
    <row r="606" ht="15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</row>
    <row r="607" ht="15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</row>
    <row r="608" ht="15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</row>
    <row r="609" ht="15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</row>
    <row r="610" ht="15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</row>
    <row r="611" ht="15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</row>
    <row r="612" ht="15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</row>
    <row r="613" ht="15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</row>
    <row r="614" ht="15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</row>
    <row r="615" ht="15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</row>
    <row r="616" ht="15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</row>
    <row r="617" ht="15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</row>
    <row r="618" ht="15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</row>
    <row r="619" ht="15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</row>
    <row r="620" ht="15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</row>
    <row r="621" ht="15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</row>
    <row r="622" ht="15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</row>
    <row r="623" ht="15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</row>
    <row r="624" ht="15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</row>
    <row r="625" ht="15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</row>
    <row r="626" ht="15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</row>
    <row r="627" ht="15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</row>
    <row r="628" ht="15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</row>
    <row r="629" ht="15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</row>
    <row r="630" ht="15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</row>
    <row r="631" ht="15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</row>
    <row r="632" ht="15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</row>
    <row r="633" ht="15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</row>
    <row r="634" ht="15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</row>
    <row r="635" ht="15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</row>
    <row r="636" ht="15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</row>
    <row r="637" ht="15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</row>
    <row r="638" ht="15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</row>
    <row r="639" ht="15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</row>
    <row r="640" ht="15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</row>
    <row r="641" ht="15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</row>
    <row r="642" ht="15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</row>
    <row r="643" ht="15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</row>
    <row r="644" ht="15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</row>
    <row r="645" ht="15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 ht="15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</row>
    <row r="647" ht="15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</row>
    <row r="648" ht="15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</row>
    <row r="649" ht="15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</row>
    <row r="650" ht="15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</row>
    <row r="651" ht="15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</row>
    <row r="652" ht="15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</row>
    <row r="653" ht="15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</row>
    <row r="654" ht="15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</row>
    <row r="655" ht="15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</row>
    <row r="656" ht="15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</row>
    <row r="657" ht="15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</row>
    <row r="658" ht="15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</row>
    <row r="659" ht="15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</row>
    <row r="660" ht="15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</row>
    <row r="661" ht="15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</row>
    <row r="662" ht="15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</row>
    <row r="663" ht="15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</row>
    <row r="664" ht="15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</row>
    <row r="665" ht="15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</row>
    <row r="666" ht="15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</row>
    <row r="667" ht="15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</row>
    <row r="668" ht="15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</row>
    <row r="669" ht="15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</row>
    <row r="670" ht="15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</row>
    <row r="671" ht="15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</row>
    <row r="672" ht="15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</row>
    <row r="673" ht="15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</row>
    <row r="674" ht="15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</row>
    <row r="675" ht="15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</row>
    <row r="676" ht="15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</row>
    <row r="677" ht="15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</row>
    <row r="678" ht="15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</row>
    <row r="679" ht="15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</row>
    <row r="680" ht="15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</row>
    <row r="681" ht="15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</row>
    <row r="682" ht="15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</row>
    <row r="683" ht="15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</row>
    <row r="684" ht="15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</row>
    <row r="685" ht="15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</row>
    <row r="686" ht="15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</row>
    <row r="687" ht="15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</row>
    <row r="688" ht="15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</row>
    <row r="689" ht="15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</row>
    <row r="690" ht="15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</row>
    <row r="691" ht="15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</row>
    <row r="692" ht="15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</row>
    <row r="693" ht="15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</row>
    <row r="694" ht="15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</row>
    <row r="695" ht="15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</row>
    <row r="696" ht="15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</row>
    <row r="697" ht="15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</row>
    <row r="698" ht="15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</row>
    <row r="699" ht="15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</row>
    <row r="700" ht="15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</row>
    <row r="701" ht="15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</row>
    <row r="702" ht="15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</row>
    <row r="703" ht="15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</row>
    <row r="704" ht="15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</row>
    <row r="705" ht="15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</row>
    <row r="706" ht="15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</row>
    <row r="707" ht="15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</row>
    <row r="708" ht="15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</row>
    <row r="709" ht="15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</row>
    <row r="710" ht="15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</row>
    <row r="711" ht="15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</row>
    <row r="712" ht="15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</row>
    <row r="713" ht="15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</row>
    <row r="714" ht="15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</row>
    <row r="715" ht="15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</row>
    <row r="716" ht="15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</row>
    <row r="717" ht="15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</row>
    <row r="718" ht="15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</row>
    <row r="719" ht="15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</row>
    <row r="720" ht="15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</row>
    <row r="721" ht="15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</row>
    <row r="722" ht="15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</row>
    <row r="723" ht="15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</row>
    <row r="724" ht="15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</row>
    <row r="725" ht="15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</row>
    <row r="726" ht="15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</row>
    <row r="727" ht="15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</row>
    <row r="728" ht="15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</row>
    <row r="729" ht="15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</row>
    <row r="730" ht="15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</row>
    <row r="731" ht="15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</row>
    <row r="732" ht="15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</row>
    <row r="733" ht="15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</row>
    <row r="734" ht="15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</row>
    <row r="735" ht="15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</row>
    <row r="736" ht="15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</row>
    <row r="737" ht="15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</row>
    <row r="738" ht="15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</row>
    <row r="739" ht="15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</row>
    <row r="740" ht="15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</row>
    <row r="741" ht="15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</row>
    <row r="742" ht="15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</row>
    <row r="743" ht="15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</row>
    <row r="744" ht="15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</row>
    <row r="745" ht="15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</row>
    <row r="746" ht="15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</row>
    <row r="747" ht="15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</row>
    <row r="748" ht="15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</row>
    <row r="749" ht="15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</row>
    <row r="750" ht="15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</row>
    <row r="751" ht="15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</row>
    <row r="752" ht="15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</row>
    <row r="753" ht="15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</row>
    <row r="754" ht="15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</row>
    <row r="755" ht="15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</row>
    <row r="756" ht="15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</row>
    <row r="757" ht="15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</row>
    <row r="758" ht="15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</row>
    <row r="759" ht="15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</row>
    <row r="760" ht="15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</row>
    <row r="761" ht="15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</row>
    <row r="762" ht="15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</row>
    <row r="763" ht="15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</row>
    <row r="764" ht="15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</row>
    <row r="765" ht="15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</row>
    <row r="766" ht="15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</row>
    <row r="767" ht="15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</row>
    <row r="768" ht="15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</row>
    <row r="769" ht="15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</row>
    <row r="770" ht="15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</row>
    <row r="771" ht="15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</row>
    <row r="772" ht="15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</row>
    <row r="773" ht="15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</row>
    <row r="774" ht="15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</row>
    <row r="775" ht="15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</row>
    <row r="776" ht="15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</row>
    <row r="777" ht="15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</row>
    <row r="778" ht="15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</row>
    <row r="779" ht="15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</row>
    <row r="780" ht="15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</row>
    <row r="781" ht="15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</row>
    <row r="782" ht="15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</row>
    <row r="783" ht="15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</row>
    <row r="784" ht="15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</row>
    <row r="785" ht="15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</row>
    <row r="786" ht="15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</row>
    <row r="787" ht="15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</row>
    <row r="788" ht="15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</row>
    <row r="789" ht="15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</row>
    <row r="790" ht="15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</row>
    <row r="791" ht="15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</row>
    <row r="792" ht="15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</row>
    <row r="793" ht="15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</row>
    <row r="794" ht="15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</row>
    <row r="795" ht="15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</row>
    <row r="796" ht="15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</row>
    <row r="797" ht="15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</row>
    <row r="798" ht="15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</row>
    <row r="799" ht="15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</row>
    <row r="800" ht="15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</row>
    <row r="801" ht="15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</row>
    <row r="802" ht="15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</row>
    <row r="803" ht="15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</row>
    <row r="804" ht="15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</row>
    <row r="805" ht="15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</row>
    <row r="806" ht="15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</row>
    <row r="807" ht="15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</row>
    <row r="808" ht="15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</row>
    <row r="809" ht="15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</row>
    <row r="810" ht="15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</row>
    <row r="811" ht="15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</row>
    <row r="812" ht="15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</row>
    <row r="813" ht="15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</row>
    <row r="814" ht="15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</row>
    <row r="815" ht="15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</row>
    <row r="816" ht="15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</row>
    <row r="817" ht="15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</row>
    <row r="818" ht="15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</row>
    <row r="819" ht="15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</row>
    <row r="820" ht="15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</row>
    <row r="821" ht="15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</row>
    <row r="822" ht="15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</row>
    <row r="823" ht="15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</row>
    <row r="824" ht="15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</row>
    <row r="825" ht="15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</row>
    <row r="826" ht="15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</row>
    <row r="827" ht="15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</row>
    <row r="828" ht="15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</row>
    <row r="829" ht="15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</row>
    <row r="830" ht="15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</row>
    <row r="831" ht="15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</row>
    <row r="832" ht="15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</row>
    <row r="833" ht="15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</row>
    <row r="834" ht="15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</row>
    <row r="835" ht="15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</row>
    <row r="836" ht="15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</row>
    <row r="837" ht="15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</row>
    <row r="838" ht="15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</row>
    <row r="839" ht="15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</row>
    <row r="840" ht="15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</row>
    <row r="841" ht="15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</row>
    <row r="842" ht="15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</row>
    <row r="843" ht="15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</row>
    <row r="844" ht="15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</row>
    <row r="845" ht="15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</row>
    <row r="846" ht="15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</row>
    <row r="847" ht="15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</row>
    <row r="848" ht="15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</row>
    <row r="849" ht="15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</row>
    <row r="850" ht="15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</row>
    <row r="851" ht="15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</row>
    <row r="852" ht="15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</row>
    <row r="853" ht="15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</row>
    <row r="854" ht="15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</row>
    <row r="855" ht="15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</row>
    <row r="856" ht="15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</row>
    <row r="857" ht="15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</row>
    <row r="858" ht="15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</row>
    <row r="859" ht="15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</row>
    <row r="860" ht="15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</row>
    <row r="861" ht="15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</row>
    <row r="862" ht="15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</row>
    <row r="863" ht="15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</row>
    <row r="864" ht="15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</row>
    <row r="865" ht="15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</row>
    <row r="866" ht="15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</row>
    <row r="867" ht="15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</row>
    <row r="868" ht="15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</row>
    <row r="869" ht="15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</row>
    <row r="870" ht="15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</row>
    <row r="871" ht="15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</row>
    <row r="872" ht="15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</row>
    <row r="873" ht="15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</row>
    <row r="874" ht="15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</row>
    <row r="875" ht="15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</row>
    <row r="876" ht="15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</row>
    <row r="877" ht="15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</row>
    <row r="878" ht="15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</row>
    <row r="879" ht="15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</row>
    <row r="880" ht="15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</row>
    <row r="881" ht="15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</row>
    <row r="882" ht="15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</row>
    <row r="883" ht="15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</row>
    <row r="884" ht="15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</row>
    <row r="885" ht="15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</row>
    <row r="886" ht="15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</row>
    <row r="887" ht="15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</row>
    <row r="888" ht="15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</row>
    <row r="889" ht="15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</row>
    <row r="890" ht="15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</row>
    <row r="891" ht="15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</row>
    <row r="892" ht="15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</row>
    <row r="893" ht="15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</row>
    <row r="894" ht="15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</row>
    <row r="895" ht="15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</row>
    <row r="896" ht="15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</row>
    <row r="897" ht="15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</row>
    <row r="898" ht="15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</row>
    <row r="899" ht="15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</row>
    <row r="900" ht="15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</row>
    <row r="901" ht="15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</row>
    <row r="902" ht="15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</row>
    <row r="903" ht="15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</row>
    <row r="904" ht="15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</row>
    <row r="905" ht="15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</row>
    <row r="906" ht="15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</row>
    <row r="907" ht="15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</row>
    <row r="908" ht="15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</row>
    <row r="909" ht="15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</row>
    <row r="910" ht="15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</row>
    <row r="911" ht="15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</row>
    <row r="912" ht="15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</row>
    <row r="913" ht="15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</row>
    <row r="914" ht="15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</row>
    <row r="915" ht="15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</row>
    <row r="916" ht="15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</row>
    <row r="917" ht="15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</row>
    <row r="918" ht="15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</row>
    <row r="919" ht="15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</row>
    <row r="920" ht="15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</row>
    <row r="921" ht="15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</row>
    <row r="922" ht="15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</row>
    <row r="923" ht="15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</row>
    <row r="924" ht="15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</row>
    <row r="925" ht="15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</row>
    <row r="926" ht="15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</row>
    <row r="927" ht="15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</row>
    <row r="928" ht="15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</row>
    <row r="929" ht="15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</row>
    <row r="930" ht="15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</row>
    <row r="931" ht="15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</row>
    <row r="932" ht="15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</row>
    <row r="933" ht="15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</row>
    <row r="934" ht="15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</row>
    <row r="935" ht="15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</row>
    <row r="936" ht="15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</row>
    <row r="937" ht="15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</row>
    <row r="938" ht="15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</row>
    <row r="939" ht="15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</row>
    <row r="940" ht="15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</row>
    <row r="941" ht="15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</row>
    <row r="942" ht="15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</row>
    <row r="943" ht="15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</row>
    <row r="944" ht="15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</row>
    <row r="945" ht="15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</row>
    <row r="946" ht="15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</row>
    <row r="947" ht="15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</row>
    <row r="948" ht="15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</row>
    <row r="949" ht="15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</row>
    <row r="950" ht="15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</row>
    <row r="951" ht="15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</row>
    <row r="952" ht="15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</row>
    <row r="953" ht="15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</row>
    <row r="954" ht="15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</row>
    <row r="955" ht="15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</row>
    <row r="956" ht="15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</row>
    <row r="957" ht="15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</row>
    <row r="958" ht="15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</row>
    <row r="959" ht="15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</row>
    <row r="960" ht="15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</row>
    <row r="961" ht="15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</row>
    <row r="962" ht="15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</row>
    <row r="963" ht="15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</row>
    <row r="964" ht="15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</row>
    <row r="965" ht="15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</row>
    <row r="966" ht="15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</row>
    <row r="967" ht="15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</row>
    <row r="968" ht="15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</row>
    <row r="969" ht="15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</row>
    <row r="970" ht="15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</row>
    <row r="971" ht="15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</row>
    <row r="972" ht="15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</row>
    <row r="973" ht="15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</row>
    <row r="974" ht="15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</row>
    <row r="975" ht="15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</row>
    <row r="976" ht="15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</row>
    <row r="977" ht="15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</row>
    <row r="978" ht="15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</row>
    <row r="979" ht="15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</row>
    <row r="980" ht="15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</row>
    <row r="981" ht="15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</row>
    <row r="982" ht="15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</row>
    <row r="983" ht="15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</row>
    <row r="984" ht="15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</row>
    <row r="985" ht="15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</row>
    <row r="986" ht="15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</row>
    <row r="987" ht="15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</row>
    <row r="988" ht="15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</row>
    <row r="989" ht="15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</row>
    <row r="990" ht="15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</row>
    <row r="991" ht="15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</row>
    <row r="992" ht="15.7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</row>
    <row r="993" ht="15.7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</row>
    <row r="994" ht="15.7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</row>
    <row r="995" ht="15.7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</row>
    <row r="996" ht="15.7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</row>
    <row r="997" ht="15.7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</row>
    <row r="998" ht="15.7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</row>
    <row r="999" ht="15.7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</row>
    <row r="1000" ht="15.7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</row>
    <row r="1001" ht="15.75" customHeight="1">
      <c r="A1001" s="134"/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</row>
    <row r="1002" ht="15.75" customHeight="1">
      <c r="A1002" s="134"/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</row>
    <row r="1003" ht="15.75" customHeight="1">
      <c r="A1003" s="134"/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</row>
    <row r="1004" ht="15.75" customHeight="1">
      <c r="A1004" s="134"/>
      <c r="B1004" s="134"/>
      <c r="C1004" s="134"/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</row>
    <row r="1005" ht="15.75" customHeight="1">
      <c r="A1005" s="134"/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</row>
    <row r="1006" ht="15.75" customHeight="1">
      <c r="A1006" s="134"/>
      <c r="B1006" s="134"/>
      <c r="C1006" s="134"/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</row>
    <row r="1007" ht="15.75" customHeight="1">
      <c r="A1007" s="134"/>
      <c r="B1007" s="134"/>
      <c r="C1007" s="134"/>
      <c r="D1007" s="134"/>
      <c r="E1007" s="134"/>
      <c r="F1007" s="134"/>
      <c r="G1007" s="134"/>
      <c r="H1007" s="134"/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</row>
    <row r="1008" ht="15.75" customHeight="1">
      <c r="A1008" s="134"/>
      <c r="B1008" s="134"/>
      <c r="C1008" s="134"/>
      <c r="D1008" s="134"/>
      <c r="E1008" s="134"/>
      <c r="F1008" s="134"/>
      <c r="G1008" s="134"/>
      <c r="H1008" s="134"/>
      <c r="I1008" s="134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</row>
    <row r="1009" ht="15.75" customHeight="1">
      <c r="A1009" s="134"/>
      <c r="B1009" s="134"/>
      <c r="C1009" s="134"/>
      <c r="D1009" s="134"/>
      <c r="E1009" s="134"/>
      <c r="F1009" s="134"/>
      <c r="G1009" s="134"/>
      <c r="H1009" s="134"/>
      <c r="I1009" s="134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</row>
    <row r="1010" ht="15.75" customHeight="1">
      <c r="A1010" s="134"/>
      <c r="B1010" s="134"/>
      <c r="C1010" s="134"/>
      <c r="D1010" s="134"/>
      <c r="E1010" s="134"/>
      <c r="F1010" s="134"/>
      <c r="G1010" s="134"/>
      <c r="H1010" s="134"/>
      <c r="I1010" s="134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</row>
    <row r="1011" ht="15.75" customHeight="1">
      <c r="A1011" s="134"/>
      <c r="B1011" s="134"/>
      <c r="C1011" s="134"/>
      <c r="D1011" s="134"/>
      <c r="E1011" s="134"/>
      <c r="F1011" s="134"/>
      <c r="G1011" s="134"/>
      <c r="H1011" s="134"/>
      <c r="I1011" s="134"/>
      <c r="J1011" s="134"/>
      <c r="K1011" s="134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</row>
    <row r="1012" ht="15.75" customHeight="1">
      <c r="A1012" s="134"/>
      <c r="B1012" s="134"/>
      <c r="C1012" s="134"/>
      <c r="D1012" s="134"/>
      <c r="E1012" s="134"/>
      <c r="F1012" s="134"/>
      <c r="G1012" s="134"/>
      <c r="H1012" s="134"/>
      <c r="I1012" s="134"/>
      <c r="J1012" s="134"/>
      <c r="K1012" s="134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</row>
    <row r="1013" ht="15.75" customHeight="1">
      <c r="A1013" s="134"/>
      <c r="B1013" s="134"/>
      <c r="C1013" s="134"/>
      <c r="D1013" s="134"/>
      <c r="E1013" s="134"/>
      <c r="F1013" s="134"/>
      <c r="G1013" s="134"/>
      <c r="H1013" s="134"/>
      <c r="I1013" s="134"/>
      <c r="J1013" s="134"/>
      <c r="K1013" s="134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</row>
    <row r="1014" ht="15.75" customHeight="1">
      <c r="A1014" s="134"/>
      <c r="B1014" s="134"/>
      <c r="C1014" s="134"/>
      <c r="D1014" s="134"/>
      <c r="E1014" s="134"/>
      <c r="F1014" s="134"/>
      <c r="G1014" s="134"/>
      <c r="H1014" s="134"/>
      <c r="I1014" s="134"/>
      <c r="J1014" s="134"/>
      <c r="K1014" s="134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</row>
    <row r="1015" ht="15.75" customHeight="1">
      <c r="A1015" s="134"/>
      <c r="B1015" s="134"/>
      <c r="C1015" s="134"/>
      <c r="D1015" s="134"/>
      <c r="E1015" s="134"/>
      <c r="F1015" s="134"/>
      <c r="G1015" s="134"/>
      <c r="H1015" s="134"/>
      <c r="I1015" s="134"/>
      <c r="J1015" s="134"/>
      <c r="K1015" s="134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</row>
    <row r="1016" ht="15.75" customHeight="1">
      <c r="A1016" s="134"/>
      <c r="B1016" s="134"/>
      <c r="C1016" s="134"/>
      <c r="D1016" s="134"/>
      <c r="E1016" s="134"/>
      <c r="F1016" s="134"/>
      <c r="G1016" s="134"/>
      <c r="H1016" s="134"/>
      <c r="I1016" s="134"/>
      <c r="J1016" s="134"/>
      <c r="K1016" s="134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</row>
    <row r="1017" ht="15.75" customHeight="1">
      <c r="A1017" s="134"/>
      <c r="B1017" s="134"/>
      <c r="C1017" s="134"/>
      <c r="D1017" s="134"/>
      <c r="E1017" s="134"/>
      <c r="F1017" s="134"/>
      <c r="G1017" s="134"/>
      <c r="H1017" s="134"/>
      <c r="I1017" s="134"/>
      <c r="J1017" s="134"/>
      <c r="K1017" s="134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</row>
    <row r="1018" ht="15.75" customHeight="1">
      <c r="A1018" s="134"/>
      <c r="B1018" s="134"/>
      <c r="C1018" s="134"/>
      <c r="D1018" s="134"/>
      <c r="E1018" s="134"/>
      <c r="F1018" s="134"/>
      <c r="G1018" s="134"/>
      <c r="H1018" s="134"/>
      <c r="I1018" s="134"/>
      <c r="J1018" s="134"/>
      <c r="K1018" s="134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</row>
    <row r="1019" ht="15.75" customHeight="1">
      <c r="A1019" s="134"/>
      <c r="B1019" s="134"/>
      <c r="C1019" s="134"/>
      <c r="D1019" s="134"/>
      <c r="E1019" s="134"/>
      <c r="F1019" s="134"/>
      <c r="G1019" s="134"/>
      <c r="H1019" s="134"/>
      <c r="I1019" s="134"/>
      <c r="J1019" s="134"/>
      <c r="K1019" s="134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</row>
    <row r="1020" ht="15.75" customHeight="1">
      <c r="A1020" s="134"/>
      <c r="B1020" s="134"/>
      <c r="C1020" s="134"/>
      <c r="D1020" s="134"/>
      <c r="E1020" s="134"/>
      <c r="F1020" s="134"/>
      <c r="G1020" s="134"/>
      <c r="H1020" s="134"/>
      <c r="I1020" s="134"/>
      <c r="J1020" s="134"/>
      <c r="K1020" s="134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</row>
    <row r="1021" ht="15.75" customHeight="1">
      <c r="A1021" s="134"/>
      <c r="B1021" s="134"/>
      <c r="C1021" s="134"/>
      <c r="D1021" s="134"/>
      <c r="E1021" s="134"/>
      <c r="F1021" s="134"/>
      <c r="G1021" s="134"/>
      <c r="H1021" s="134"/>
      <c r="I1021" s="134"/>
      <c r="J1021" s="134"/>
      <c r="K1021" s="134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</row>
    <row r="1022" ht="15.75" customHeight="1">
      <c r="A1022" s="134"/>
      <c r="B1022" s="134"/>
      <c r="C1022" s="134"/>
      <c r="D1022" s="134"/>
      <c r="E1022" s="134"/>
      <c r="F1022" s="134"/>
      <c r="G1022" s="134"/>
      <c r="H1022" s="134"/>
      <c r="I1022" s="134"/>
      <c r="J1022" s="134"/>
      <c r="K1022" s="134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</row>
    <row r="1023" ht="15.75" customHeight="1">
      <c r="A1023" s="134"/>
      <c r="B1023" s="134"/>
      <c r="C1023" s="134"/>
      <c r="D1023" s="134"/>
      <c r="E1023" s="134"/>
      <c r="F1023" s="134"/>
      <c r="G1023" s="134"/>
      <c r="H1023" s="134"/>
      <c r="I1023" s="134"/>
      <c r="J1023" s="134"/>
      <c r="K1023" s="134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</row>
    <row r="1024" ht="15.75" customHeight="1">
      <c r="A1024" s="134"/>
      <c r="B1024" s="134"/>
      <c r="C1024" s="134"/>
      <c r="D1024" s="134"/>
      <c r="E1024" s="134"/>
      <c r="F1024" s="134"/>
      <c r="G1024" s="134"/>
      <c r="H1024" s="134"/>
      <c r="I1024" s="134"/>
      <c r="J1024" s="134"/>
      <c r="K1024" s="134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</row>
    <row r="1025" ht="15.75" customHeight="1">
      <c r="A1025" s="134"/>
      <c r="B1025" s="134"/>
      <c r="C1025" s="134"/>
      <c r="D1025" s="134"/>
      <c r="E1025" s="134"/>
      <c r="F1025" s="134"/>
      <c r="G1025" s="134"/>
      <c r="H1025" s="134"/>
      <c r="I1025" s="134"/>
      <c r="J1025" s="134"/>
      <c r="K1025" s="134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</row>
    <row r="1026" ht="15.75" customHeight="1">
      <c r="A1026" s="134"/>
      <c r="B1026" s="134"/>
      <c r="C1026" s="134"/>
      <c r="D1026" s="134"/>
      <c r="E1026" s="134"/>
      <c r="F1026" s="134"/>
      <c r="G1026" s="134"/>
      <c r="H1026" s="134"/>
      <c r="I1026" s="134"/>
      <c r="J1026" s="134"/>
      <c r="K1026" s="134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</row>
    <row r="1027" ht="15.75" customHeight="1">
      <c r="A1027" s="134"/>
      <c r="B1027" s="134"/>
      <c r="C1027" s="134"/>
      <c r="D1027" s="134"/>
      <c r="E1027" s="134"/>
      <c r="F1027" s="134"/>
      <c r="G1027" s="134"/>
      <c r="H1027" s="134"/>
      <c r="I1027" s="134"/>
      <c r="J1027" s="134"/>
      <c r="K1027" s="134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</row>
    <row r="1028" ht="15.75" customHeight="1">
      <c r="A1028" s="134"/>
      <c r="B1028" s="134"/>
      <c r="C1028" s="134"/>
      <c r="D1028" s="134"/>
      <c r="E1028" s="134"/>
      <c r="F1028" s="134"/>
      <c r="G1028" s="134"/>
      <c r="H1028" s="134"/>
      <c r="I1028" s="134"/>
      <c r="J1028" s="134"/>
      <c r="K1028" s="134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</row>
    <row r="1029" ht="15.75" customHeight="1">
      <c r="A1029" s="134"/>
      <c r="B1029" s="134"/>
      <c r="C1029" s="134"/>
      <c r="D1029" s="134"/>
      <c r="E1029" s="134"/>
      <c r="F1029" s="134"/>
      <c r="G1029" s="134"/>
      <c r="H1029" s="134"/>
      <c r="I1029" s="134"/>
      <c r="J1029" s="134"/>
      <c r="K1029" s="134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</row>
    <row r="1030" ht="15.75" customHeight="1">
      <c r="A1030" s="134"/>
      <c r="B1030" s="134"/>
      <c r="C1030" s="134"/>
      <c r="D1030" s="134"/>
      <c r="E1030" s="134"/>
      <c r="F1030" s="134"/>
      <c r="G1030" s="134"/>
      <c r="H1030" s="134"/>
      <c r="I1030" s="134"/>
      <c r="J1030" s="134"/>
      <c r="K1030" s="134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</row>
    <row r="1031" ht="15.75" customHeight="1">
      <c r="A1031" s="134"/>
      <c r="B1031" s="134"/>
      <c r="C1031" s="134"/>
      <c r="D1031" s="134"/>
      <c r="E1031" s="134"/>
      <c r="F1031" s="134"/>
      <c r="G1031" s="134"/>
      <c r="H1031" s="134"/>
      <c r="I1031" s="134"/>
      <c r="J1031" s="134"/>
      <c r="K1031" s="134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</row>
    <row r="1032" ht="15.75" customHeight="1">
      <c r="A1032" s="134"/>
      <c r="B1032" s="134"/>
      <c r="C1032" s="134"/>
      <c r="D1032" s="134"/>
      <c r="E1032" s="134"/>
      <c r="F1032" s="134"/>
      <c r="G1032" s="134"/>
      <c r="H1032" s="134"/>
      <c r="I1032" s="134"/>
      <c r="J1032" s="134"/>
      <c r="K1032" s="134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</row>
    <row r="1033" ht="15.75" customHeight="1">
      <c r="A1033" s="134"/>
      <c r="B1033" s="134"/>
      <c r="C1033" s="134"/>
      <c r="D1033" s="134"/>
      <c r="E1033" s="134"/>
      <c r="F1033" s="134"/>
      <c r="G1033" s="134"/>
      <c r="H1033" s="134"/>
      <c r="I1033" s="134"/>
      <c r="J1033" s="134"/>
      <c r="K1033" s="134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</row>
    <row r="1034" ht="15.75" customHeight="1">
      <c r="A1034" s="134"/>
      <c r="B1034" s="134"/>
      <c r="C1034" s="134"/>
      <c r="D1034" s="134"/>
      <c r="E1034" s="134"/>
      <c r="F1034" s="134"/>
      <c r="G1034" s="134"/>
      <c r="H1034" s="134"/>
      <c r="I1034" s="134"/>
      <c r="J1034" s="134"/>
      <c r="K1034" s="134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</row>
    <row r="1035" ht="15.75" customHeight="1">
      <c r="A1035" s="134"/>
      <c r="B1035" s="134"/>
      <c r="C1035" s="134"/>
      <c r="D1035" s="134"/>
      <c r="E1035" s="134"/>
      <c r="F1035" s="134"/>
      <c r="G1035" s="134"/>
      <c r="H1035" s="134"/>
      <c r="I1035" s="134"/>
      <c r="J1035" s="134"/>
      <c r="K1035" s="134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</row>
    <row r="1036" ht="15.75" customHeight="1">
      <c r="A1036" s="134"/>
      <c r="B1036" s="134"/>
      <c r="C1036" s="134"/>
      <c r="D1036" s="134"/>
      <c r="E1036" s="134"/>
      <c r="F1036" s="134"/>
      <c r="G1036" s="134"/>
      <c r="H1036" s="134"/>
      <c r="I1036" s="134"/>
      <c r="J1036" s="134"/>
      <c r="K1036" s="134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</row>
    <row r="1037" ht="15.75" customHeight="1">
      <c r="A1037" s="134"/>
      <c r="B1037" s="134"/>
      <c r="C1037" s="134"/>
      <c r="D1037" s="134"/>
      <c r="E1037" s="134"/>
      <c r="F1037" s="134"/>
      <c r="G1037" s="134"/>
      <c r="H1037" s="134"/>
      <c r="I1037" s="134"/>
      <c r="J1037" s="134"/>
      <c r="K1037" s="134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</row>
    <row r="1038" ht="15.75" customHeight="1">
      <c r="A1038" s="134"/>
      <c r="B1038" s="134"/>
      <c r="C1038" s="134"/>
      <c r="D1038" s="134"/>
      <c r="E1038" s="134"/>
      <c r="F1038" s="134"/>
      <c r="G1038" s="134"/>
      <c r="H1038" s="134"/>
      <c r="I1038" s="134"/>
      <c r="J1038" s="134"/>
      <c r="K1038" s="134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</row>
    <row r="1039" ht="15.75" customHeight="1">
      <c r="A1039" s="134"/>
      <c r="B1039" s="134"/>
      <c r="C1039" s="134"/>
      <c r="D1039" s="134"/>
      <c r="E1039" s="134"/>
      <c r="F1039" s="134"/>
      <c r="G1039" s="134"/>
      <c r="H1039" s="134"/>
      <c r="I1039" s="134"/>
      <c r="J1039" s="134"/>
      <c r="K1039" s="134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</row>
    <row r="1040" ht="15.75" customHeight="1">
      <c r="A1040" s="134"/>
      <c r="B1040" s="134"/>
      <c r="C1040" s="134"/>
      <c r="D1040" s="134"/>
      <c r="E1040" s="134"/>
      <c r="F1040" s="134"/>
      <c r="G1040" s="134"/>
      <c r="H1040" s="134"/>
      <c r="I1040" s="134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</row>
    <row r="1041" ht="15.75" customHeight="1">
      <c r="A1041" s="134"/>
      <c r="B1041" s="134"/>
      <c r="C1041" s="134"/>
      <c r="D1041" s="134"/>
      <c r="E1041" s="134"/>
      <c r="F1041" s="134"/>
      <c r="G1041" s="134"/>
      <c r="H1041" s="134"/>
      <c r="I1041" s="134"/>
      <c r="J1041" s="134"/>
      <c r="K1041" s="134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</row>
    <row r="1042" ht="15.75" customHeight="1">
      <c r="A1042" s="134"/>
      <c r="B1042" s="134"/>
      <c r="C1042" s="134"/>
      <c r="D1042" s="134"/>
      <c r="E1042" s="134"/>
      <c r="F1042" s="134"/>
      <c r="G1042" s="134"/>
      <c r="H1042" s="134"/>
      <c r="I1042" s="134"/>
      <c r="J1042" s="134"/>
      <c r="K1042" s="134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</row>
    <row r="1043" ht="15.75" customHeight="1">
      <c r="A1043" s="134"/>
      <c r="B1043" s="134"/>
      <c r="C1043" s="134"/>
      <c r="D1043" s="134"/>
      <c r="E1043" s="134"/>
      <c r="F1043" s="134"/>
      <c r="G1043" s="134"/>
      <c r="H1043" s="134"/>
      <c r="I1043" s="134"/>
      <c r="J1043" s="134"/>
      <c r="K1043" s="134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</row>
    <row r="1044" ht="15.75" customHeight="1">
      <c r="A1044" s="134"/>
      <c r="B1044" s="134"/>
      <c r="C1044" s="134"/>
      <c r="D1044" s="134"/>
      <c r="E1044" s="134"/>
      <c r="F1044" s="134"/>
      <c r="G1044" s="134"/>
      <c r="H1044" s="134"/>
      <c r="I1044" s="134"/>
      <c r="J1044" s="134"/>
      <c r="K1044" s="134"/>
      <c r="L1044" s="134"/>
      <c r="M1044" s="134"/>
      <c r="N1044" s="134"/>
      <c r="O1044" s="134"/>
      <c r="P1044" s="134"/>
      <c r="Q1044" s="134"/>
      <c r="R1044" s="134"/>
      <c r="S1044" s="134"/>
      <c r="T1044" s="134"/>
      <c r="U1044" s="134"/>
    </row>
    <row r="1045" ht="15.75" customHeight="1">
      <c r="A1045" s="134"/>
      <c r="B1045" s="134"/>
      <c r="C1045" s="134"/>
      <c r="D1045" s="134"/>
      <c r="E1045" s="134"/>
      <c r="F1045" s="134"/>
      <c r="G1045" s="134"/>
      <c r="H1045" s="134"/>
      <c r="I1045" s="134"/>
      <c r="J1045" s="134"/>
      <c r="K1045" s="134"/>
      <c r="L1045" s="134"/>
      <c r="M1045" s="134"/>
      <c r="N1045" s="134"/>
      <c r="O1045" s="134"/>
      <c r="P1045" s="134"/>
      <c r="Q1045" s="134"/>
      <c r="R1045" s="134"/>
      <c r="S1045" s="134"/>
      <c r="T1045" s="134"/>
      <c r="U1045" s="134"/>
    </row>
    <row r="1046" ht="15.75" customHeight="1">
      <c r="A1046" s="134"/>
      <c r="B1046" s="134"/>
      <c r="C1046" s="134"/>
      <c r="D1046" s="134"/>
      <c r="E1046" s="134"/>
      <c r="F1046" s="134"/>
      <c r="G1046" s="134"/>
      <c r="H1046" s="134"/>
      <c r="I1046" s="134"/>
      <c r="J1046" s="134"/>
      <c r="K1046" s="134"/>
      <c r="L1046" s="134"/>
      <c r="M1046" s="134"/>
      <c r="N1046" s="134"/>
      <c r="O1046" s="134"/>
      <c r="P1046" s="134"/>
      <c r="Q1046" s="134"/>
      <c r="R1046" s="134"/>
      <c r="S1046" s="134"/>
      <c r="T1046" s="134"/>
      <c r="U1046" s="134"/>
    </row>
    <row r="1047" ht="15.75" customHeight="1">
      <c r="A1047" s="134"/>
      <c r="B1047" s="134"/>
      <c r="C1047" s="134"/>
      <c r="D1047" s="134"/>
      <c r="E1047" s="134"/>
      <c r="F1047" s="134"/>
      <c r="G1047" s="134"/>
      <c r="H1047" s="134"/>
      <c r="I1047" s="134"/>
      <c r="J1047" s="134"/>
      <c r="K1047" s="134"/>
      <c r="L1047" s="134"/>
      <c r="M1047" s="134"/>
      <c r="N1047" s="134"/>
      <c r="O1047" s="134"/>
      <c r="P1047" s="134"/>
      <c r="Q1047" s="134"/>
      <c r="R1047" s="134"/>
      <c r="S1047" s="134"/>
      <c r="T1047" s="134"/>
      <c r="U1047" s="134"/>
    </row>
    <row r="1048" ht="15.75" customHeight="1">
      <c r="A1048" s="134"/>
      <c r="B1048" s="134"/>
      <c r="C1048" s="134"/>
      <c r="D1048" s="134"/>
      <c r="E1048" s="134"/>
      <c r="F1048" s="134"/>
      <c r="G1048" s="134"/>
      <c r="H1048" s="134"/>
      <c r="I1048" s="134"/>
      <c r="J1048" s="134"/>
      <c r="K1048" s="134"/>
      <c r="L1048" s="134"/>
      <c r="M1048" s="134"/>
      <c r="N1048" s="134"/>
      <c r="O1048" s="134"/>
      <c r="P1048" s="134"/>
      <c r="Q1048" s="134"/>
      <c r="R1048" s="134"/>
      <c r="S1048" s="134"/>
      <c r="T1048" s="134"/>
      <c r="U1048" s="134"/>
    </row>
    <row r="1049" ht="15.75" customHeight="1">
      <c r="A1049" s="134"/>
      <c r="B1049" s="134"/>
      <c r="C1049" s="134"/>
      <c r="D1049" s="134"/>
      <c r="E1049" s="134"/>
      <c r="F1049" s="134"/>
      <c r="G1049" s="134"/>
      <c r="H1049" s="134"/>
      <c r="I1049" s="134"/>
      <c r="J1049" s="134"/>
      <c r="K1049" s="134"/>
      <c r="L1049" s="134"/>
      <c r="M1049" s="134"/>
      <c r="N1049" s="134"/>
      <c r="O1049" s="134"/>
      <c r="P1049" s="134"/>
      <c r="Q1049" s="134"/>
      <c r="R1049" s="134"/>
      <c r="S1049" s="134"/>
      <c r="T1049" s="134"/>
      <c r="U1049" s="134"/>
    </row>
    <row r="1050" ht="15.75" customHeight="1">
      <c r="A1050" s="134"/>
      <c r="B1050" s="134"/>
      <c r="C1050" s="134"/>
      <c r="D1050" s="134"/>
      <c r="E1050" s="134"/>
      <c r="F1050" s="134"/>
      <c r="G1050" s="134"/>
      <c r="H1050" s="134"/>
      <c r="I1050" s="134"/>
      <c r="J1050" s="134"/>
      <c r="K1050" s="134"/>
      <c r="L1050" s="134"/>
      <c r="M1050" s="134"/>
      <c r="N1050" s="134"/>
      <c r="O1050" s="134"/>
      <c r="P1050" s="134"/>
      <c r="Q1050" s="134"/>
      <c r="R1050" s="134"/>
      <c r="S1050" s="134"/>
      <c r="T1050" s="134"/>
      <c r="U1050" s="134"/>
    </row>
    <row r="1051" ht="15.75" customHeight="1">
      <c r="A1051" s="134"/>
      <c r="B1051" s="134"/>
      <c r="C1051" s="134"/>
      <c r="D1051" s="134"/>
      <c r="E1051" s="134"/>
      <c r="F1051" s="134"/>
      <c r="G1051" s="134"/>
      <c r="H1051" s="134"/>
      <c r="I1051" s="134"/>
      <c r="J1051" s="134"/>
      <c r="K1051" s="134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</row>
    <row r="1052" ht="15.75" customHeight="1">
      <c r="A1052" s="134"/>
      <c r="B1052" s="134"/>
      <c r="C1052" s="134"/>
      <c r="D1052" s="134"/>
      <c r="E1052" s="134"/>
      <c r="F1052" s="134"/>
      <c r="G1052" s="134"/>
      <c r="H1052" s="134"/>
      <c r="I1052" s="134"/>
      <c r="J1052" s="134"/>
      <c r="K1052" s="134"/>
      <c r="L1052" s="134"/>
      <c r="M1052" s="134"/>
      <c r="N1052" s="134"/>
      <c r="O1052" s="134"/>
      <c r="P1052" s="134"/>
      <c r="Q1052" s="134"/>
      <c r="R1052" s="134"/>
      <c r="S1052" s="134"/>
      <c r="T1052" s="134"/>
      <c r="U1052" s="134"/>
    </row>
    <row r="1053" ht="15.75" customHeight="1">
      <c r="A1053" s="134"/>
      <c r="B1053" s="134"/>
      <c r="C1053" s="134"/>
      <c r="D1053" s="134"/>
      <c r="E1053" s="134"/>
      <c r="F1053" s="134"/>
      <c r="G1053" s="134"/>
      <c r="H1053" s="134"/>
      <c r="I1053" s="134"/>
      <c r="J1053" s="134"/>
      <c r="K1053" s="134"/>
      <c r="L1053" s="134"/>
      <c r="M1053" s="134"/>
      <c r="N1053" s="134"/>
      <c r="O1053" s="134"/>
      <c r="P1053" s="134"/>
      <c r="Q1053" s="134"/>
      <c r="R1053" s="134"/>
      <c r="S1053" s="134"/>
      <c r="T1053" s="134"/>
      <c r="U1053" s="134"/>
    </row>
    <row r="1054" ht="15.75" customHeight="1">
      <c r="A1054" s="134"/>
      <c r="B1054" s="134"/>
      <c r="C1054" s="134"/>
      <c r="D1054" s="134"/>
      <c r="E1054" s="134"/>
      <c r="F1054" s="134"/>
      <c r="G1054" s="134"/>
      <c r="H1054" s="134"/>
      <c r="I1054" s="134"/>
      <c r="J1054" s="134"/>
      <c r="K1054" s="134"/>
      <c r="L1054" s="134"/>
      <c r="M1054" s="134"/>
      <c r="N1054" s="134"/>
      <c r="O1054" s="134"/>
      <c r="P1054" s="134"/>
      <c r="Q1054" s="134"/>
      <c r="R1054" s="134"/>
      <c r="S1054" s="134"/>
      <c r="T1054" s="134"/>
      <c r="U1054" s="134"/>
    </row>
    <row r="1055" ht="15.75" customHeight="1">
      <c r="A1055" s="134"/>
      <c r="B1055" s="134"/>
      <c r="C1055" s="134"/>
      <c r="D1055" s="134"/>
      <c r="E1055" s="134"/>
      <c r="F1055" s="134"/>
      <c r="G1055" s="134"/>
      <c r="H1055" s="134"/>
      <c r="I1055" s="134"/>
      <c r="J1055" s="134"/>
      <c r="K1055" s="134"/>
      <c r="L1055" s="134"/>
      <c r="M1055" s="134"/>
      <c r="N1055" s="134"/>
      <c r="O1055" s="134"/>
      <c r="P1055" s="134"/>
      <c r="Q1055" s="134"/>
      <c r="R1055" s="134"/>
      <c r="S1055" s="134"/>
      <c r="T1055" s="134"/>
      <c r="U1055" s="134"/>
    </row>
    <row r="1056" ht="15.75" customHeight="1">
      <c r="A1056" s="134"/>
      <c r="B1056" s="134"/>
      <c r="C1056" s="134"/>
      <c r="D1056" s="134"/>
      <c r="E1056" s="134"/>
      <c r="F1056" s="134"/>
      <c r="G1056" s="134"/>
      <c r="H1056" s="134"/>
      <c r="I1056" s="134"/>
      <c r="J1056" s="134"/>
      <c r="K1056" s="134"/>
      <c r="L1056" s="134"/>
      <c r="M1056" s="134"/>
      <c r="N1056" s="134"/>
      <c r="O1056" s="134"/>
      <c r="P1056" s="134"/>
      <c r="Q1056" s="134"/>
      <c r="R1056" s="134"/>
      <c r="S1056" s="134"/>
      <c r="T1056" s="134"/>
      <c r="U1056" s="134"/>
    </row>
    <row r="1057" ht="15.75" customHeight="1">
      <c r="A1057" s="134"/>
      <c r="B1057" s="134"/>
      <c r="C1057" s="134"/>
      <c r="D1057" s="134"/>
      <c r="E1057" s="134"/>
      <c r="F1057" s="134"/>
      <c r="G1057" s="134"/>
      <c r="H1057" s="134"/>
      <c r="I1057" s="134"/>
      <c r="J1057" s="134"/>
      <c r="K1057" s="134"/>
      <c r="L1057" s="134"/>
      <c r="M1057" s="134"/>
      <c r="N1057" s="134"/>
      <c r="O1057" s="134"/>
      <c r="P1057" s="134"/>
      <c r="Q1057" s="134"/>
      <c r="R1057" s="134"/>
      <c r="S1057" s="134"/>
      <c r="T1057" s="134"/>
      <c r="U1057" s="134"/>
    </row>
    <row r="1058" ht="15.75" customHeight="1">
      <c r="A1058" s="134"/>
      <c r="B1058" s="134"/>
      <c r="C1058" s="134"/>
      <c r="D1058" s="134"/>
      <c r="E1058" s="134"/>
      <c r="F1058" s="134"/>
      <c r="G1058" s="134"/>
      <c r="H1058" s="134"/>
      <c r="I1058" s="134"/>
      <c r="J1058" s="134"/>
      <c r="K1058" s="134"/>
      <c r="L1058" s="134"/>
      <c r="M1058" s="134"/>
      <c r="N1058" s="134"/>
      <c r="O1058" s="134"/>
      <c r="P1058" s="134"/>
      <c r="Q1058" s="134"/>
      <c r="R1058" s="134"/>
      <c r="S1058" s="134"/>
      <c r="T1058" s="134"/>
      <c r="U1058" s="134"/>
    </row>
    <row r="1059" ht="15.75" customHeight="1">
      <c r="A1059" s="134"/>
      <c r="B1059" s="134"/>
      <c r="C1059" s="134"/>
      <c r="D1059" s="134"/>
      <c r="E1059" s="134"/>
      <c r="F1059" s="134"/>
      <c r="G1059" s="134"/>
      <c r="H1059" s="134"/>
      <c r="I1059" s="134"/>
      <c r="J1059" s="134"/>
      <c r="K1059" s="134"/>
      <c r="L1059" s="134"/>
      <c r="M1059" s="134"/>
      <c r="N1059" s="134"/>
      <c r="O1059" s="134"/>
      <c r="P1059" s="134"/>
      <c r="Q1059" s="134"/>
      <c r="R1059" s="134"/>
      <c r="S1059" s="134"/>
      <c r="T1059" s="134"/>
      <c r="U1059" s="134"/>
    </row>
    <row r="1060" ht="15.75" customHeight="1">
      <c r="A1060" s="134"/>
      <c r="B1060" s="134"/>
      <c r="C1060" s="134"/>
      <c r="D1060" s="134"/>
      <c r="E1060" s="134"/>
      <c r="F1060" s="134"/>
      <c r="G1060" s="134"/>
      <c r="H1060" s="134"/>
      <c r="I1060" s="134"/>
      <c r="J1060" s="134"/>
      <c r="K1060" s="134"/>
      <c r="L1060" s="134"/>
      <c r="M1060" s="134"/>
      <c r="N1060" s="134"/>
      <c r="O1060" s="134"/>
      <c r="P1060" s="134"/>
      <c r="Q1060" s="134"/>
      <c r="R1060" s="134"/>
      <c r="S1060" s="134"/>
      <c r="T1060" s="134"/>
      <c r="U1060" s="134"/>
    </row>
    <row r="1061" ht="15.75" customHeight="1">
      <c r="A1061" s="134"/>
      <c r="B1061" s="134"/>
      <c r="C1061" s="134"/>
      <c r="D1061" s="134"/>
      <c r="E1061" s="134"/>
      <c r="F1061" s="134"/>
      <c r="G1061" s="134"/>
      <c r="H1061" s="134"/>
      <c r="I1061" s="134"/>
      <c r="J1061" s="134"/>
      <c r="K1061" s="134"/>
      <c r="L1061" s="134"/>
      <c r="M1061" s="134"/>
      <c r="N1061" s="134"/>
      <c r="O1061" s="134"/>
      <c r="P1061" s="134"/>
      <c r="Q1061" s="134"/>
      <c r="R1061" s="134"/>
      <c r="S1061" s="134"/>
      <c r="T1061" s="134"/>
      <c r="U1061" s="134"/>
    </row>
    <row r="1062" ht="15.75" customHeight="1">
      <c r="A1062" s="134"/>
      <c r="B1062" s="134"/>
      <c r="C1062" s="134"/>
      <c r="D1062" s="134"/>
      <c r="E1062" s="134"/>
      <c r="F1062" s="134"/>
      <c r="G1062" s="134"/>
      <c r="H1062" s="134"/>
      <c r="I1062" s="134"/>
      <c r="J1062" s="134"/>
      <c r="K1062" s="134"/>
      <c r="L1062" s="134"/>
      <c r="M1062" s="134"/>
      <c r="N1062" s="134"/>
      <c r="O1062" s="134"/>
      <c r="P1062" s="134"/>
      <c r="Q1062" s="134"/>
      <c r="R1062" s="134"/>
      <c r="S1062" s="134"/>
      <c r="T1062" s="134"/>
      <c r="U1062" s="134"/>
    </row>
    <row r="1063" ht="15.75" customHeight="1">
      <c r="A1063" s="134"/>
      <c r="B1063" s="134"/>
      <c r="C1063" s="134"/>
      <c r="D1063" s="134"/>
      <c r="E1063" s="134"/>
      <c r="F1063" s="134"/>
      <c r="G1063" s="134"/>
      <c r="H1063" s="134"/>
      <c r="I1063" s="134"/>
      <c r="J1063" s="134"/>
      <c r="K1063" s="134"/>
      <c r="L1063" s="134"/>
      <c r="M1063" s="134"/>
      <c r="N1063" s="134"/>
      <c r="O1063" s="134"/>
      <c r="P1063" s="134"/>
      <c r="Q1063" s="134"/>
      <c r="R1063" s="134"/>
      <c r="S1063" s="134"/>
      <c r="T1063" s="134"/>
      <c r="U1063" s="134"/>
    </row>
    <row r="1064" ht="15.75" customHeight="1">
      <c r="A1064" s="134"/>
      <c r="B1064" s="134"/>
      <c r="C1064" s="134"/>
      <c r="D1064" s="134"/>
      <c r="E1064" s="134"/>
      <c r="F1064" s="134"/>
      <c r="G1064" s="134"/>
      <c r="H1064" s="134"/>
      <c r="I1064" s="134"/>
      <c r="J1064" s="134"/>
      <c r="K1064" s="134"/>
      <c r="L1064" s="134"/>
      <c r="M1064" s="134"/>
      <c r="N1064" s="134"/>
      <c r="O1064" s="134"/>
      <c r="P1064" s="134"/>
      <c r="Q1064" s="134"/>
      <c r="R1064" s="134"/>
      <c r="S1064" s="134"/>
      <c r="T1064" s="134"/>
      <c r="U1064" s="134"/>
    </row>
    <row r="1065" ht="15.75" customHeight="1">
      <c r="A1065" s="134"/>
      <c r="B1065" s="134"/>
      <c r="C1065" s="134"/>
      <c r="D1065" s="134"/>
      <c r="E1065" s="134"/>
      <c r="F1065" s="134"/>
      <c r="G1065" s="134"/>
      <c r="H1065" s="134"/>
      <c r="I1065" s="134"/>
      <c r="J1065" s="134"/>
      <c r="K1065" s="134"/>
      <c r="L1065" s="134"/>
      <c r="M1065" s="134"/>
      <c r="N1065" s="134"/>
      <c r="O1065" s="134"/>
      <c r="P1065" s="134"/>
      <c r="Q1065" s="134"/>
      <c r="R1065" s="134"/>
      <c r="S1065" s="134"/>
      <c r="T1065" s="134"/>
      <c r="U1065" s="134"/>
    </row>
    <row r="1066" ht="15.75" customHeight="1">
      <c r="A1066" s="134"/>
      <c r="B1066" s="134"/>
      <c r="C1066" s="134"/>
      <c r="D1066" s="134"/>
      <c r="E1066" s="134"/>
      <c r="F1066" s="134"/>
      <c r="G1066" s="134"/>
      <c r="H1066" s="134"/>
      <c r="I1066" s="134"/>
      <c r="J1066" s="134"/>
      <c r="K1066" s="134"/>
      <c r="L1066" s="134"/>
      <c r="M1066" s="134"/>
      <c r="N1066" s="134"/>
      <c r="O1066" s="134"/>
      <c r="P1066" s="134"/>
      <c r="Q1066" s="134"/>
      <c r="R1066" s="134"/>
      <c r="S1066" s="134"/>
      <c r="T1066" s="134"/>
      <c r="U1066" s="134"/>
    </row>
    <row r="1067" ht="15.75" customHeight="1">
      <c r="A1067" s="134"/>
      <c r="B1067" s="134"/>
      <c r="C1067" s="134"/>
      <c r="D1067" s="134"/>
      <c r="E1067" s="134"/>
      <c r="F1067" s="134"/>
      <c r="G1067" s="134"/>
      <c r="H1067" s="134"/>
      <c r="I1067" s="134"/>
      <c r="J1067" s="134"/>
      <c r="K1067" s="134"/>
      <c r="L1067" s="134"/>
      <c r="M1067" s="134"/>
      <c r="N1067" s="134"/>
      <c r="O1067" s="134"/>
      <c r="P1067" s="134"/>
      <c r="Q1067" s="134"/>
      <c r="R1067" s="134"/>
      <c r="S1067" s="134"/>
      <c r="T1067" s="134"/>
      <c r="U1067" s="134"/>
    </row>
    <row r="1068" ht="15.75" customHeight="1">
      <c r="A1068" s="134"/>
      <c r="B1068" s="134"/>
      <c r="C1068" s="134"/>
      <c r="D1068" s="134"/>
      <c r="E1068" s="134"/>
      <c r="F1068" s="134"/>
      <c r="G1068" s="134"/>
      <c r="H1068" s="134"/>
      <c r="I1068" s="134"/>
      <c r="J1068" s="134"/>
      <c r="K1068" s="134"/>
      <c r="L1068" s="134"/>
      <c r="M1068" s="134"/>
      <c r="N1068" s="134"/>
      <c r="O1068" s="134"/>
      <c r="P1068" s="134"/>
      <c r="Q1068" s="134"/>
      <c r="R1068" s="134"/>
      <c r="S1068" s="134"/>
      <c r="T1068" s="134"/>
      <c r="U1068" s="134"/>
    </row>
    <row r="1069" ht="15.75" customHeight="1">
      <c r="A1069" s="134"/>
      <c r="B1069" s="134"/>
      <c r="C1069" s="134"/>
      <c r="D1069" s="134"/>
      <c r="E1069" s="134"/>
      <c r="F1069" s="134"/>
      <c r="G1069" s="134"/>
      <c r="H1069" s="134"/>
      <c r="I1069" s="134"/>
      <c r="J1069" s="134"/>
      <c r="K1069" s="134"/>
      <c r="L1069" s="134"/>
      <c r="M1069" s="134"/>
      <c r="N1069" s="134"/>
      <c r="O1069" s="134"/>
      <c r="P1069" s="134"/>
      <c r="Q1069" s="134"/>
      <c r="R1069" s="134"/>
      <c r="S1069" s="134"/>
      <c r="T1069" s="134"/>
      <c r="U1069" s="134"/>
    </row>
    <row r="1070" ht="15.75" customHeight="1">
      <c r="A1070" s="134"/>
      <c r="B1070" s="134"/>
      <c r="C1070" s="134"/>
      <c r="D1070" s="134"/>
      <c r="E1070" s="134"/>
      <c r="F1070" s="134"/>
      <c r="G1070" s="134"/>
      <c r="H1070" s="134"/>
      <c r="I1070" s="134"/>
      <c r="J1070" s="134"/>
      <c r="K1070" s="134"/>
      <c r="L1070" s="134"/>
      <c r="M1070" s="134"/>
      <c r="N1070" s="134"/>
      <c r="O1070" s="134"/>
      <c r="P1070" s="134"/>
      <c r="Q1070" s="134"/>
      <c r="R1070" s="134"/>
      <c r="S1070" s="134"/>
      <c r="T1070" s="134"/>
      <c r="U1070" s="134"/>
    </row>
    <row r="1071" ht="15.75" customHeight="1">
      <c r="A1071" s="134"/>
      <c r="B1071" s="134"/>
      <c r="C1071" s="134"/>
      <c r="D1071" s="134"/>
      <c r="E1071" s="134"/>
      <c r="F1071" s="134"/>
      <c r="G1071" s="134"/>
      <c r="H1071" s="134"/>
      <c r="I1071" s="134"/>
      <c r="J1071" s="134"/>
      <c r="K1071" s="134"/>
      <c r="L1071" s="134"/>
      <c r="M1071" s="134"/>
      <c r="N1071" s="134"/>
      <c r="O1071" s="134"/>
      <c r="P1071" s="134"/>
      <c r="Q1071" s="134"/>
      <c r="R1071" s="134"/>
      <c r="S1071" s="134"/>
      <c r="T1071" s="134"/>
      <c r="U1071" s="134"/>
    </row>
    <row r="1072" ht="15.75" customHeight="1">
      <c r="A1072" s="134"/>
      <c r="B1072" s="134"/>
      <c r="C1072" s="134"/>
      <c r="D1072" s="134"/>
      <c r="E1072" s="134"/>
      <c r="F1072" s="134"/>
      <c r="G1072" s="134"/>
      <c r="H1072" s="134"/>
      <c r="I1072" s="134"/>
      <c r="J1072" s="134"/>
      <c r="K1072" s="134"/>
      <c r="L1072" s="134"/>
      <c r="M1072" s="134"/>
      <c r="N1072" s="134"/>
      <c r="O1072" s="134"/>
      <c r="P1072" s="134"/>
      <c r="Q1072" s="134"/>
      <c r="R1072" s="134"/>
      <c r="S1072" s="134"/>
      <c r="T1072" s="134"/>
      <c r="U1072" s="134"/>
    </row>
    <row r="1073" ht="15.75" customHeight="1">
      <c r="A1073" s="134"/>
      <c r="B1073" s="134"/>
      <c r="C1073" s="134"/>
      <c r="D1073" s="134"/>
      <c r="E1073" s="134"/>
      <c r="F1073" s="134"/>
      <c r="G1073" s="134"/>
      <c r="H1073" s="134"/>
      <c r="I1073" s="134"/>
      <c r="J1073" s="134"/>
      <c r="K1073" s="134"/>
      <c r="L1073" s="134"/>
      <c r="M1073" s="134"/>
      <c r="N1073" s="134"/>
      <c r="O1073" s="134"/>
      <c r="P1073" s="134"/>
      <c r="Q1073" s="134"/>
      <c r="R1073" s="134"/>
      <c r="S1073" s="134"/>
      <c r="T1073" s="134"/>
      <c r="U1073" s="134"/>
    </row>
    <row r="1074" ht="15.75" customHeight="1">
      <c r="A1074" s="134"/>
      <c r="B1074" s="134"/>
      <c r="C1074" s="134"/>
      <c r="D1074" s="134"/>
      <c r="E1074" s="134"/>
      <c r="F1074" s="134"/>
      <c r="G1074" s="134"/>
      <c r="H1074" s="134"/>
      <c r="I1074" s="134"/>
      <c r="J1074" s="134"/>
      <c r="K1074" s="134"/>
      <c r="L1074" s="134"/>
      <c r="M1074" s="134"/>
      <c r="N1074" s="134"/>
      <c r="O1074" s="134"/>
      <c r="P1074" s="134"/>
      <c r="Q1074" s="134"/>
      <c r="R1074" s="134"/>
      <c r="S1074" s="134"/>
      <c r="T1074" s="134"/>
      <c r="U1074" s="134"/>
    </row>
    <row r="1075" ht="15.75" customHeight="1">
      <c r="A1075" s="134"/>
      <c r="B1075" s="134"/>
      <c r="C1075" s="134"/>
      <c r="D1075" s="134"/>
      <c r="E1075" s="134"/>
      <c r="F1075" s="134"/>
      <c r="G1075" s="134"/>
      <c r="H1075" s="134"/>
      <c r="I1075" s="134"/>
      <c r="J1075" s="134"/>
      <c r="K1075" s="134"/>
      <c r="L1075" s="134"/>
      <c r="M1075" s="134"/>
      <c r="N1075" s="134"/>
      <c r="O1075" s="134"/>
      <c r="P1075" s="134"/>
      <c r="Q1075" s="134"/>
      <c r="R1075" s="134"/>
      <c r="S1075" s="134"/>
      <c r="T1075" s="134"/>
      <c r="U1075" s="134"/>
    </row>
    <row r="1076" ht="15.75" customHeight="1">
      <c r="A1076" s="134"/>
      <c r="B1076" s="134"/>
      <c r="C1076" s="134"/>
      <c r="D1076" s="134"/>
      <c r="E1076" s="134"/>
      <c r="F1076" s="134"/>
      <c r="G1076" s="134"/>
      <c r="H1076" s="134"/>
      <c r="I1076" s="134"/>
      <c r="J1076" s="134"/>
      <c r="K1076" s="134"/>
      <c r="L1076" s="134"/>
      <c r="M1076" s="134"/>
      <c r="N1076" s="134"/>
      <c r="O1076" s="134"/>
      <c r="P1076" s="134"/>
      <c r="Q1076" s="134"/>
      <c r="R1076" s="134"/>
      <c r="S1076" s="134"/>
      <c r="T1076" s="134"/>
      <c r="U1076" s="134"/>
    </row>
    <row r="1077" ht="15.75" customHeight="1">
      <c r="A1077" s="134"/>
      <c r="B1077" s="134"/>
      <c r="C1077" s="134"/>
      <c r="D1077" s="134"/>
      <c r="E1077" s="134"/>
      <c r="F1077" s="134"/>
      <c r="G1077" s="134"/>
      <c r="H1077" s="134"/>
      <c r="I1077" s="134"/>
      <c r="J1077" s="134"/>
      <c r="K1077" s="134"/>
      <c r="L1077" s="134"/>
      <c r="M1077" s="134"/>
      <c r="N1077" s="134"/>
      <c r="O1077" s="134"/>
      <c r="P1077" s="134"/>
      <c r="Q1077" s="134"/>
      <c r="R1077" s="134"/>
      <c r="S1077" s="134"/>
      <c r="T1077" s="134"/>
      <c r="U1077" s="134"/>
    </row>
    <row r="1078" ht="15.75" customHeight="1">
      <c r="A1078" s="134"/>
      <c r="B1078" s="134"/>
      <c r="C1078" s="134"/>
      <c r="D1078" s="134"/>
      <c r="E1078" s="134"/>
      <c r="F1078" s="134"/>
      <c r="G1078" s="134"/>
      <c r="H1078" s="134"/>
      <c r="I1078" s="134"/>
      <c r="J1078" s="134"/>
      <c r="K1078" s="134"/>
      <c r="L1078" s="134"/>
      <c r="M1078" s="134"/>
      <c r="N1078" s="134"/>
      <c r="O1078" s="134"/>
      <c r="P1078" s="134"/>
      <c r="Q1078" s="134"/>
      <c r="R1078" s="134"/>
      <c r="S1078" s="134"/>
      <c r="T1078" s="134"/>
      <c r="U1078" s="134"/>
    </row>
    <row r="1079" ht="15.75" customHeight="1">
      <c r="A1079" s="134"/>
      <c r="B1079" s="134"/>
      <c r="C1079" s="134"/>
      <c r="D1079" s="134"/>
      <c r="E1079" s="134"/>
      <c r="F1079" s="134"/>
      <c r="G1079" s="134"/>
      <c r="H1079" s="134"/>
      <c r="I1079" s="134"/>
      <c r="J1079" s="134"/>
      <c r="K1079" s="134"/>
      <c r="L1079" s="134"/>
      <c r="M1079" s="134"/>
      <c r="N1079" s="134"/>
      <c r="O1079" s="134"/>
      <c r="P1079" s="134"/>
      <c r="Q1079" s="134"/>
      <c r="R1079" s="134"/>
      <c r="S1079" s="134"/>
      <c r="T1079" s="134"/>
      <c r="U1079" s="134"/>
    </row>
    <row r="1080" ht="15.75" customHeight="1">
      <c r="A1080" s="134"/>
      <c r="B1080" s="134"/>
      <c r="C1080" s="134"/>
      <c r="D1080" s="134"/>
      <c r="E1080" s="134"/>
      <c r="F1080" s="134"/>
      <c r="G1080" s="134"/>
      <c r="H1080" s="134"/>
      <c r="I1080" s="134"/>
      <c r="J1080" s="134"/>
      <c r="K1080" s="134"/>
      <c r="L1080" s="134"/>
      <c r="M1080" s="134"/>
      <c r="N1080" s="134"/>
      <c r="O1080" s="134"/>
      <c r="P1080" s="134"/>
      <c r="Q1080" s="134"/>
      <c r="R1080" s="134"/>
      <c r="S1080" s="134"/>
      <c r="T1080" s="134"/>
      <c r="U1080" s="134"/>
    </row>
    <row r="1081" ht="15.75" customHeight="1">
      <c r="A1081" s="134"/>
      <c r="B1081" s="134"/>
      <c r="C1081" s="134"/>
      <c r="D1081" s="134"/>
      <c r="E1081" s="134"/>
      <c r="F1081" s="134"/>
      <c r="G1081" s="134"/>
      <c r="H1081" s="134"/>
      <c r="I1081" s="134"/>
      <c r="J1081" s="134"/>
      <c r="K1081" s="134"/>
      <c r="L1081" s="134"/>
      <c r="M1081" s="134"/>
      <c r="N1081" s="134"/>
      <c r="O1081" s="134"/>
      <c r="P1081" s="134"/>
      <c r="Q1081" s="134"/>
      <c r="R1081" s="134"/>
      <c r="S1081" s="134"/>
      <c r="T1081" s="134"/>
      <c r="U1081" s="134"/>
    </row>
    <row r="1082" ht="15.75" customHeight="1">
      <c r="A1082" s="134"/>
      <c r="B1082" s="134"/>
      <c r="C1082" s="134"/>
      <c r="D1082" s="134"/>
      <c r="E1082" s="134"/>
      <c r="F1082" s="134"/>
      <c r="G1082" s="134"/>
      <c r="H1082" s="134"/>
      <c r="I1082" s="134"/>
      <c r="J1082" s="134"/>
      <c r="K1082" s="134"/>
      <c r="L1082" s="134"/>
      <c r="M1082" s="134"/>
      <c r="N1082" s="134"/>
      <c r="O1082" s="134"/>
      <c r="P1082" s="134"/>
      <c r="Q1082" s="134"/>
      <c r="R1082" s="134"/>
      <c r="S1082" s="134"/>
      <c r="T1082" s="134"/>
      <c r="U1082" s="134"/>
    </row>
    <row r="1083" ht="15.75" customHeight="1">
      <c r="A1083" s="134"/>
      <c r="B1083" s="134"/>
      <c r="C1083" s="134"/>
      <c r="D1083" s="134"/>
      <c r="E1083" s="134"/>
      <c r="F1083" s="134"/>
      <c r="G1083" s="134"/>
      <c r="H1083" s="134"/>
      <c r="I1083" s="134"/>
      <c r="J1083" s="134"/>
      <c r="K1083" s="134"/>
      <c r="L1083" s="134"/>
      <c r="M1083" s="134"/>
      <c r="N1083" s="134"/>
      <c r="O1083" s="134"/>
      <c r="P1083" s="134"/>
      <c r="Q1083" s="134"/>
      <c r="R1083" s="134"/>
      <c r="S1083" s="134"/>
      <c r="T1083" s="134"/>
      <c r="U1083" s="134"/>
    </row>
    <row r="1084" ht="15.75" customHeight="1">
      <c r="A1084" s="134"/>
      <c r="B1084" s="134"/>
      <c r="C1084" s="134"/>
      <c r="D1084" s="134"/>
      <c r="E1084" s="134"/>
      <c r="F1084" s="134"/>
      <c r="G1084" s="134"/>
      <c r="H1084" s="134"/>
      <c r="I1084" s="134"/>
      <c r="J1084" s="134"/>
      <c r="K1084" s="134"/>
      <c r="L1084" s="134"/>
      <c r="M1084" s="134"/>
      <c r="N1084" s="134"/>
      <c r="O1084" s="134"/>
      <c r="P1084" s="134"/>
      <c r="Q1084" s="134"/>
      <c r="R1084" s="134"/>
      <c r="S1084" s="134"/>
      <c r="T1084" s="134"/>
      <c r="U1084" s="134"/>
    </row>
    <row r="1085" ht="15.75" customHeight="1">
      <c r="A1085" s="134"/>
      <c r="B1085" s="134"/>
      <c r="C1085" s="134"/>
      <c r="D1085" s="134"/>
      <c r="E1085" s="134"/>
      <c r="F1085" s="134"/>
      <c r="G1085" s="134"/>
      <c r="H1085" s="134"/>
      <c r="I1085" s="134"/>
      <c r="J1085" s="134"/>
      <c r="K1085" s="134"/>
      <c r="L1085" s="134"/>
      <c r="M1085" s="134"/>
      <c r="N1085" s="134"/>
      <c r="O1085" s="134"/>
      <c r="P1085" s="134"/>
      <c r="Q1085" s="134"/>
      <c r="R1085" s="134"/>
      <c r="S1085" s="134"/>
      <c r="T1085" s="134"/>
      <c r="U1085" s="134"/>
    </row>
    <row r="1086" ht="15.75" customHeight="1">
      <c r="A1086" s="134"/>
      <c r="B1086" s="134"/>
      <c r="C1086" s="134"/>
      <c r="D1086" s="134"/>
      <c r="E1086" s="134"/>
      <c r="F1086" s="134"/>
      <c r="G1086" s="134"/>
      <c r="H1086" s="134"/>
      <c r="I1086" s="134"/>
      <c r="J1086" s="134"/>
      <c r="K1086" s="134"/>
      <c r="L1086" s="134"/>
      <c r="M1086" s="134"/>
      <c r="N1086" s="134"/>
      <c r="O1086" s="134"/>
      <c r="P1086" s="134"/>
      <c r="Q1086" s="134"/>
      <c r="R1086" s="134"/>
      <c r="S1086" s="134"/>
      <c r="T1086" s="134"/>
      <c r="U1086" s="134"/>
    </row>
    <row r="1087" ht="15.75" customHeight="1">
      <c r="A1087" s="134"/>
      <c r="B1087" s="134"/>
      <c r="C1087" s="134"/>
      <c r="D1087" s="134"/>
      <c r="E1087" s="134"/>
      <c r="F1087" s="134"/>
      <c r="G1087" s="134"/>
      <c r="H1087" s="134"/>
      <c r="I1087" s="134"/>
      <c r="J1087" s="134"/>
      <c r="K1087" s="134"/>
      <c r="L1087" s="134"/>
      <c r="M1087" s="134"/>
      <c r="N1087" s="134"/>
      <c r="O1087" s="134"/>
      <c r="P1087" s="134"/>
      <c r="Q1087" s="134"/>
      <c r="R1087" s="134"/>
      <c r="S1087" s="134"/>
      <c r="T1087" s="134"/>
      <c r="U1087" s="134"/>
    </row>
    <row r="1088" ht="15.75" customHeight="1">
      <c r="A1088" s="134"/>
      <c r="B1088" s="134"/>
      <c r="C1088" s="134"/>
      <c r="D1088" s="134"/>
      <c r="E1088" s="134"/>
      <c r="F1088" s="134"/>
      <c r="G1088" s="134"/>
      <c r="H1088" s="134"/>
      <c r="I1088" s="134"/>
      <c r="J1088" s="134"/>
      <c r="K1088" s="134"/>
      <c r="L1088" s="134"/>
      <c r="M1088" s="134"/>
      <c r="N1088" s="134"/>
      <c r="O1088" s="134"/>
      <c r="P1088" s="134"/>
      <c r="Q1088" s="134"/>
      <c r="R1088" s="134"/>
      <c r="S1088" s="134"/>
      <c r="T1088" s="134"/>
      <c r="U1088" s="134"/>
    </row>
    <row r="1089" ht="15.75" customHeight="1">
      <c r="A1089" s="134"/>
      <c r="B1089" s="134"/>
      <c r="C1089" s="134"/>
      <c r="D1089" s="134"/>
      <c r="E1089" s="134"/>
      <c r="F1089" s="134"/>
      <c r="G1089" s="134"/>
      <c r="H1089" s="134"/>
      <c r="I1089" s="134"/>
      <c r="J1089" s="134"/>
      <c r="K1089" s="134"/>
      <c r="L1089" s="134"/>
      <c r="M1089" s="134"/>
      <c r="N1089" s="134"/>
      <c r="O1089" s="134"/>
      <c r="P1089" s="134"/>
      <c r="Q1089" s="134"/>
      <c r="R1089" s="134"/>
      <c r="S1089" s="134"/>
      <c r="T1089" s="134"/>
      <c r="U1089" s="134"/>
    </row>
    <row r="1090" ht="15.75" customHeight="1">
      <c r="A1090" s="134"/>
      <c r="B1090" s="134"/>
      <c r="C1090" s="134"/>
      <c r="D1090" s="134"/>
      <c r="E1090" s="134"/>
      <c r="F1090" s="134"/>
      <c r="G1090" s="134"/>
      <c r="H1090" s="134"/>
      <c r="I1090" s="134"/>
      <c r="J1090" s="134"/>
      <c r="K1090" s="134"/>
      <c r="L1090" s="134"/>
      <c r="M1090" s="134"/>
      <c r="N1090" s="134"/>
      <c r="O1090" s="134"/>
      <c r="P1090" s="134"/>
      <c r="Q1090" s="134"/>
      <c r="R1090" s="134"/>
      <c r="S1090" s="134"/>
      <c r="T1090" s="134"/>
      <c r="U1090" s="134"/>
    </row>
    <row r="1091" ht="15.75" customHeight="1">
      <c r="A1091" s="134"/>
      <c r="B1091" s="134"/>
      <c r="C1091" s="134"/>
      <c r="D1091" s="134"/>
      <c r="E1091" s="134"/>
      <c r="F1091" s="134"/>
      <c r="G1091" s="134"/>
      <c r="H1091" s="134"/>
      <c r="I1091" s="134"/>
      <c r="J1091" s="134"/>
      <c r="K1091" s="134"/>
      <c r="L1091" s="134"/>
      <c r="M1091" s="134"/>
      <c r="N1091" s="134"/>
      <c r="O1091" s="134"/>
      <c r="P1091" s="134"/>
      <c r="Q1091" s="134"/>
      <c r="R1091" s="134"/>
      <c r="S1091" s="134"/>
      <c r="T1091" s="134"/>
      <c r="U1091" s="134"/>
    </row>
    <row r="1092" ht="15.75" customHeight="1">
      <c r="A1092" s="134"/>
      <c r="B1092" s="134"/>
      <c r="C1092" s="134"/>
      <c r="D1092" s="134"/>
      <c r="E1092" s="134"/>
      <c r="F1092" s="134"/>
      <c r="G1092" s="134"/>
      <c r="H1092" s="134"/>
      <c r="I1092" s="134"/>
      <c r="J1092" s="134"/>
      <c r="K1092" s="134"/>
      <c r="L1092" s="134"/>
      <c r="M1092" s="134"/>
      <c r="N1092" s="134"/>
      <c r="O1092" s="134"/>
      <c r="P1092" s="134"/>
      <c r="Q1092" s="134"/>
      <c r="R1092" s="134"/>
      <c r="S1092" s="134"/>
      <c r="T1092" s="134"/>
      <c r="U1092" s="134"/>
    </row>
    <row r="1093" ht="15.75" customHeight="1">
      <c r="A1093" s="134"/>
      <c r="B1093" s="134"/>
      <c r="C1093" s="134"/>
      <c r="D1093" s="134"/>
      <c r="E1093" s="134"/>
      <c r="F1093" s="134"/>
      <c r="G1093" s="134"/>
      <c r="H1093" s="134"/>
      <c r="I1093" s="134"/>
      <c r="J1093" s="134"/>
      <c r="K1093" s="134"/>
      <c r="L1093" s="134"/>
      <c r="M1093" s="134"/>
      <c r="N1093" s="134"/>
      <c r="O1093" s="134"/>
      <c r="P1093" s="134"/>
      <c r="Q1093" s="134"/>
      <c r="R1093" s="134"/>
      <c r="S1093" s="134"/>
      <c r="T1093" s="134"/>
      <c r="U1093" s="134"/>
    </row>
    <row r="1094" ht="15.75" customHeight="1">
      <c r="A1094" s="134"/>
      <c r="B1094" s="134"/>
      <c r="C1094" s="134"/>
      <c r="D1094" s="134"/>
      <c r="E1094" s="134"/>
      <c r="F1094" s="134"/>
      <c r="G1094" s="134"/>
      <c r="H1094" s="134"/>
      <c r="I1094" s="134"/>
      <c r="J1094" s="134"/>
      <c r="K1094" s="134"/>
      <c r="L1094" s="134"/>
      <c r="M1094" s="134"/>
      <c r="N1094" s="134"/>
      <c r="O1094" s="134"/>
      <c r="P1094" s="134"/>
      <c r="Q1094" s="134"/>
      <c r="R1094" s="134"/>
      <c r="S1094" s="134"/>
      <c r="T1094" s="134"/>
      <c r="U1094" s="134"/>
    </row>
    <row r="1095" ht="15.75" customHeight="1">
      <c r="A1095" s="134"/>
      <c r="B1095" s="134"/>
      <c r="C1095" s="134"/>
      <c r="D1095" s="134"/>
      <c r="E1095" s="134"/>
      <c r="F1095" s="134"/>
      <c r="G1095" s="134"/>
      <c r="H1095" s="134"/>
      <c r="I1095" s="134"/>
      <c r="J1095" s="134"/>
      <c r="K1095" s="134"/>
      <c r="L1095" s="134"/>
      <c r="M1095" s="134"/>
      <c r="N1095" s="134"/>
      <c r="O1095" s="134"/>
      <c r="P1095" s="134"/>
      <c r="Q1095" s="134"/>
      <c r="R1095" s="134"/>
      <c r="S1095" s="134"/>
      <c r="T1095" s="134"/>
      <c r="U1095" s="134"/>
    </row>
    <row r="1096" ht="15.75" customHeight="1">
      <c r="A1096" s="134"/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</row>
    <row r="1097" ht="15.75" customHeight="1">
      <c r="A1097" s="134"/>
      <c r="B1097" s="134"/>
      <c r="C1097" s="134"/>
      <c r="D1097" s="134"/>
      <c r="E1097" s="134"/>
      <c r="F1097" s="134"/>
      <c r="G1097" s="134"/>
      <c r="H1097" s="134"/>
      <c r="I1097" s="134"/>
      <c r="J1097" s="134"/>
      <c r="K1097" s="134"/>
      <c r="L1097" s="134"/>
      <c r="M1097" s="134"/>
      <c r="N1097" s="134"/>
      <c r="O1097" s="134"/>
      <c r="P1097" s="134"/>
      <c r="Q1097" s="134"/>
      <c r="R1097" s="134"/>
      <c r="S1097" s="134"/>
      <c r="T1097" s="134"/>
      <c r="U1097" s="134"/>
    </row>
    <row r="1098" ht="15.75" customHeight="1">
      <c r="A1098" s="134"/>
      <c r="B1098" s="134"/>
      <c r="C1098" s="134"/>
      <c r="D1098" s="134"/>
      <c r="E1098" s="134"/>
      <c r="F1098" s="134"/>
      <c r="G1098" s="134"/>
      <c r="H1098" s="134"/>
      <c r="I1098" s="134"/>
      <c r="J1098" s="134"/>
      <c r="K1098" s="134"/>
      <c r="L1098" s="134"/>
      <c r="M1098" s="134"/>
      <c r="N1098" s="134"/>
      <c r="O1098" s="134"/>
      <c r="P1098" s="134"/>
      <c r="Q1098" s="134"/>
      <c r="R1098" s="134"/>
      <c r="S1098" s="134"/>
      <c r="T1098" s="134"/>
      <c r="U1098" s="134"/>
    </row>
    <row r="1099" ht="15.75" customHeight="1">
      <c r="A1099" s="134"/>
      <c r="B1099" s="134"/>
      <c r="C1099" s="134"/>
      <c r="D1099" s="134"/>
      <c r="E1099" s="134"/>
      <c r="F1099" s="134"/>
      <c r="G1099" s="134"/>
      <c r="H1099" s="134"/>
      <c r="I1099" s="134"/>
      <c r="J1099" s="134"/>
      <c r="K1099" s="134"/>
      <c r="L1099" s="134"/>
      <c r="M1099" s="134"/>
      <c r="N1099" s="134"/>
      <c r="O1099" s="134"/>
      <c r="P1099" s="134"/>
      <c r="Q1099" s="134"/>
      <c r="R1099" s="134"/>
      <c r="S1099" s="134"/>
      <c r="T1099" s="134"/>
      <c r="U1099" s="134"/>
    </row>
    <row r="1100" ht="15.75" customHeight="1">
      <c r="A1100" s="134"/>
      <c r="B1100" s="134"/>
      <c r="C1100" s="134"/>
      <c r="D1100" s="134"/>
      <c r="E1100" s="134"/>
      <c r="F1100" s="134"/>
      <c r="G1100" s="134"/>
      <c r="H1100" s="134"/>
      <c r="I1100" s="134"/>
      <c r="J1100" s="134"/>
      <c r="K1100" s="134"/>
      <c r="L1100" s="134"/>
      <c r="M1100" s="134"/>
      <c r="N1100" s="134"/>
      <c r="O1100" s="134"/>
      <c r="P1100" s="134"/>
      <c r="Q1100" s="134"/>
      <c r="R1100" s="134"/>
      <c r="S1100" s="134"/>
      <c r="T1100" s="134"/>
      <c r="U1100" s="134"/>
    </row>
    <row r="1101" ht="15.75" customHeight="1">
      <c r="A1101" s="134"/>
      <c r="B1101" s="134"/>
      <c r="C1101" s="134"/>
      <c r="D1101" s="134"/>
      <c r="E1101" s="134"/>
      <c r="F1101" s="134"/>
      <c r="G1101" s="134"/>
      <c r="H1101" s="134"/>
      <c r="I1101" s="134"/>
      <c r="J1101" s="134"/>
      <c r="K1101" s="134"/>
      <c r="L1101" s="134"/>
      <c r="M1101" s="134"/>
      <c r="N1101" s="134"/>
      <c r="O1101" s="134"/>
      <c r="P1101" s="134"/>
      <c r="Q1101" s="134"/>
      <c r="R1101" s="134"/>
      <c r="S1101" s="134"/>
      <c r="T1101" s="134"/>
      <c r="U1101" s="134"/>
    </row>
    <row r="1102" ht="15.75" customHeight="1">
      <c r="A1102" s="134"/>
      <c r="B1102" s="134"/>
      <c r="C1102" s="134"/>
      <c r="D1102" s="134"/>
      <c r="E1102" s="134"/>
      <c r="F1102" s="134"/>
      <c r="G1102" s="134"/>
      <c r="H1102" s="134"/>
      <c r="I1102" s="134"/>
      <c r="J1102" s="134"/>
      <c r="K1102" s="134"/>
      <c r="L1102" s="134"/>
      <c r="M1102" s="134"/>
      <c r="N1102" s="134"/>
      <c r="O1102" s="134"/>
      <c r="P1102" s="134"/>
      <c r="Q1102" s="134"/>
      <c r="R1102" s="134"/>
      <c r="S1102" s="134"/>
      <c r="T1102" s="134"/>
      <c r="U1102" s="134"/>
    </row>
    <row r="1103" ht="15.75" customHeight="1">
      <c r="A1103" s="134"/>
      <c r="B1103" s="134"/>
      <c r="C1103" s="134"/>
      <c r="D1103" s="134"/>
      <c r="E1103" s="134"/>
      <c r="F1103" s="134"/>
      <c r="G1103" s="134"/>
      <c r="H1103" s="134"/>
      <c r="I1103" s="134"/>
      <c r="J1103" s="134"/>
      <c r="K1103" s="134"/>
      <c r="L1103" s="134"/>
      <c r="M1103" s="134"/>
      <c r="N1103" s="134"/>
      <c r="O1103" s="134"/>
      <c r="P1103" s="134"/>
      <c r="Q1103" s="134"/>
      <c r="R1103" s="134"/>
      <c r="S1103" s="134"/>
      <c r="T1103" s="134"/>
      <c r="U1103" s="134"/>
    </row>
    <row r="1104" ht="15.75" customHeight="1">
      <c r="A1104" s="134"/>
      <c r="B1104" s="134"/>
      <c r="C1104" s="134"/>
      <c r="D1104" s="134"/>
      <c r="E1104" s="134"/>
      <c r="F1104" s="134"/>
      <c r="G1104" s="134"/>
      <c r="H1104" s="134"/>
      <c r="I1104" s="134"/>
      <c r="J1104" s="134"/>
      <c r="K1104" s="134"/>
      <c r="L1104" s="134"/>
      <c r="M1104" s="134"/>
      <c r="N1104" s="134"/>
      <c r="O1104" s="134"/>
      <c r="P1104" s="134"/>
      <c r="Q1104" s="134"/>
      <c r="R1104" s="134"/>
      <c r="S1104" s="134"/>
      <c r="T1104" s="134"/>
      <c r="U1104" s="134"/>
    </row>
    <row r="1105" ht="15.75" customHeight="1">
      <c r="A1105" s="134"/>
      <c r="B1105" s="134"/>
      <c r="C1105" s="134"/>
      <c r="D1105" s="134"/>
      <c r="E1105" s="134"/>
      <c r="F1105" s="134"/>
      <c r="G1105" s="134"/>
      <c r="H1105" s="134"/>
      <c r="I1105" s="134"/>
      <c r="J1105" s="134"/>
      <c r="K1105" s="134"/>
      <c r="L1105" s="134"/>
      <c r="M1105" s="134"/>
      <c r="N1105" s="134"/>
      <c r="O1105" s="134"/>
      <c r="P1105" s="134"/>
      <c r="Q1105" s="134"/>
      <c r="R1105" s="134"/>
      <c r="S1105" s="134"/>
      <c r="T1105" s="134"/>
      <c r="U1105" s="134"/>
    </row>
    <row r="1106" ht="15.75" customHeight="1">
      <c r="A1106" s="134"/>
      <c r="B1106" s="134"/>
      <c r="C1106" s="134"/>
      <c r="D1106" s="134"/>
      <c r="E1106" s="134"/>
      <c r="F1106" s="134"/>
      <c r="G1106" s="134"/>
      <c r="H1106" s="134"/>
      <c r="I1106" s="134"/>
      <c r="J1106" s="134"/>
      <c r="K1106" s="134"/>
      <c r="L1106" s="134"/>
      <c r="M1106" s="134"/>
      <c r="N1106" s="134"/>
      <c r="O1106" s="134"/>
      <c r="P1106" s="134"/>
      <c r="Q1106" s="134"/>
      <c r="R1106" s="134"/>
      <c r="S1106" s="134"/>
      <c r="T1106" s="134"/>
      <c r="U1106" s="134"/>
    </row>
    <row r="1107" ht="15.75" customHeight="1">
      <c r="A1107" s="134"/>
      <c r="B1107" s="134"/>
      <c r="C1107" s="134"/>
      <c r="D1107" s="134"/>
      <c r="E1107" s="134"/>
      <c r="F1107" s="134"/>
      <c r="G1107" s="134"/>
      <c r="H1107" s="134"/>
      <c r="I1107" s="134"/>
      <c r="J1107" s="134"/>
      <c r="K1107" s="134"/>
      <c r="L1107" s="134"/>
      <c r="M1107" s="134"/>
      <c r="N1107" s="134"/>
      <c r="O1107" s="134"/>
      <c r="P1107" s="134"/>
      <c r="Q1107" s="134"/>
      <c r="R1107" s="134"/>
      <c r="S1107" s="134"/>
      <c r="T1107" s="134"/>
      <c r="U1107" s="134"/>
    </row>
    <row r="1108" ht="15.75" customHeight="1">
      <c r="A1108" s="134"/>
      <c r="B1108" s="134"/>
      <c r="C1108" s="134"/>
      <c r="D1108" s="134"/>
      <c r="E1108" s="134"/>
      <c r="F1108" s="134"/>
      <c r="G1108" s="134"/>
      <c r="H1108" s="134"/>
      <c r="I1108" s="134"/>
      <c r="J1108" s="134"/>
      <c r="K1108" s="134"/>
      <c r="L1108" s="134"/>
      <c r="M1108" s="134"/>
      <c r="N1108" s="134"/>
      <c r="O1108" s="134"/>
      <c r="P1108" s="134"/>
      <c r="Q1108" s="134"/>
      <c r="R1108" s="134"/>
      <c r="S1108" s="134"/>
      <c r="T1108" s="134"/>
      <c r="U1108" s="134"/>
    </row>
    <row r="1109" ht="15.75" customHeight="1">
      <c r="A1109" s="134"/>
      <c r="B1109" s="134"/>
      <c r="C1109" s="134"/>
      <c r="D1109" s="134"/>
      <c r="E1109" s="134"/>
      <c r="F1109" s="134"/>
      <c r="G1109" s="134"/>
      <c r="H1109" s="134"/>
      <c r="I1109" s="134"/>
      <c r="J1109" s="134"/>
      <c r="K1109" s="134"/>
      <c r="L1109" s="134"/>
      <c r="M1109" s="134"/>
      <c r="N1109" s="134"/>
      <c r="O1109" s="134"/>
      <c r="P1109" s="134"/>
      <c r="Q1109" s="134"/>
      <c r="R1109" s="134"/>
      <c r="S1109" s="134"/>
      <c r="T1109" s="134"/>
      <c r="U1109" s="134"/>
    </row>
    <row r="1110" ht="15.75" customHeight="1">
      <c r="A1110" s="134"/>
      <c r="B1110" s="134"/>
      <c r="C1110" s="134"/>
      <c r="D1110" s="134"/>
      <c r="E1110" s="134"/>
      <c r="F1110" s="134"/>
      <c r="G1110" s="134"/>
      <c r="H1110" s="134"/>
      <c r="I1110" s="134"/>
      <c r="J1110" s="134"/>
      <c r="K1110" s="134"/>
      <c r="L1110" s="134"/>
      <c r="M1110" s="134"/>
      <c r="N1110" s="134"/>
      <c r="O1110" s="134"/>
      <c r="P1110" s="134"/>
      <c r="Q1110" s="134"/>
      <c r="R1110" s="134"/>
      <c r="S1110" s="134"/>
      <c r="T1110" s="134"/>
      <c r="U1110" s="134"/>
    </row>
    <row r="1111" ht="15.75" customHeight="1">
      <c r="A1111" s="134"/>
      <c r="B1111" s="134"/>
      <c r="C1111" s="134"/>
      <c r="D1111" s="134"/>
      <c r="E1111" s="134"/>
      <c r="F1111" s="134"/>
      <c r="G1111" s="134"/>
      <c r="H1111" s="134"/>
      <c r="I1111" s="134"/>
      <c r="J1111" s="134"/>
      <c r="K1111" s="134"/>
      <c r="L1111" s="134"/>
      <c r="M1111" s="134"/>
      <c r="N1111" s="134"/>
      <c r="O1111" s="134"/>
      <c r="P1111" s="134"/>
      <c r="Q1111" s="134"/>
      <c r="R1111" s="134"/>
      <c r="S1111" s="134"/>
      <c r="T1111" s="134"/>
      <c r="U1111" s="134"/>
    </row>
    <row r="1112" ht="15.75" customHeight="1">
      <c r="A1112" s="134"/>
      <c r="B1112" s="134"/>
      <c r="C1112" s="134"/>
      <c r="D1112" s="134"/>
      <c r="E1112" s="134"/>
      <c r="F1112" s="134"/>
      <c r="G1112" s="134"/>
      <c r="H1112" s="134"/>
      <c r="I1112" s="134"/>
      <c r="J1112" s="134"/>
      <c r="K1112" s="134"/>
      <c r="L1112" s="134"/>
      <c r="M1112" s="134"/>
      <c r="N1112" s="134"/>
      <c r="O1112" s="134"/>
      <c r="P1112" s="134"/>
      <c r="Q1112" s="134"/>
      <c r="R1112" s="134"/>
      <c r="S1112" s="134"/>
      <c r="T1112" s="134"/>
      <c r="U1112" s="134"/>
    </row>
    <row r="1113" ht="15.75" customHeight="1">
      <c r="A1113" s="134"/>
      <c r="B1113" s="134"/>
      <c r="C1113" s="134"/>
      <c r="D1113" s="134"/>
      <c r="E1113" s="134"/>
      <c r="F1113" s="134"/>
      <c r="G1113" s="134"/>
      <c r="H1113" s="134"/>
      <c r="I1113" s="134"/>
      <c r="J1113" s="134"/>
      <c r="K1113" s="134"/>
      <c r="L1113" s="134"/>
      <c r="M1113" s="134"/>
      <c r="N1113" s="134"/>
      <c r="O1113" s="134"/>
      <c r="P1113" s="134"/>
      <c r="Q1113" s="134"/>
      <c r="R1113" s="134"/>
      <c r="S1113" s="134"/>
      <c r="T1113" s="134"/>
      <c r="U1113" s="134"/>
    </row>
    <row r="1114" ht="15.75" customHeight="1">
      <c r="A1114" s="134"/>
      <c r="B1114" s="134"/>
      <c r="C1114" s="134"/>
      <c r="D1114" s="134"/>
      <c r="E1114" s="134"/>
      <c r="F1114" s="134"/>
      <c r="G1114" s="134"/>
      <c r="H1114" s="134"/>
      <c r="I1114" s="134"/>
      <c r="J1114" s="134"/>
      <c r="K1114" s="134"/>
      <c r="L1114" s="134"/>
      <c r="M1114" s="134"/>
      <c r="N1114" s="134"/>
      <c r="O1114" s="134"/>
      <c r="P1114" s="134"/>
      <c r="Q1114" s="134"/>
      <c r="R1114" s="134"/>
      <c r="S1114" s="134"/>
      <c r="T1114" s="134"/>
      <c r="U1114" s="134"/>
    </row>
    <row r="1115" ht="15.75" customHeight="1">
      <c r="A1115" s="134"/>
      <c r="B1115" s="134"/>
      <c r="C1115" s="134"/>
      <c r="D1115" s="134"/>
      <c r="E1115" s="134"/>
      <c r="F1115" s="134"/>
      <c r="G1115" s="134"/>
      <c r="H1115" s="134"/>
      <c r="I1115" s="134"/>
      <c r="J1115" s="134"/>
      <c r="K1115" s="134"/>
      <c r="L1115" s="134"/>
      <c r="M1115" s="134"/>
      <c r="N1115" s="134"/>
      <c r="O1115" s="134"/>
      <c r="P1115" s="134"/>
      <c r="Q1115" s="134"/>
      <c r="R1115" s="134"/>
      <c r="S1115" s="134"/>
      <c r="T1115" s="134"/>
      <c r="U1115" s="134"/>
    </row>
    <row r="1116" ht="15.75" customHeight="1">
      <c r="A1116" s="134"/>
      <c r="B1116" s="134"/>
      <c r="C1116" s="134"/>
      <c r="D1116" s="134"/>
      <c r="E1116" s="134"/>
      <c r="F1116" s="134"/>
      <c r="G1116" s="134"/>
      <c r="H1116" s="134"/>
      <c r="I1116" s="134"/>
      <c r="J1116" s="134"/>
      <c r="K1116" s="134"/>
      <c r="L1116" s="134"/>
      <c r="M1116" s="134"/>
      <c r="N1116" s="134"/>
      <c r="O1116" s="134"/>
      <c r="P1116" s="134"/>
      <c r="Q1116" s="134"/>
      <c r="R1116" s="134"/>
      <c r="S1116" s="134"/>
      <c r="T1116" s="134"/>
      <c r="U1116" s="134"/>
    </row>
    <row r="1117" ht="15.75" customHeight="1">
      <c r="A1117" s="134"/>
      <c r="B1117" s="134"/>
      <c r="C1117" s="134"/>
      <c r="D1117" s="134"/>
      <c r="E1117" s="134"/>
      <c r="F1117" s="134"/>
      <c r="G1117" s="134"/>
      <c r="H1117" s="134"/>
      <c r="I1117" s="134"/>
      <c r="J1117" s="134"/>
      <c r="K1117" s="134"/>
      <c r="L1117" s="134"/>
      <c r="M1117" s="134"/>
      <c r="N1117" s="134"/>
      <c r="O1117" s="134"/>
      <c r="P1117" s="134"/>
      <c r="Q1117" s="134"/>
      <c r="R1117" s="134"/>
      <c r="S1117" s="134"/>
      <c r="T1117" s="134"/>
      <c r="U1117" s="134"/>
    </row>
    <row r="1118" ht="15.75" customHeight="1">
      <c r="A1118" s="134"/>
      <c r="B1118" s="134"/>
      <c r="C1118" s="134"/>
      <c r="D1118" s="134"/>
      <c r="E1118" s="134"/>
      <c r="F1118" s="134"/>
      <c r="G1118" s="134"/>
      <c r="H1118" s="134"/>
      <c r="I1118" s="134"/>
      <c r="J1118" s="134"/>
      <c r="K1118" s="134"/>
      <c r="L1118" s="134"/>
      <c r="M1118" s="134"/>
      <c r="N1118" s="134"/>
      <c r="O1118" s="134"/>
      <c r="P1118" s="134"/>
      <c r="Q1118" s="134"/>
      <c r="R1118" s="134"/>
      <c r="S1118" s="134"/>
      <c r="T1118" s="134"/>
      <c r="U1118" s="134"/>
    </row>
    <row r="1119" ht="15.75" customHeight="1">
      <c r="A1119" s="134"/>
      <c r="B1119" s="134"/>
      <c r="C1119" s="134"/>
      <c r="D1119" s="134"/>
      <c r="E1119" s="134"/>
      <c r="F1119" s="134"/>
      <c r="G1119" s="134"/>
      <c r="H1119" s="134"/>
      <c r="I1119" s="134"/>
      <c r="J1119" s="134"/>
      <c r="K1119" s="134"/>
      <c r="L1119" s="134"/>
      <c r="M1119" s="134"/>
      <c r="N1119" s="134"/>
      <c r="O1119" s="134"/>
      <c r="P1119" s="134"/>
      <c r="Q1119" s="134"/>
      <c r="R1119" s="134"/>
      <c r="S1119" s="134"/>
      <c r="T1119" s="134"/>
      <c r="U1119" s="134"/>
    </row>
    <row r="1120" ht="15.75" customHeight="1">
      <c r="A1120" s="134"/>
      <c r="B1120" s="134"/>
      <c r="C1120" s="134"/>
      <c r="D1120" s="134"/>
      <c r="E1120" s="134"/>
      <c r="F1120" s="134"/>
      <c r="G1120" s="134"/>
      <c r="H1120" s="134"/>
      <c r="I1120" s="134"/>
      <c r="J1120" s="134"/>
      <c r="K1120" s="134"/>
      <c r="L1120" s="134"/>
      <c r="M1120" s="134"/>
      <c r="N1120" s="134"/>
      <c r="O1120" s="134"/>
      <c r="P1120" s="134"/>
      <c r="Q1120" s="134"/>
      <c r="R1120" s="134"/>
      <c r="S1120" s="134"/>
      <c r="T1120" s="134"/>
      <c r="U1120" s="134"/>
    </row>
    <row r="1121" ht="15.75" customHeight="1">
      <c r="A1121" s="134"/>
      <c r="B1121" s="134"/>
      <c r="C1121" s="134"/>
      <c r="D1121" s="134"/>
      <c r="E1121" s="134"/>
      <c r="F1121" s="134"/>
      <c r="G1121" s="134"/>
      <c r="H1121" s="134"/>
      <c r="I1121" s="134"/>
      <c r="J1121" s="134"/>
      <c r="K1121" s="134"/>
      <c r="L1121" s="134"/>
      <c r="M1121" s="134"/>
      <c r="N1121" s="134"/>
      <c r="O1121" s="134"/>
      <c r="P1121" s="134"/>
      <c r="Q1121" s="134"/>
      <c r="R1121" s="134"/>
      <c r="S1121" s="134"/>
      <c r="T1121" s="134"/>
      <c r="U1121" s="134"/>
    </row>
    <row r="1122" ht="15.75" customHeight="1">
      <c r="A1122" s="134"/>
      <c r="B1122" s="134"/>
      <c r="C1122" s="134"/>
      <c r="D1122" s="134"/>
      <c r="E1122" s="134"/>
      <c r="F1122" s="134"/>
      <c r="G1122" s="134"/>
      <c r="H1122" s="134"/>
      <c r="I1122" s="134"/>
      <c r="J1122" s="134"/>
      <c r="K1122" s="134"/>
      <c r="L1122" s="134"/>
      <c r="M1122" s="134"/>
      <c r="N1122" s="134"/>
      <c r="O1122" s="134"/>
      <c r="P1122" s="134"/>
      <c r="Q1122" s="134"/>
      <c r="R1122" s="134"/>
      <c r="S1122" s="134"/>
      <c r="T1122" s="134"/>
      <c r="U1122" s="134"/>
    </row>
    <row r="1123" ht="15.75" customHeight="1">
      <c r="A1123" s="134"/>
      <c r="B1123" s="134"/>
      <c r="C1123" s="134"/>
      <c r="D1123" s="134"/>
      <c r="E1123" s="134"/>
      <c r="F1123" s="134"/>
      <c r="G1123" s="134"/>
      <c r="H1123" s="134"/>
      <c r="I1123" s="134"/>
      <c r="J1123" s="134"/>
      <c r="K1123" s="134"/>
      <c r="L1123" s="134"/>
      <c r="M1123" s="134"/>
      <c r="N1123" s="134"/>
      <c r="O1123" s="134"/>
      <c r="P1123" s="134"/>
      <c r="Q1123" s="134"/>
      <c r="R1123" s="134"/>
      <c r="S1123" s="134"/>
      <c r="T1123" s="134"/>
      <c r="U1123" s="134"/>
    </row>
    <row r="1124" ht="15.75" customHeight="1">
      <c r="A1124" s="134"/>
      <c r="B1124" s="134"/>
      <c r="C1124" s="134"/>
      <c r="D1124" s="134"/>
      <c r="E1124" s="134"/>
      <c r="F1124" s="134"/>
      <c r="G1124" s="134"/>
      <c r="H1124" s="134"/>
      <c r="I1124" s="134"/>
      <c r="J1124" s="134"/>
      <c r="K1124" s="134"/>
      <c r="L1124" s="134"/>
      <c r="M1124" s="134"/>
      <c r="N1124" s="134"/>
      <c r="O1124" s="134"/>
      <c r="P1124" s="134"/>
      <c r="Q1124" s="134"/>
      <c r="R1124" s="134"/>
      <c r="S1124" s="134"/>
      <c r="T1124" s="134"/>
      <c r="U1124" s="134"/>
    </row>
    <row r="1125" ht="15.75" customHeight="1">
      <c r="A1125" s="134"/>
      <c r="B1125" s="134"/>
      <c r="C1125" s="134"/>
      <c r="D1125" s="134"/>
      <c r="E1125" s="134"/>
      <c r="F1125" s="134"/>
      <c r="G1125" s="134"/>
      <c r="H1125" s="134"/>
      <c r="I1125" s="134"/>
      <c r="J1125" s="134"/>
      <c r="K1125" s="134"/>
      <c r="L1125" s="134"/>
      <c r="M1125" s="134"/>
      <c r="N1125" s="134"/>
      <c r="O1125" s="134"/>
      <c r="P1125" s="134"/>
      <c r="Q1125" s="134"/>
      <c r="R1125" s="134"/>
      <c r="S1125" s="134"/>
      <c r="T1125" s="134"/>
      <c r="U1125" s="134"/>
    </row>
    <row r="1126" ht="15.75" customHeight="1">
      <c r="A1126" s="134"/>
      <c r="B1126" s="134"/>
      <c r="C1126" s="134"/>
      <c r="D1126" s="134"/>
      <c r="E1126" s="134"/>
      <c r="F1126" s="134"/>
      <c r="G1126" s="134"/>
      <c r="H1126" s="134"/>
      <c r="I1126" s="134"/>
      <c r="J1126" s="134"/>
      <c r="K1126" s="134"/>
      <c r="L1126" s="134"/>
      <c r="M1126" s="134"/>
      <c r="N1126" s="134"/>
      <c r="O1126" s="134"/>
      <c r="P1126" s="134"/>
      <c r="Q1126" s="134"/>
      <c r="R1126" s="134"/>
      <c r="S1126" s="134"/>
      <c r="T1126" s="134"/>
      <c r="U1126" s="134"/>
    </row>
    <row r="1127" ht="15.75" customHeight="1">
      <c r="A1127" s="134"/>
      <c r="B1127" s="134"/>
      <c r="C1127" s="134"/>
      <c r="D1127" s="134"/>
      <c r="E1127" s="134"/>
      <c r="F1127" s="134"/>
      <c r="G1127" s="134"/>
      <c r="H1127" s="134"/>
      <c r="I1127" s="134"/>
      <c r="J1127" s="134"/>
      <c r="K1127" s="134"/>
      <c r="L1127" s="134"/>
      <c r="M1127" s="134"/>
      <c r="N1127" s="134"/>
      <c r="O1127" s="134"/>
      <c r="P1127" s="134"/>
      <c r="Q1127" s="134"/>
      <c r="R1127" s="134"/>
      <c r="S1127" s="134"/>
      <c r="T1127" s="134"/>
      <c r="U1127" s="134"/>
    </row>
    <row r="1128" ht="15.75" customHeight="1">
      <c r="A1128" s="134"/>
      <c r="B1128" s="134"/>
      <c r="C1128" s="134"/>
      <c r="D1128" s="134"/>
      <c r="E1128" s="134"/>
      <c r="F1128" s="134"/>
      <c r="G1128" s="134"/>
      <c r="H1128" s="134"/>
      <c r="I1128" s="134"/>
      <c r="J1128" s="134"/>
      <c r="K1128" s="134"/>
      <c r="L1128" s="134"/>
      <c r="M1128" s="134"/>
      <c r="N1128" s="134"/>
      <c r="O1128" s="134"/>
      <c r="P1128" s="134"/>
      <c r="Q1128" s="134"/>
      <c r="R1128" s="134"/>
      <c r="S1128" s="134"/>
      <c r="T1128" s="134"/>
      <c r="U1128" s="134"/>
    </row>
    <row r="1129" ht="15.75" customHeight="1">
      <c r="A1129" s="134"/>
      <c r="B1129" s="134"/>
      <c r="C1129" s="134"/>
      <c r="D1129" s="134"/>
      <c r="E1129" s="134"/>
      <c r="F1129" s="134"/>
      <c r="G1129" s="134"/>
      <c r="H1129" s="134"/>
      <c r="I1129" s="134"/>
      <c r="J1129" s="134"/>
      <c r="K1129" s="134"/>
      <c r="L1129" s="134"/>
      <c r="M1129" s="134"/>
      <c r="N1129" s="134"/>
      <c r="O1129" s="134"/>
      <c r="P1129" s="134"/>
      <c r="Q1129" s="134"/>
      <c r="R1129" s="134"/>
      <c r="S1129" s="134"/>
      <c r="T1129" s="134"/>
      <c r="U1129" s="134"/>
    </row>
    <row r="1130" ht="15.75" customHeight="1">
      <c r="A1130" s="134"/>
      <c r="B1130" s="134"/>
      <c r="C1130" s="134"/>
      <c r="D1130" s="134"/>
      <c r="E1130" s="134"/>
      <c r="F1130" s="134"/>
      <c r="G1130" s="134"/>
      <c r="H1130" s="134"/>
      <c r="I1130" s="134"/>
      <c r="J1130" s="134"/>
      <c r="K1130" s="134"/>
      <c r="L1130" s="134"/>
      <c r="M1130" s="134"/>
      <c r="N1130" s="134"/>
      <c r="O1130" s="134"/>
      <c r="P1130" s="134"/>
      <c r="Q1130" s="134"/>
      <c r="R1130" s="134"/>
      <c r="S1130" s="134"/>
      <c r="T1130" s="134"/>
      <c r="U1130" s="134"/>
    </row>
    <row r="1131" ht="15.75" customHeight="1">
      <c r="A1131" s="134"/>
      <c r="B1131" s="134"/>
      <c r="C1131" s="134"/>
      <c r="D1131" s="134"/>
      <c r="E1131" s="134"/>
      <c r="F1131" s="134"/>
      <c r="G1131" s="134"/>
      <c r="H1131" s="134"/>
      <c r="I1131" s="134"/>
      <c r="J1131" s="134"/>
      <c r="K1131" s="134"/>
      <c r="L1131" s="134"/>
      <c r="M1131" s="134"/>
      <c r="N1131" s="134"/>
      <c r="O1131" s="134"/>
      <c r="P1131" s="134"/>
      <c r="Q1131" s="134"/>
      <c r="R1131" s="134"/>
      <c r="S1131" s="134"/>
      <c r="T1131" s="134"/>
      <c r="U1131" s="134"/>
    </row>
    <row r="1132" ht="15.75" customHeight="1">
      <c r="A1132" s="134"/>
      <c r="B1132" s="134"/>
      <c r="C1132" s="134"/>
      <c r="D1132" s="134"/>
      <c r="E1132" s="134"/>
      <c r="F1132" s="134"/>
      <c r="G1132" s="134"/>
      <c r="H1132" s="134"/>
      <c r="I1132" s="134"/>
      <c r="J1132" s="134"/>
      <c r="K1132" s="134"/>
      <c r="L1132" s="134"/>
      <c r="M1132" s="134"/>
      <c r="N1132" s="134"/>
      <c r="O1132" s="134"/>
      <c r="P1132" s="134"/>
      <c r="Q1132" s="134"/>
      <c r="R1132" s="134"/>
      <c r="S1132" s="134"/>
      <c r="T1132" s="134"/>
      <c r="U1132" s="134"/>
    </row>
    <row r="1133" ht="15.75" customHeight="1">
      <c r="A1133" s="134"/>
      <c r="B1133" s="134"/>
      <c r="C1133" s="134"/>
      <c r="D1133" s="134"/>
      <c r="E1133" s="134"/>
      <c r="F1133" s="134"/>
      <c r="G1133" s="134"/>
      <c r="H1133" s="134"/>
      <c r="I1133" s="134"/>
      <c r="J1133" s="134"/>
      <c r="K1133" s="134"/>
      <c r="L1133" s="134"/>
      <c r="M1133" s="134"/>
      <c r="N1133" s="134"/>
      <c r="O1133" s="134"/>
      <c r="P1133" s="134"/>
      <c r="Q1133" s="134"/>
      <c r="R1133" s="134"/>
      <c r="S1133" s="134"/>
      <c r="T1133" s="134"/>
      <c r="U1133" s="134"/>
    </row>
    <row r="1134" ht="15.75" customHeight="1">
      <c r="A1134" s="134"/>
      <c r="B1134" s="134"/>
      <c r="C1134" s="134"/>
      <c r="D1134" s="134"/>
      <c r="E1134" s="134"/>
      <c r="F1134" s="134"/>
      <c r="G1134" s="134"/>
      <c r="H1134" s="134"/>
      <c r="I1134" s="134"/>
      <c r="J1134" s="134"/>
      <c r="K1134" s="134"/>
      <c r="L1134" s="134"/>
      <c r="M1134" s="134"/>
      <c r="N1134" s="134"/>
      <c r="O1134" s="134"/>
      <c r="P1134" s="134"/>
      <c r="Q1134" s="134"/>
      <c r="R1134" s="134"/>
      <c r="S1134" s="134"/>
      <c r="T1134" s="134"/>
      <c r="U1134" s="134"/>
    </row>
    <row r="1135" ht="15.75" customHeight="1">
      <c r="A1135" s="134"/>
      <c r="B1135" s="134"/>
      <c r="C1135" s="134"/>
      <c r="D1135" s="134"/>
      <c r="E1135" s="134"/>
      <c r="F1135" s="134"/>
      <c r="G1135" s="134"/>
      <c r="H1135" s="134"/>
      <c r="I1135" s="134"/>
      <c r="J1135" s="134"/>
      <c r="K1135" s="134"/>
      <c r="L1135" s="134"/>
      <c r="M1135" s="134"/>
      <c r="N1135" s="134"/>
      <c r="O1135" s="134"/>
      <c r="P1135" s="134"/>
      <c r="Q1135" s="134"/>
      <c r="R1135" s="134"/>
      <c r="S1135" s="134"/>
      <c r="T1135" s="134"/>
      <c r="U1135" s="134"/>
    </row>
    <row r="1136" ht="15.75" customHeight="1">
      <c r="A1136" s="134"/>
      <c r="B1136" s="134"/>
      <c r="C1136" s="134"/>
      <c r="D1136" s="134"/>
      <c r="E1136" s="134"/>
      <c r="F1136" s="134"/>
      <c r="G1136" s="134"/>
      <c r="H1136" s="134"/>
      <c r="I1136" s="134"/>
      <c r="J1136" s="134"/>
      <c r="K1136" s="134"/>
      <c r="L1136" s="134"/>
      <c r="M1136" s="134"/>
      <c r="N1136" s="134"/>
      <c r="O1136" s="134"/>
      <c r="P1136" s="134"/>
      <c r="Q1136" s="134"/>
      <c r="R1136" s="134"/>
      <c r="S1136" s="134"/>
      <c r="T1136" s="134"/>
      <c r="U1136" s="134"/>
    </row>
    <row r="1137" ht="15.75" customHeight="1">
      <c r="A1137" s="134"/>
      <c r="B1137" s="134"/>
      <c r="C1137" s="134"/>
      <c r="D1137" s="134"/>
      <c r="E1137" s="134"/>
      <c r="F1137" s="134"/>
      <c r="G1137" s="134"/>
      <c r="H1137" s="134"/>
      <c r="I1137" s="134"/>
      <c r="J1137" s="134"/>
      <c r="K1137" s="134"/>
      <c r="L1137" s="134"/>
      <c r="M1137" s="134"/>
      <c r="N1137" s="134"/>
      <c r="O1137" s="134"/>
      <c r="P1137" s="134"/>
      <c r="Q1137" s="134"/>
      <c r="R1137" s="134"/>
      <c r="S1137" s="134"/>
      <c r="T1137" s="134"/>
      <c r="U1137" s="134"/>
    </row>
    <row r="1138" ht="15.75" customHeight="1">
      <c r="A1138" s="134"/>
      <c r="B1138" s="134"/>
      <c r="C1138" s="134"/>
      <c r="D1138" s="134"/>
      <c r="E1138" s="134"/>
      <c r="F1138" s="134"/>
      <c r="G1138" s="134"/>
      <c r="H1138" s="134"/>
      <c r="I1138" s="134"/>
      <c r="J1138" s="134"/>
      <c r="K1138" s="134"/>
      <c r="L1138" s="134"/>
      <c r="M1138" s="134"/>
      <c r="N1138" s="134"/>
      <c r="O1138" s="134"/>
      <c r="P1138" s="134"/>
      <c r="Q1138" s="134"/>
      <c r="R1138" s="134"/>
      <c r="S1138" s="134"/>
      <c r="T1138" s="134"/>
      <c r="U1138" s="134"/>
    </row>
    <row r="1139" ht="15.75" customHeight="1">
      <c r="A1139" s="134"/>
      <c r="B1139" s="134"/>
      <c r="C1139" s="134"/>
      <c r="D1139" s="134"/>
      <c r="E1139" s="134"/>
      <c r="F1139" s="134"/>
      <c r="G1139" s="134"/>
      <c r="H1139" s="134"/>
      <c r="I1139" s="134"/>
      <c r="J1139" s="134"/>
      <c r="K1139" s="134"/>
      <c r="L1139" s="134"/>
      <c r="M1139" s="134"/>
      <c r="N1139" s="134"/>
      <c r="O1139" s="134"/>
      <c r="P1139" s="134"/>
      <c r="Q1139" s="134"/>
      <c r="R1139" s="134"/>
      <c r="S1139" s="134"/>
      <c r="T1139" s="134"/>
      <c r="U1139" s="134"/>
    </row>
    <row r="1140" ht="15.75" customHeight="1">
      <c r="A1140" s="134"/>
      <c r="B1140" s="134"/>
      <c r="C1140" s="134"/>
      <c r="D1140" s="134"/>
      <c r="E1140" s="134"/>
      <c r="F1140" s="134"/>
      <c r="G1140" s="134"/>
      <c r="H1140" s="134"/>
      <c r="I1140" s="134"/>
      <c r="J1140" s="134"/>
      <c r="K1140" s="134"/>
      <c r="L1140" s="134"/>
      <c r="M1140" s="134"/>
      <c r="N1140" s="134"/>
      <c r="O1140" s="134"/>
      <c r="P1140" s="134"/>
      <c r="Q1140" s="134"/>
      <c r="R1140" s="134"/>
      <c r="S1140" s="134"/>
      <c r="T1140" s="134"/>
      <c r="U1140" s="134"/>
    </row>
    <row r="1141" ht="15.75" customHeight="1">
      <c r="A1141" s="134"/>
      <c r="B1141" s="134"/>
      <c r="C1141" s="134"/>
      <c r="D1141" s="134"/>
      <c r="E1141" s="134"/>
      <c r="F1141" s="134"/>
      <c r="G1141" s="134"/>
      <c r="H1141" s="134"/>
      <c r="I1141" s="134"/>
      <c r="J1141" s="134"/>
      <c r="K1141" s="134"/>
      <c r="L1141" s="134"/>
      <c r="M1141" s="134"/>
      <c r="N1141" s="134"/>
      <c r="O1141" s="134"/>
      <c r="P1141" s="134"/>
      <c r="Q1141" s="134"/>
      <c r="R1141" s="134"/>
      <c r="S1141" s="134"/>
      <c r="T1141" s="134"/>
      <c r="U1141" s="134"/>
    </row>
    <row r="1142" ht="15.75" customHeight="1">
      <c r="A1142" s="134"/>
      <c r="B1142" s="134"/>
      <c r="C1142" s="134"/>
      <c r="D1142" s="134"/>
      <c r="E1142" s="134"/>
      <c r="F1142" s="134"/>
      <c r="G1142" s="134"/>
      <c r="H1142" s="134"/>
      <c r="I1142" s="134"/>
      <c r="J1142" s="134"/>
      <c r="K1142" s="134"/>
      <c r="L1142" s="134"/>
      <c r="M1142" s="134"/>
      <c r="N1142" s="134"/>
      <c r="O1142" s="134"/>
      <c r="P1142" s="134"/>
      <c r="Q1142" s="134"/>
      <c r="R1142" s="134"/>
      <c r="S1142" s="134"/>
      <c r="T1142" s="134"/>
      <c r="U1142" s="134"/>
    </row>
    <row r="1143" ht="15.75" customHeight="1">
      <c r="A1143" s="134"/>
      <c r="B1143" s="134"/>
      <c r="C1143" s="134"/>
      <c r="D1143" s="134"/>
      <c r="E1143" s="134"/>
      <c r="F1143" s="134"/>
      <c r="G1143" s="134"/>
      <c r="H1143" s="134"/>
      <c r="I1143" s="134"/>
      <c r="J1143" s="134"/>
      <c r="K1143" s="134"/>
      <c r="L1143" s="134"/>
      <c r="M1143" s="134"/>
      <c r="N1143" s="134"/>
      <c r="O1143" s="134"/>
      <c r="P1143" s="134"/>
      <c r="Q1143" s="134"/>
      <c r="R1143" s="134"/>
      <c r="S1143" s="134"/>
      <c r="T1143" s="134"/>
      <c r="U1143" s="134"/>
    </row>
    <row r="1144" ht="15.75" customHeight="1">
      <c r="A1144" s="134"/>
      <c r="B1144" s="134"/>
      <c r="C1144" s="134"/>
      <c r="D1144" s="134"/>
      <c r="E1144" s="134"/>
      <c r="F1144" s="134"/>
      <c r="G1144" s="134"/>
      <c r="H1144" s="134"/>
      <c r="I1144" s="134"/>
      <c r="J1144" s="134"/>
      <c r="K1144" s="134"/>
      <c r="L1144" s="134"/>
      <c r="M1144" s="134"/>
      <c r="N1144" s="134"/>
      <c r="O1144" s="134"/>
      <c r="P1144" s="134"/>
      <c r="Q1144" s="134"/>
      <c r="R1144" s="134"/>
      <c r="S1144" s="134"/>
      <c r="T1144" s="134"/>
      <c r="U1144" s="134"/>
    </row>
    <row r="1145" ht="15.75" customHeight="1">
      <c r="A1145" s="134"/>
      <c r="B1145" s="134"/>
      <c r="C1145" s="134"/>
      <c r="D1145" s="134"/>
      <c r="E1145" s="134"/>
      <c r="F1145" s="134"/>
      <c r="G1145" s="134"/>
      <c r="H1145" s="134"/>
      <c r="I1145" s="134"/>
      <c r="J1145" s="134"/>
      <c r="K1145" s="134"/>
      <c r="L1145" s="134"/>
      <c r="M1145" s="134"/>
      <c r="N1145" s="134"/>
      <c r="O1145" s="134"/>
      <c r="P1145" s="134"/>
      <c r="Q1145" s="134"/>
      <c r="R1145" s="134"/>
      <c r="S1145" s="134"/>
      <c r="T1145" s="134"/>
      <c r="U1145" s="134"/>
    </row>
    <row r="1146" ht="15.75" customHeight="1">
      <c r="A1146" s="134"/>
      <c r="B1146" s="134"/>
      <c r="C1146" s="134"/>
      <c r="D1146" s="134"/>
      <c r="E1146" s="134"/>
      <c r="F1146" s="134"/>
      <c r="G1146" s="134"/>
      <c r="H1146" s="134"/>
      <c r="I1146" s="134"/>
      <c r="J1146" s="134"/>
      <c r="K1146" s="134"/>
      <c r="L1146" s="134"/>
      <c r="M1146" s="134"/>
      <c r="N1146" s="134"/>
      <c r="O1146" s="134"/>
      <c r="P1146" s="134"/>
      <c r="Q1146" s="134"/>
      <c r="R1146" s="134"/>
      <c r="S1146" s="134"/>
      <c r="T1146" s="134"/>
      <c r="U1146" s="134"/>
    </row>
    <row r="1147" ht="15.75" customHeight="1">
      <c r="A1147" s="134"/>
      <c r="B1147" s="134"/>
      <c r="C1147" s="134"/>
      <c r="D1147" s="134"/>
      <c r="E1147" s="134"/>
      <c r="F1147" s="134"/>
      <c r="G1147" s="134"/>
      <c r="H1147" s="134"/>
      <c r="I1147" s="134"/>
      <c r="J1147" s="134"/>
      <c r="K1147" s="134"/>
      <c r="L1147" s="134"/>
      <c r="M1147" s="134"/>
      <c r="N1147" s="134"/>
      <c r="O1147" s="134"/>
      <c r="P1147" s="134"/>
      <c r="Q1147" s="134"/>
      <c r="R1147" s="134"/>
      <c r="S1147" s="134"/>
      <c r="T1147" s="134"/>
      <c r="U1147" s="134"/>
    </row>
    <row r="1148" ht="15.75" customHeight="1">
      <c r="A1148" s="134"/>
      <c r="B1148" s="134"/>
      <c r="C1148" s="134"/>
      <c r="D1148" s="134"/>
      <c r="E1148" s="134"/>
      <c r="F1148" s="134"/>
      <c r="G1148" s="134"/>
      <c r="H1148" s="134"/>
      <c r="I1148" s="134"/>
      <c r="J1148" s="134"/>
      <c r="K1148" s="134"/>
      <c r="L1148" s="134"/>
      <c r="M1148" s="134"/>
      <c r="N1148" s="134"/>
      <c r="O1148" s="134"/>
      <c r="P1148" s="134"/>
      <c r="Q1148" s="134"/>
      <c r="R1148" s="134"/>
      <c r="S1148" s="134"/>
      <c r="T1148" s="134"/>
      <c r="U1148" s="134"/>
    </row>
    <row r="1149" ht="15.75" customHeight="1">
      <c r="A1149" s="134"/>
      <c r="B1149" s="134"/>
      <c r="C1149" s="134"/>
      <c r="D1149" s="134"/>
      <c r="E1149" s="134"/>
      <c r="F1149" s="134"/>
      <c r="G1149" s="134"/>
      <c r="H1149" s="134"/>
      <c r="I1149" s="134"/>
      <c r="J1149" s="134"/>
      <c r="K1149" s="134"/>
      <c r="L1149" s="134"/>
      <c r="M1149" s="134"/>
      <c r="N1149" s="134"/>
      <c r="O1149" s="134"/>
      <c r="P1149" s="134"/>
      <c r="Q1149" s="134"/>
      <c r="R1149" s="134"/>
      <c r="S1149" s="134"/>
      <c r="T1149" s="134"/>
      <c r="U1149" s="134"/>
    </row>
    <row r="1150" ht="15.75" customHeight="1">
      <c r="A1150" s="134"/>
      <c r="B1150" s="134"/>
      <c r="C1150" s="134"/>
      <c r="D1150" s="134"/>
      <c r="E1150" s="134"/>
      <c r="F1150" s="134"/>
      <c r="G1150" s="134"/>
      <c r="H1150" s="134"/>
      <c r="I1150" s="134"/>
      <c r="J1150" s="134"/>
      <c r="K1150" s="134"/>
      <c r="L1150" s="134"/>
      <c r="M1150" s="134"/>
      <c r="N1150" s="134"/>
      <c r="O1150" s="134"/>
      <c r="P1150" s="134"/>
      <c r="Q1150" s="134"/>
      <c r="R1150" s="134"/>
      <c r="S1150" s="134"/>
      <c r="T1150" s="134"/>
      <c r="U1150" s="134"/>
    </row>
    <row r="1151" ht="15.75" customHeight="1">
      <c r="A1151" s="134"/>
      <c r="B1151" s="134"/>
      <c r="C1151" s="134"/>
      <c r="D1151" s="134"/>
      <c r="E1151" s="134"/>
      <c r="F1151" s="134"/>
      <c r="G1151" s="134"/>
      <c r="H1151" s="134"/>
      <c r="I1151" s="134"/>
      <c r="J1151" s="134"/>
      <c r="K1151" s="134"/>
      <c r="L1151" s="134"/>
      <c r="M1151" s="134"/>
      <c r="N1151" s="134"/>
      <c r="O1151" s="134"/>
      <c r="P1151" s="134"/>
      <c r="Q1151" s="134"/>
      <c r="R1151" s="134"/>
      <c r="S1151" s="134"/>
      <c r="T1151" s="134"/>
      <c r="U1151" s="134"/>
    </row>
    <row r="1152" ht="15.75" customHeight="1">
      <c r="A1152" s="134"/>
      <c r="B1152" s="134"/>
      <c r="C1152" s="134"/>
      <c r="D1152" s="134"/>
      <c r="E1152" s="134"/>
      <c r="F1152" s="134"/>
      <c r="G1152" s="134"/>
      <c r="H1152" s="134"/>
      <c r="I1152" s="134"/>
      <c r="J1152" s="134"/>
      <c r="K1152" s="134"/>
      <c r="L1152" s="134"/>
      <c r="M1152" s="134"/>
      <c r="N1152" s="134"/>
      <c r="O1152" s="134"/>
      <c r="P1152" s="134"/>
      <c r="Q1152" s="134"/>
      <c r="R1152" s="134"/>
      <c r="S1152" s="134"/>
      <c r="T1152" s="134"/>
      <c r="U1152" s="134"/>
    </row>
    <row r="1153" ht="15.75" customHeight="1">
      <c r="A1153" s="134"/>
      <c r="B1153" s="134"/>
      <c r="C1153" s="134"/>
      <c r="D1153" s="134"/>
      <c r="E1153" s="134"/>
      <c r="F1153" s="134"/>
      <c r="G1153" s="134"/>
      <c r="H1153" s="134"/>
      <c r="I1153" s="134"/>
      <c r="J1153" s="134"/>
      <c r="K1153" s="134"/>
      <c r="L1153" s="134"/>
      <c r="M1153" s="134"/>
      <c r="N1153" s="134"/>
      <c r="O1153" s="134"/>
      <c r="P1153" s="134"/>
      <c r="Q1153" s="134"/>
      <c r="R1153" s="134"/>
      <c r="S1153" s="134"/>
      <c r="T1153" s="134"/>
      <c r="U1153" s="134"/>
    </row>
    <row r="1154" ht="15.75" customHeight="1">
      <c r="A1154" s="134"/>
      <c r="B1154" s="134"/>
      <c r="C1154" s="134"/>
      <c r="D1154" s="134"/>
      <c r="E1154" s="134"/>
      <c r="F1154" s="134"/>
      <c r="G1154" s="134"/>
      <c r="H1154" s="134"/>
      <c r="I1154" s="134"/>
      <c r="J1154" s="134"/>
      <c r="K1154" s="134"/>
      <c r="L1154" s="134"/>
      <c r="M1154" s="134"/>
      <c r="N1154" s="134"/>
      <c r="O1154" s="134"/>
      <c r="P1154" s="134"/>
      <c r="Q1154" s="134"/>
      <c r="R1154" s="134"/>
      <c r="S1154" s="134"/>
      <c r="T1154" s="134"/>
      <c r="U1154" s="134"/>
    </row>
    <row r="1155" ht="15.75" customHeight="1">
      <c r="A1155" s="134"/>
      <c r="B1155" s="134"/>
      <c r="C1155" s="134"/>
      <c r="D1155" s="134"/>
      <c r="E1155" s="134"/>
      <c r="F1155" s="134"/>
      <c r="G1155" s="134"/>
      <c r="H1155" s="134"/>
      <c r="I1155" s="134"/>
      <c r="J1155" s="134"/>
      <c r="K1155" s="134"/>
      <c r="L1155" s="134"/>
      <c r="M1155" s="134"/>
      <c r="N1155" s="134"/>
      <c r="O1155" s="134"/>
      <c r="P1155" s="134"/>
      <c r="Q1155" s="134"/>
      <c r="R1155" s="134"/>
      <c r="S1155" s="134"/>
      <c r="T1155" s="134"/>
      <c r="U1155" s="134"/>
    </row>
    <row r="1156" ht="15.75" customHeight="1">
      <c r="A1156" s="134"/>
      <c r="B1156" s="134"/>
      <c r="C1156" s="134"/>
      <c r="D1156" s="134"/>
      <c r="E1156" s="134"/>
      <c r="F1156" s="134"/>
      <c r="G1156" s="134"/>
      <c r="H1156" s="134"/>
      <c r="I1156" s="134"/>
      <c r="J1156" s="134"/>
      <c r="K1156" s="134"/>
      <c r="L1156" s="134"/>
      <c r="M1156" s="134"/>
      <c r="N1156" s="134"/>
      <c r="O1156" s="134"/>
      <c r="P1156" s="134"/>
      <c r="Q1156" s="134"/>
      <c r="R1156" s="134"/>
      <c r="S1156" s="134"/>
      <c r="T1156" s="134"/>
      <c r="U1156" s="134"/>
    </row>
    <row r="1157" ht="15.75" customHeight="1">
      <c r="A1157" s="134"/>
      <c r="B1157" s="134"/>
      <c r="C1157" s="134"/>
      <c r="D1157" s="134"/>
      <c r="E1157" s="134"/>
      <c r="F1157" s="134"/>
      <c r="G1157" s="134"/>
      <c r="H1157" s="134"/>
      <c r="I1157" s="134"/>
      <c r="J1157" s="134"/>
      <c r="K1157" s="134"/>
      <c r="L1157" s="134"/>
      <c r="M1157" s="134"/>
      <c r="N1157" s="134"/>
      <c r="O1157" s="134"/>
      <c r="P1157" s="134"/>
      <c r="Q1157" s="134"/>
      <c r="R1157" s="134"/>
      <c r="S1157" s="134"/>
      <c r="T1157" s="134"/>
      <c r="U1157" s="134"/>
    </row>
    <row r="1158" ht="15.75" customHeight="1">
      <c r="A1158" s="134"/>
      <c r="B1158" s="134"/>
      <c r="C1158" s="134"/>
      <c r="D1158" s="134"/>
      <c r="E1158" s="134"/>
      <c r="F1158" s="134"/>
      <c r="G1158" s="134"/>
      <c r="H1158" s="134"/>
      <c r="I1158" s="134"/>
      <c r="J1158" s="134"/>
      <c r="K1158" s="134"/>
      <c r="L1158" s="134"/>
      <c r="M1158" s="134"/>
      <c r="N1158" s="134"/>
      <c r="O1158" s="134"/>
      <c r="P1158" s="134"/>
      <c r="Q1158" s="134"/>
      <c r="R1158" s="134"/>
      <c r="S1158" s="134"/>
      <c r="T1158" s="134"/>
      <c r="U1158" s="134"/>
    </row>
    <row r="1159" ht="15.75" customHeight="1">
      <c r="A1159" s="134"/>
      <c r="B1159" s="134"/>
      <c r="C1159" s="134"/>
      <c r="D1159" s="134"/>
      <c r="E1159" s="134"/>
      <c r="F1159" s="134"/>
      <c r="G1159" s="134"/>
      <c r="H1159" s="134"/>
      <c r="I1159" s="134"/>
      <c r="J1159" s="134"/>
      <c r="K1159" s="134"/>
      <c r="L1159" s="134"/>
      <c r="M1159" s="134"/>
      <c r="N1159" s="134"/>
      <c r="O1159" s="134"/>
      <c r="P1159" s="134"/>
      <c r="Q1159" s="134"/>
      <c r="R1159" s="134"/>
      <c r="S1159" s="134"/>
      <c r="T1159" s="134"/>
      <c r="U1159" s="134"/>
    </row>
    <row r="1160" ht="15.75" customHeight="1">
      <c r="A1160" s="134"/>
      <c r="B1160" s="134"/>
      <c r="C1160" s="134"/>
      <c r="D1160" s="134"/>
      <c r="E1160" s="134"/>
      <c r="F1160" s="134"/>
      <c r="G1160" s="134"/>
      <c r="H1160" s="134"/>
      <c r="I1160" s="134"/>
      <c r="J1160" s="134"/>
      <c r="K1160" s="134"/>
      <c r="L1160" s="134"/>
      <c r="M1160" s="134"/>
      <c r="N1160" s="134"/>
      <c r="O1160" s="134"/>
      <c r="P1160" s="134"/>
      <c r="Q1160" s="134"/>
      <c r="R1160" s="134"/>
      <c r="S1160" s="134"/>
      <c r="T1160" s="134"/>
      <c r="U1160" s="134"/>
    </row>
    <row r="1161" ht="15.75" customHeight="1">
      <c r="A1161" s="134"/>
      <c r="B1161" s="134"/>
      <c r="C1161" s="134"/>
      <c r="D1161" s="134"/>
      <c r="E1161" s="134"/>
      <c r="F1161" s="134"/>
      <c r="G1161" s="134"/>
      <c r="H1161" s="134"/>
      <c r="I1161" s="134"/>
      <c r="J1161" s="134"/>
      <c r="K1161" s="134"/>
      <c r="L1161" s="134"/>
      <c r="M1161" s="134"/>
      <c r="N1161" s="134"/>
      <c r="O1161" s="134"/>
      <c r="P1161" s="134"/>
      <c r="Q1161" s="134"/>
      <c r="R1161" s="134"/>
      <c r="S1161" s="134"/>
      <c r="T1161" s="134"/>
      <c r="U1161" s="134"/>
    </row>
    <row r="1162" ht="15.75" customHeight="1">
      <c r="A1162" s="134"/>
      <c r="B1162" s="134"/>
      <c r="C1162" s="134"/>
      <c r="D1162" s="134"/>
      <c r="E1162" s="134"/>
      <c r="F1162" s="134"/>
      <c r="G1162" s="134"/>
      <c r="H1162" s="134"/>
      <c r="I1162" s="134"/>
      <c r="J1162" s="134"/>
      <c r="K1162" s="134"/>
      <c r="L1162" s="134"/>
      <c r="M1162" s="134"/>
      <c r="N1162" s="134"/>
      <c r="O1162" s="134"/>
      <c r="P1162" s="134"/>
      <c r="Q1162" s="134"/>
      <c r="R1162" s="134"/>
      <c r="S1162" s="134"/>
      <c r="T1162" s="134"/>
      <c r="U1162" s="134"/>
    </row>
    <row r="1163" ht="15.75" customHeight="1">
      <c r="A1163" s="134"/>
      <c r="B1163" s="134"/>
      <c r="C1163" s="134"/>
      <c r="D1163" s="134"/>
      <c r="E1163" s="134"/>
      <c r="F1163" s="134"/>
      <c r="G1163" s="134"/>
      <c r="H1163" s="134"/>
      <c r="I1163" s="134"/>
      <c r="J1163" s="134"/>
      <c r="K1163" s="134"/>
      <c r="L1163" s="134"/>
      <c r="M1163" s="134"/>
      <c r="N1163" s="134"/>
      <c r="O1163" s="134"/>
      <c r="P1163" s="134"/>
      <c r="Q1163" s="134"/>
      <c r="R1163" s="134"/>
      <c r="S1163" s="134"/>
      <c r="T1163" s="134"/>
      <c r="U1163" s="134"/>
    </row>
    <row r="1164" ht="15.75" customHeight="1">
      <c r="A1164" s="134"/>
      <c r="B1164" s="134"/>
      <c r="C1164" s="134"/>
      <c r="D1164" s="134"/>
      <c r="E1164" s="134"/>
      <c r="F1164" s="134"/>
      <c r="G1164" s="134"/>
      <c r="H1164" s="134"/>
      <c r="I1164" s="134"/>
      <c r="J1164" s="134"/>
      <c r="K1164" s="134"/>
      <c r="L1164" s="134"/>
      <c r="M1164" s="134"/>
      <c r="N1164" s="134"/>
      <c r="O1164" s="134"/>
      <c r="P1164" s="134"/>
      <c r="Q1164" s="134"/>
      <c r="R1164" s="134"/>
      <c r="S1164" s="134"/>
      <c r="T1164" s="134"/>
      <c r="U1164" s="134"/>
    </row>
    <row r="1165" ht="15.75" customHeight="1">
      <c r="A1165" s="134"/>
      <c r="B1165" s="134"/>
      <c r="C1165" s="134"/>
      <c r="D1165" s="134"/>
      <c r="E1165" s="134"/>
      <c r="F1165" s="134"/>
      <c r="G1165" s="134"/>
      <c r="H1165" s="134"/>
      <c r="I1165" s="134"/>
      <c r="J1165" s="134"/>
      <c r="K1165" s="134"/>
      <c r="L1165" s="134"/>
      <c r="M1165" s="134"/>
      <c r="N1165" s="134"/>
      <c r="O1165" s="134"/>
      <c r="P1165" s="134"/>
      <c r="Q1165" s="134"/>
      <c r="R1165" s="134"/>
      <c r="S1165" s="134"/>
      <c r="T1165" s="134"/>
      <c r="U1165" s="134"/>
    </row>
    <row r="1166" ht="15.75" customHeight="1">
      <c r="A1166" s="134"/>
      <c r="B1166" s="134"/>
      <c r="C1166" s="134"/>
      <c r="D1166" s="134"/>
      <c r="E1166" s="134"/>
      <c r="F1166" s="134"/>
      <c r="G1166" s="134"/>
      <c r="H1166" s="134"/>
      <c r="I1166" s="134"/>
      <c r="J1166" s="134"/>
      <c r="K1166" s="134"/>
      <c r="L1166" s="134"/>
      <c r="M1166" s="134"/>
      <c r="N1166" s="134"/>
      <c r="O1166" s="134"/>
      <c r="P1166" s="134"/>
      <c r="Q1166" s="134"/>
      <c r="R1166" s="134"/>
      <c r="S1166" s="134"/>
      <c r="T1166" s="134"/>
      <c r="U1166" s="134"/>
    </row>
  </sheetData>
  <dataValidations>
    <dataValidation type="list" allowBlank="1" showErrorMessage="1" sqref="B82:B149">
      <formula1>"Zombie,Demon,Angel,Mutant,Mecha,Dragon,Other"</formula1>
    </dataValidation>
    <dataValidation type="list" allowBlank="1" showErrorMessage="1" sqref="C233:C243">
      <formula1>"Zombie,Demon,Angel,Mutant,Mecha,Dragon,Species War,Simulation"</formula1>
    </dataValidation>
    <dataValidation type="list" allowBlank="1" showErrorMessage="1" sqref="C248:C252">
      <formula1>"Gamma,Delta"</formula1>
    </dataValidation>
    <dataValidation type="list" allowBlank="1" showErrorMessage="1" sqref="E209:E222">
      <formula1>"0,1,2,3,4,5"</formula1>
    </dataValidation>
    <dataValidation type="list" allowBlank="1" showErrorMessage="1" sqref="E233:E243">
      <formula1>"0,1,2,3,4,5,6,7,8,9"</formula1>
    </dataValidation>
    <dataValidation type="list" allowBlank="1" showErrorMessage="1" sqref="B209:B222 B227:B228">
      <formula1>"1,2,3,4,5"</formula1>
    </dataValidation>
    <dataValidation type="list" allowBlank="1" showErrorMessage="1" sqref="B7:B75 B259 B262 B265:B266 B269:B273 B275:B276 B278:B279 B281:B284 B287:B290 B293:B297 B299:B304 B306:B311 B313:B318 B320:B322 B324:B325 B327:B328 B330:B331 B333:B334 B336:B337 B339:B340 B342:B343 B345:B346 B348:B349 B351:B352 B354:B355 B357:B358 B360:B361 B363:B365 B367:B369 B371:B373 B375:B378 B380:B383 B385:B388 B390:B393 B395:B398 B400:B403 B405:B408 B410:B415 B417:B422 B424:B429 B431:B436 B438:B443 B445:B450 B452:B457">
      <formula1>"SSS,SS,S,AAA,AA,A,Blue,Green"</formula1>
    </dataValidation>
    <dataValidation type="list" allowBlank="1" showErrorMessage="1" sqref="B248:B252">
      <formula1>"Purple,Orange"</formula1>
    </dataValidation>
    <dataValidation type="list" allowBlank="1" showErrorMessage="1" sqref="B233:B243">
      <formula1>"Orange,Red"</formula1>
    </dataValidation>
    <dataValidation type="list" allowBlank="1" showErrorMessage="1" sqref="C209:C222 C227:C228">
      <formula1>"Dung Beetle,Surf Clam,Goldfish,Hamster,Mantis,Dragon,Maneater,Main Species"</formula1>
    </dataValidation>
    <dataValidation type="list" allowBlank="1" showErrorMessage="1" sqref="B258 B261 B264 B268 B286 B292">
      <formula1>"SSS,SS,S,AAA,AA,A,Blue,Green"</formula1>
    </dataValidation>
    <dataValidation type="list" allowBlank="1" showErrorMessage="1" sqref="C7:C75 C258:C259 C261:C262 C264:C266 C268:C273 C275:C276 C278:C279 C281:C284 C286:C290 C292:C297 C299:C304 C306:C311 C313:C318 C320:C322 C324:C325 C327:C328 C330:C331 C333:C334 C336:C337 C339:C340 C342:C343 C345:C346 C348:C349 C351:C352 C354:C355 C357:C358 C360:C361 C363:C365 C367:C369 C371:C373 C375:C378 C380:C383 C385:C388 C390:C393 C395:C398 C400:C403 C405:C408 C410:C415 C417:C422 C424:C429 C431:C436 C438:C443 C445:C450 C452:C456">
      <formula1>"FAME,ART,FTH,CIV,TECH"</formula1>
    </dataValidation>
    <dataValidation type="list" allowBlank="1" showErrorMessage="1" sqref="C82:C149">
      <formula1>"Dung Beetle,Surf Clam,Goldfish,Hamster,Mantis,Other"</formula1>
    </dataValidation>
  </dataValidation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20.64"/>
    <col customWidth="1" min="2" max="2" width="8.09"/>
    <col customWidth="1" min="3" max="3" width="7.82"/>
    <col customWidth="1" min="4" max="4" width="8.09"/>
    <col customWidth="1" min="5" max="5" width="11.73"/>
    <col customWidth="1" min="6" max="6" width="6.09"/>
    <col customWidth="1" min="7" max="7" width="9.73"/>
    <col customWidth="1" min="8" max="8" width="10.91"/>
    <col customWidth="1" min="9" max="9" width="13.45"/>
    <col customWidth="1" min="10" max="10" width="8.82"/>
    <col customWidth="1" min="11" max="11" width="103.27"/>
    <col customWidth="1" min="12" max="26" width="8.64"/>
  </cols>
  <sheetData>
    <row r="1" ht="15.75" customHeight="1">
      <c r="A1" s="394" t="s">
        <v>0</v>
      </c>
      <c r="B1" s="395" t="s">
        <v>1</v>
      </c>
      <c r="C1" s="395" t="s">
        <v>2</v>
      </c>
      <c r="D1" s="395" t="s">
        <v>2082</v>
      </c>
      <c r="E1" s="395" t="s">
        <v>2083</v>
      </c>
      <c r="F1" s="395" t="s">
        <v>2084</v>
      </c>
      <c r="G1" s="395" t="s">
        <v>2085</v>
      </c>
      <c r="H1" s="396" t="s">
        <v>2086</v>
      </c>
      <c r="I1" s="396" t="s">
        <v>2087</v>
      </c>
      <c r="J1" s="395" t="s">
        <v>2088</v>
      </c>
      <c r="K1" s="397" t="s">
        <v>5</v>
      </c>
    </row>
    <row r="2" ht="15.75" customHeight="1">
      <c r="A2" s="398" t="s">
        <v>6</v>
      </c>
      <c r="B2" s="57"/>
      <c r="C2" s="57"/>
      <c r="D2" s="57"/>
      <c r="E2" s="57"/>
      <c r="F2" s="57"/>
      <c r="G2" s="57"/>
      <c r="H2" s="57"/>
      <c r="I2" s="57"/>
      <c r="J2" s="57"/>
      <c r="K2" s="58"/>
    </row>
    <row r="3" ht="15.75" customHeight="1">
      <c r="A3" s="399" t="s">
        <v>2089</v>
      </c>
      <c r="B3" s="8" t="s">
        <v>8</v>
      </c>
      <c r="C3" s="8" t="s">
        <v>12</v>
      </c>
      <c r="D3" s="57">
        <v>24.0</v>
      </c>
      <c r="E3" s="57">
        <v>20.0</v>
      </c>
      <c r="F3" s="57"/>
      <c r="G3" s="57"/>
      <c r="H3" s="57">
        <v>24.0</v>
      </c>
      <c r="I3" s="57"/>
      <c r="J3" s="57"/>
      <c r="K3" s="66" t="s">
        <v>2090</v>
      </c>
    </row>
    <row r="4" ht="15.75" customHeight="1">
      <c r="A4" s="399" t="s">
        <v>2091</v>
      </c>
      <c r="B4" s="8" t="s">
        <v>8</v>
      </c>
      <c r="C4" s="57" t="s">
        <v>16</v>
      </c>
      <c r="D4" s="57">
        <v>24.0</v>
      </c>
      <c r="E4" s="57">
        <v>20.0</v>
      </c>
      <c r="F4" s="57"/>
      <c r="G4" s="57"/>
      <c r="H4" s="57"/>
      <c r="I4" s="57"/>
      <c r="J4" s="57"/>
      <c r="K4" s="66" t="s">
        <v>2092</v>
      </c>
    </row>
    <row r="5" ht="15.75" customHeight="1">
      <c r="A5" s="399" t="s">
        <v>561</v>
      </c>
      <c r="B5" s="8" t="s">
        <v>96</v>
      </c>
      <c r="C5" s="57" t="s">
        <v>20</v>
      </c>
      <c r="D5" s="57">
        <v>20.0</v>
      </c>
      <c r="E5" s="57">
        <v>20.0</v>
      </c>
      <c r="F5" s="57"/>
      <c r="G5" s="57"/>
      <c r="H5" s="57"/>
      <c r="I5" s="57"/>
      <c r="J5" s="57"/>
      <c r="K5" s="66" t="s">
        <v>2093</v>
      </c>
    </row>
    <row r="6" ht="15.75" customHeight="1">
      <c r="A6" s="399" t="s">
        <v>2094</v>
      </c>
      <c r="B6" s="8" t="s">
        <v>54</v>
      </c>
      <c r="C6" s="8" t="s">
        <v>16</v>
      </c>
      <c r="D6" s="57">
        <v>22.0</v>
      </c>
      <c r="E6" s="57"/>
      <c r="F6" s="57"/>
      <c r="G6" s="57"/>
      <c r="H6" s="57"/>
      <c r="I6" s="57"/>
      <c r="J6" s="57"/>
      <c r="K6" s="66" t="s">
        <v>2095</v>
      </c>
    </row>
    <row r="7" ht="15.75" customHeight="1">
      <c r="A7" s="398" t="s">
        <v>2096</v>
      </c>
      <c r="B7" s="8" t="s">
        <v>54</v>
      </c>
      <c r="C7" s="57" t="s">
        <v>12</v>
      </c>
      <c r="D7" s="57"/>
      <c r="E7" s="57"/>
      <c r="F7" s="57">
        <v>22.0</v>
      </c>
      <c r="G7" s="57">
        <v>20.0</v>
      </c>
      <c r="H7" s="57"/>
      <c r="I7" s="57"/>
      <c r="J7" s="57"/>
      <c r="K7" s="66" t="s">
        <v>837</v>
      </c>
    </row>
    <row r="8" ht="15.75" customHeight="1">
      <c r="A8" s="399" t="s">
        <v>2097</v>
      </c>
      <c r="B8" s="8" t="s">
        <v>15</v>
      </c>
      <c r="C8" s="8" t="s">
        <v>16</v>
      </c>
      <c r="D8" s="57"/>
      <c r="E8" s="57"/>
      <c r="F8" s="57"/>
      <c r="G8" s="57"/>
      <c r="H8" s="57">
        <v>18.0</v>
      </c>
      <c r="I8" s="57">
        <v>14.0</v>
      </c>
      <c r="J8" s="57"/>
      <c r="K8" s="66" t="s">
        <v>2098</v>
      </c>
    </row>
    <row r="9" ht="15.75" customHeight="1">
      <c r="A9" s="399" t="s">
        <v>2099</v>
      </c>
      <c r="B9" s="8" t="s">
        <v>15</v>
      </c>
      <c r="C9" s="57" t="s">
        <v>12</v>
      </c>
      <c r="D9" s="57">
        <v>18.0</v>
      </c>
      <c r="E9" s="57">
        <v>14.0</v>
      </c>
      <c r="F9" s="57">
        <v>18.0</v>
      </c>
      <c r="G9" s="57"/>
      <c r="H9" s="57"/>
      <c r="I9" s="57"/>
      <c r="J9" s="57"/>
      <c r="K9" s="66" t="s">
        <v>2100</v>
      </c>
    </row>
    <row r="10" ht="15.75" customHeight="1">
      <c r="A10" s="399" t="s">
        <v>2101</v>
      </c>
      <c r="B10" s="8" t="s">
        <v>15</v>
      </c>
      <c r="C10" s="8" t="s">
        <v>16</v>
      </c>
      <c r="D10" s="57">
        <v>5.0</v>
      </c>
      <c r="E10" s="65">
        <v>5.0</v>
      </c>
      <c r="F10" s="57"/>
      <c r="G10" s="57"/>
      <c r="H10" s="57"/>
      <c r="I10" s="57"/>
      <c r="J10" s="57"/>
      <c r="K10" s="400" t="s">
        <v>798</v>
      </c>
    </row>
    <row r="11" ht="15.75" customHeight="1">
      <c r="A11" s="398" t="s">
        <v>611</v>
      </c>
      <c r="B11" s="8" t="s">
        <v>19</v>
      </c>
      <c r="C11" s="8" t="s">
        <v>16</v>
      </c>
      <c r="D11" s="57"/>
      <c r="E11" s="57"/>
      <c r="F11" s="57">
        <v>10.0</v>
      </c>
      <c r="G11" s="57">
        <v>10.0</v>
      </c>
      <c r="H11" s="57"/>
      <c r="I11" s="57"/>
      <c r="J11" s="57"/>
      <c r="K11" s="66" t="s">
        <v>2102</v>
      </c>
    </row>
    <row r="12" ht="15.75" customHeight="1">
      <c r="A12" s="401" t="s">
        <v>2103</v>
      </c>
      <c r="B12" s="8" t="s">
        <v>23</v>
      </c>
      <c r="C12" s="65" t="s">
        <v>20</v>
      </c>
      <c r="D12" s="57"/>
      <c r="E12" s="57"/>
      <c r="F12" s="57"/>
      <c r="G12" s="57"/>
      <c r="H12" s="65">
        <v>6.0</v>
      </c>
      <c r="I12" s="57"/>
      <c r="J12" s="57"/>
      <c r="K12" s="66" t="s">
        <v>2104</v>
      </c>
    </row>
    <row r="13" ht="15.75" customHeight="1">
      <c r="A13" s="401" t="s">
        <v>2105</v>
      </c>
      <c r="B13" s="8" t="s">
        <v>23</v>
      </c>
      <c r="C13" s="8" t="s">
        <v>9</v>
      </c>
      <c r="D13" s="57"/>
      <c r="E13" s="57"/>
      <c r="F13" s="57"/>
      <c r="G13" s="57"/>
      <c r="H13" s="65">
        <v>6.0</v>
      </c>
      <c r="I13" s="57"/>
      <c r="J13" s="57"/>
      <c r="K13" s="66" t="s">
        <v>2106</v>
      </c>
    </row>
    <row r="14" ht="15.75" customHeight="1">
      <c r="A14" s="399" t="s">
        <v>2107</v>
      </c>
      <c r="B14" s="8" t="s">
        <v>23</v>
      </c>
      <c r="C14" s="8" t="s">
        <v>16</v>
      </c>
      <c r="D14" s="57">
        <v>6.0</v>
      </c>
      <c r="E14" s="57"/>
      <c r="F14" s="57"/>
      <c r="G14" s="57"/>
      <c r="H14" s="57"/>
      <c r="I14" s="57"/>
      <c r="J14" s="57"/>
      <c r="K14" s="400" t="s">
        <v>2108</v>
      </c>
    </row>
    <row r="15" ht="15.75" customHeight="1">
      <c r="A15" s="7" t="s">
        <v>2109</v>
      </c>
      <c r="B15" s="8" t="s">
        <v>23</v>
      </c>
      <c r="C15" s="9" t="s">
        <v>40</v>
      </c>
      <c r="D15" s="5"/>
      <c r="E15" s="5"/>
      <c r="F15" s="9">
        <v>6.0</v>
      </c>
      <c r="G15" s="5"/>
      <c r="H15" s="5"/>
      <c r="I15" s="5"/>
      <c r="J15" s="5"/>
      <c r="K15" s="30" t="s">
        <v>2110</v>
      </c>
    </row>
    <row r="16" ht="15.75" customHeight="1">
      <c r="A16" s="402" t="s">
        <v>27</v>
      </c>
      <c r="B16" s="60"/>
      <c r="C16" s="60"/>
      <c r="D16" s="60">
        <f>SUM(D3:E15)</f>
        <v>198</v>
      </c>
      <c r="E16" s="60"/>
      <c r="F16" s="60">
        <f>SUM(F3:G15)</f>
        <v>86</v>
      </c>
      <c r="G16" s="60"/>
      <c r="H16" s="60">
        <f>SUM(H3:I15)</f>
        <v>68</v>
      </c>
      <c r="I16" s="60"/>
      <c r="J16" s="60"/>
      <c r="K16" s="403"/>
    </row>
    <row r="17" ht="15.75" customHeight="1">
      <c r="A17" s="62"/>
      <c r="B17" s="59"/>
      <c r="C17" s="59"/>
      <c r="D17" s="59"/>
      <c r="E17" s="59"/>
      <c r="F17" s="59"/>
      <c r="G17" s="59"/>
      <c r="H17" s="59"/>
      <c r="I17" s="59"/>
      <c r="J17" s="59"/>
      <c r="K17" s="404"/>
    </row>
    <row r="18" ht="15.75" customHeight="1">
      <c r="A18" s="394" t="s">
        <v>212</v>
      </c>
      <c r="B18" s="395"/>
      <c r="C18" s="395"/>
      <c r="D18" s="395"/>
      <c r="E18" s="395"/>
      <c r="F18" s="395"/>
      <c r="G18" s="395"/>
      <c r="H18" s="395"/>
      <c r="I18" s="395"/>
      <c r="J18" s="395"/>
      <c r="K18" s="405"/>
    </row>
    <row r="19" ht="15.75" customHeight="1">
      <c r="A19" s="402" t="s">
        <v>2111</v>
      </c>
      <c r="B19" s="60"/>
      <c r="C19" s="60"/>
      <c r="D19" s="60">
        <v>9.0</v>
      </c>
      <c r="E19" s="60"/>
      <c r="F19" s="60"/>
      <c r="G19" s="60"/>
      <c r="H19" s="60"/>
      <c r="I19" s="60"/>
      <c r="J19" s="60"/>
      <c r="K19" s="403" t="s">
        <v>30</v>
      </c>
    </row>
    <row r="20" ht="15.75" customHeight="1">
      <c r="A20" s="398"/>
      <c r="B20" s="57"/>
      <c r="C20" s="57"/>
      <c r="D20" s="57"/>
      <c r="E20" s="57"/>
      <c r="F20" s="57"/>
      <c r="G20" s="57"/>
      <c r="H20" s="57"/>
      <c r="I20" s="57"/>
      <c r="J20" s="57"/>
      <c r="K20" s="400"/>
    </row>
    <row r="21" ht="15.75" customHeight="1">
      <c r="A21" s="394" t="s">
        <v>2112</v>
      </c>
      <c r="B21" s="395"/>
      <c r="C21" s="395"/>
      <c r="D21" s="395"/>
      <c r="E21" s="395"/>
      <c r="F21" s="395"/>
      <c r="G21" s="395"/>
      <c r="H21" s="395"/>
      <c r="I21" s="395"/>
      <c r="J21" s="406"/>
      <c r="K21" s="407"/>
    </row>
    <row r="22" ht="15.75" customHeight="1">
      <c r="A22" s="64" t="s">
        <v>2113</v>
      </c>
      <c r="B22" s="57"/>
      <c r="C22" s="57"/>
      <c r="D22" s="65">
        <v>10.0</v>
      </c>
      <c r="E22" s="57"/>
      <c r="F22" s="65">
        <v>10.0</v>
      </c>
      <c r="G22" s="57"/>
      <c r="H22" s="57"/>
      <c r="I22" s="57"/>
      <c r="J22" s="408"/>
      <c r="K22" s="92" t="s">
        <v>2114</v>
      </c>
    </row>
    <row r="23" ht="15.75" customHeight="1">
      <c r="A23" s="409" t="s">
        <v>479</v>
      </c>
      <c r="B23" s="60"/>
      <c r="C23" s="60"/>
      <c r="D23" s="410">
        <v>20.0</v>
      </c>
      <c r="E23" s="60"/>
      <c r="F23" s="410">
        <v>20.0</v>
      </c>
      <c r="G23" s="60"/>
      <c r="H23" s="60"/>
      <c r="I23" s="60"/>
      <c r="J23" s="411"/>
      <c r="K23" s="95" t="s">
        <v>2115</v>
      </c>
    </row>
    <row r="24" ht="15.75" customHeight="1">
      <c r="A24" s="64" t="s">
        <v>2116</v>
      </c>
      <c r="B24" s="57"/>
      <c r="C24" s="57"/>
      <c r="D24" s="57">
        <f>sum(D22:D23)</f>
        <v>30</v>
      </c>
      <c r="E24" s="57"/>
      <c r="F24" s="57">
        <f>sum(F22:F23)</f>
        <v>30</v>
      </c>
      <c r="G24" s="57"/>
      <c r="H24" s="57">
        <f>sum(H22:H23)</f>
        <v>0</v>
      </c>
      <c r="I24" s="57"/>
      <c r="J24" s="57"/>
      <c r="K24" s="400"/>
    </row>
    <row r="25" ht="15.75" customHeight="1">
      <c r="A25" s="398"/>
      <c r="B25" s="57"/>
      <c r="C25" s="57"/>
      <c r="D25" s="57"/>
      <c r="E25" s="57"/>
      <c r="F25" s="57"/>
      <c r="G25" s="57"/>
      <c r="H25" s="57"/>
      <c r="I25" s="57"/>
      <c r="J25" s="57"/>
      <c r="K25" s="400"/>
    </row>
    <row r="26" ht="15.75" customHeight="1">
      <c r="A26" s="148" t="s">
        <v>2117</v>
      </c>
      <c r="B26" s="406"/>
      <c r="C26" s="406"/>
      <c r="D26" s="406"/>
      <c r="E26" s="406"/>
      <c r="F26" s="406"/>
      <c r="G26" s="406"/>
      <c r="H26" s="406"/>
      <c r="I26" s="406"/>
      <c r="J26" s="406"/>
      <c r="K26" s="407"/>
    </row>
    <row r="27" ht="15.75" customHeight="1">
      <c r="A27" s="52" t="s">
        <v>2118</v>
      </c>
      <c r="B27" s="411"/>
      <c r="C27" s="411"/>
      <c r="D27" s="96">
        <v>12.0</v>
      </c>
      <c r="E27" s="411"/>
      <c r="F27" s="411"/>
      <c r="G27" s="411"/>
      <c r="H27" s="411"/>
      <c r="I27" s="411"/>
      <c r="J27" s="411"/>
      <c r="K27" s="95" t="s">
        <v>2119</v>
      </c>
    </row>
    <row r="28" ht="15.75" customHeight="1">
      <c r="A28" s="144"/>
      <c r="B28" s="408"/>
      <c r="C28" s="408"/>
      <c r="D28" s="408"/>
      <c r="E28" s="408"/>
      <c r="F28" s="408"/>
      <c r="G28" s="408"/>
      <c r="H28" s="408"/>
      <c r="I28" s="408"/>
      <c r="J28" s="408"/>
      <c r="K28" s="412"/>
    </row>
    <row r="29" ht="15.75" customHeight="1">
      <c r="A29" s="148" t="s">
        <v>226</v>
      </c>
      <c r="B29" s="406"/>
      <c r="C29" s="406"/>
      <c r="D29" s="406"/>
      <c r="E29" s="406"/>
      <c r="F29" s="406"/>
      <c r="G29" s="406"/>
      <c r="H29" s="406"/>
      <c r="I29" s="406"/>
      <c r="J29" s="406"/>
      <c r="K29" s="407"/>
    </row>
    <row r="30" ht="15.75" customHeight="1">
      <c r="A30" s="52" t="s">
        <v>2120</v>
      </c>
      <c r="B30" s="411"/>
      <c r="C30" s="411"/>
      <c r="D30" s="96">
        <v>25.0</v>
      </c>
      <c r="E30" s="411"/>
      <c r="F30" s="96">
        <v>25.0</v>
      </c>
      <c r="G30" s="411"/>
      <c r="H30" s="411"/>
      <c r="I30" s="411"/>
      <c r="J30" s="411"/>
      <c r="K30" s="95" t="s">
        <v>2121</v>
      </c>
    </row>
    <row r="31" ht="15.75" customHeight="1">
      <c r="A31" s="398"/>
      <c r="B31" s="57"/>
      <c r="C31" s="57"/>
      <c r="D31" s="57"/>
      <c r="E31" s="57"/>
      <c r="F31" s="57"/>
      <c r="G31" s="57"/>
      <c r="H31" s="57"/>
      <c r="I31" s="57"/>
      <c r="J31" s="57"/>
      <c r="K31" s="400"/>
    </row>
    <row r="32" ht="15.75" customHeight="1">
      <c r="A32" s="413" t="s">
        <v>2122</v>
      </c>
      <c r="B32" s="395"/>
      <c r="C32" s="395"/>
      <c r="D32" s="395"/>
      <c r="E32" s="395"/>
      <c r="F32" s="395"/>
      <c r="G32" s="395"/>
      <c r="H32" s="395"/>
      <c r="I32" s="395"/>
      <c r="J32" s="395"/>
      <c r="K32" s="405"/>
    </row>
    <row r="33" ht="15.75" customHeight="1">
      <c r="A33" s="409" t="s">
        <v>2123</v>
      </c>
      <c r="B33" s="60"/>
      <c r="C33" s="60"/>
      <c r="D33" s="410">
        <v>3.0</v>
      </c>
      <c r="E33" s="60"/>
      <c r="F33" s="60"/>
      <c r="G33" s="60"/>
      <c r="H33" s="60"/>
      <c r="I33" s="60"/>
      <c r="J33" s="60"/>
      <c r="K33" s="414" t="s">
        <v>2124</v>
      </c>
    </row>
    <row r="34" ht="15.75" customHeight="1">
      <c r="A34" s="398"/>
      <c r="B34" s="57"/>
      <c r="C34" s="57"/>
      <c r="D34" s="57"/>
      <c r="E34" s="57"/>
      <c r="F34" s="57"/>
      <c r="G34" s="57"/>
      <c r="H34" s="57"/>
      <c r="I34" s="57"/>
      <c r="J34" s="57"/>
      <c r="K34" s="400"/>
    </row>
    <row r="35" ht="15.75" customHeight="1">
      <c r="A35" s="413" t="s">
        <v>35</v>
      </c>
      <c r="B35" s="395"/>
      <c r="C35" s="395"/>
      <c r="D35" s="395"/>
      <c r="E35" s="395"/>
      <c r="F35" s="395"/>
      <c r="G35" s="395"/>
      <c r="H35" s="395"/>
      <c r="I35" s="395"/>
      <c r="J35" s="395"/>
      <c r="K35" s="405"/>
    </row>
    <row r="36" ht="15.75" customHeight="1">
      <c r="A36" s="409" t="s">
        <v>482</v>
      </c>
      <c r="B36" s="60"/>
      <c r="C36" s="60"/>
      <c r="D36" s="410">
        <v>10.0</v>
      </c>
      <c r="E36" s="60"/>
      <c r="F36" s="410">
        <v>10.0</v>
      </c>
      <c r="G36" s="60"/>
      <c r="H36" s="60"/>
      <c r="I36" s="60"/>
      <c r="J36" s="60"/>
      <c r="K36" s="414" t="s">
        <v>2125</v>
      </c>
    </row>
    <row r="37" ht="15.75" customHeight="1">
      <c r="A37" s="398"/>
      <c r="B37" s="57"/>
      <c r="C37" s="57"/>
      <c r="D37" s="57"/>
      <c r="E37" s="57"/>
      <c r="F37" s="57"/>
      <c r="G37" s="57"/>
      <c r="H37" s="57"/>
      <c r="I37" s="57"/>
      <c r="J37" s="57"/>
      <c r="K37" s="400"/>
    </row>
    <row r="38" ht="15.75" customHeight="1">
      <c r="A38" s="413" t="s">
        <v>2126</v>
      </c>
      <c r="B38" s="395"/>
      <c r="C38" s="395"/>
      <c r="D38" s="395"/>
      <c r="E38" s="395"/>
      <c r="F38" s="395"/>
      <c r="G38" s="395"/>
      <c r="H38" s="395"/>
      <c r="I38" s="395"/>
      <c r="J38" s="395"/>
      <c r="K38" s="405"/>
    </row>
    <row r="39" ht="15.75" customHeight="1">
      <c r="A39" s="409" t="s">
        <v>2127</v>
      </c>
      <c r="B39" s="60"/>
      <c r="C39" s="60"/>
      <c r="D39" s="410">
        <v>20.0</v>
      </c>
      <c r="E39" s="60"/>
      <c r="F39" s="410">
        <v>40.0</v>
      </c>
      <c r="G39" s="60"/>
      <c r="H39" s="60"/>
      <c r="I39" s="60"/>
      <c r="J39" s="60"/>
      <c r="K39" s="403"/>
    </row>
    <row r="40" ht="15.75" customHeight="1">
      <c r="A40" s="62"/>
      <c r="B40" s="59"/>
      <c r="C40" s="59"/>
      <c r="D40" s="59"/>
      <c r="E40" s="59"/>
      <c r="F40" s="59"/>
      <c r="G40" s="59"/>
      <c r="H40" s="59"/>
      <c r="I40" s="59"/>
      <c r="J40" s="59"/>
      <c r="K40" s="404"/>
    </row>
    <row r="41" ht="15.75" customHeight="1">
      <c r="A41" s="394" t="s">
        <v>2128</v>
      </c>
      <c r="B41" s="395"/>
      <c r="C41" s="395"/>
      <c r="D41" s="395"/>
      <c r="E41" s="395"/>
      <c r="F41" s="395"/>
      <c r="G41" s="395"/>
      <c r="H41" s="395"/>
      <c r="I41" s="395"/>
      <c r="J41" s="395"/>
      <c r="K41" s="405"/>
    </row>
    <row r="42" ht="15.75" customHeight="1">
      <c r="A42" s="399" t="s">
        <v>2091</v>
      </c>
      <c r="B42" s="8" t="s">
        <v>8</v>
      </c>
      <c r="C42" s="8" t="s">
        <v>16</v>
      </c>
      <c r="D42" s="57">
        <v>30.0</v>
      </c>
      <c r="E42" s="57"/>
      <c r="F42" s="57"/>
      <c r="G42" s="57"/>
      <c r="H42" s="57">
        <v>30.0</v>
      </c>
      <c r="I42" s="57"/>
      <c r="J42" s="57">
        <v>15.0</v>
      </c>
      <c r="K42" s="66" t="s">
        <v>2092</v>
      </c>
    </row>
    <row r="43" ht="15.75" customHeight="1">
      <c r="A43" s="399" t="s">
        <v>2129</v>
      </c>
      <c r="B43" s="8" t="s">
        <v>8</v>
      </c>
      <c r="C43" s="8" t="s">
        <v>16</v>
      </c>
      <c r="D43" s="57">
        <v>30.0</v>
      </c>
      <c r="E43" s="57"/>
      <c r="F43" s="57">
        <v>30.0</v>
      </c>
      <c r="G43" s="57"/>
      <c r="H43" s="57"/>
      <c r="I43" s="57"/>
      <c r="J43" s="57">
        <v>15.0</v>
      </c>
      <c r="K43" s="66" t="s">
        <v>2130</v>
      </c>
    </row>
    <row r="44" ht="15.75" customHeight="1">
      <c r="A44" s="399" t="s">
        <v>2131</v>
      </c>
      <c r="B44" s="8" t="s">
        <v>54</v>
      </c>
      <c r="C44" s="8" t="s">
        <v>16</v>
      </c>
      <c r="D44" s="57">
        <v>30.0</v>
      </c>
      <c r="E44" s="57"/>
      <c r="F44" s="57"/>
      <c r="G44" s="57"/>
      <c r="H44" s="57"/>
      <c r="I44" s="57"/>
      <c r="J44" s="57">
        <v>15.0</v>
      </c>
      <c r="K44" s="66" t="s">
        <v>848</v>
      </c>
    </row>
    <row r="45" ht="15.75" customHeight="1">
      <c r="A45" s="398" t="s">
        <v>2132</v>
      </c>
      <c r="B45" s="8" t="s">
        <v>8</v>
      </c>
      <c r="C45" s="8" t="s">
        <v>16</v>
      </c>
      <c r="D45" s="57">
        <v>30.0</v>
      </c>
      <c r="E45" s="57"/>
      <c r="F45" s="57">
        <v>30.0</v>
      </c>
      <c r="G45" s="57"/>
      <c r="H45" s="57">
        <v>30.0</v>
      </c>
      <c r="I45" s="57"/>
      <c r="J45" s="57"/>
      <c r="K45" s="66" t="s">
        <v>2133</v>
      </c>
    </row>
    <row r="46" ht="15.75" customHeight="1">
      <c r="A46" s="398" t="s">
        <v>2134</v>
      </c>
      <c r="B46" s="8" t="s">
        <v>54</v>
      </c>
      <c r="C46" s="8" t="s">
        <v>16</v>
      </c>
      <c r="D46" s="57">
        <v>30.0</v>
      </c>
      <c r="E46" s="57"/>
      <c r="F46" s="57"/>
      <c r="G46" s="57"/>
      <c r="H46" s="57">
        <v>30.0</v>
      </c>
      <c r="I46" s="57"/>
      <c r="J46" s="57"/>
      <c r="K46" s="66" t="s">
        <v>422</v>
      </c>
    </row>
    <row r="47" ht="15.75" customHeight="1">
      <c r="A47" s="64" t="s">
        <v>2135</v>
      </c>
      <c r="B47" s="8" t="s">
        <v>54</v>
      </c>
      <c r="C47" s="8" t="s">
        <v>16</v>
      </c>
      <c r="D47" s="65">
        <v>30.0</v>
      </c>
      <c r="E47" s="57"/>
      <c r="F47" s="57"/>
      <c r="G47" s="57"/>
      <c r="H47" s="57"/>
      <c r="I47" s="57"/>
      <c r="J47" s="65"/>
      <c r="K47" s="66" t="s">
        <v>2136</v>
      </c>
    </row>
    <row r="48" ht="15.75" customHeight="1">
      <c r="A48" s="398" t="s">
        <v>2094</v>
      </c>
      <c r="B48" s="8" t="s">
        <v>54</v>
      </c>
      <c r="C48" s="8" t="s">
        <v>16</v>
      </c>
      <c r="D48" s="57"/>
      <c r="E48" s="57"/>
      <c r="F48" s="57"/>
      <c r="G48" s="57"/>
      <c r="H48" s="57">
        <v>30.0</v>
      </c>
      <c r="I48" s="57"/>
      <c r="J48" s="57">
        <v>15.0</v>
      </c>
      <c r="K48" s="66" t="s">
        <v>2095</v>
      </c>
    </row>
    <row r="49" ht="15.75" customHeight="1">
      <c r="A49" s="398" t="s">
        <v>2137</v>
      </c>
      <c r="B49" s="8" t="s">
        <v>96</v>
      </c>
      <c r="C49" s="8" t="s">
        <v>16</v>
      </c>
      <c r="D49" s="57">
        <v>30.0</v>
      </c>
      <c r="E49" s="57"/>
      <c r="F49" s="57"/>
      <c r="G49" s="57"/>
      <c r="H49" s="57"/>
      <c r="I49" s="57"/>
      <c r="J49" s="57"/>
      <c r="K49" s="66" t="s">
        <v>2138</v>
      </c>
    </row>
    <row r="50" ht="15.75" customHeight="1">
      <c r="A50" s="64" t="s">
        <v>2139</v>
      </c>
      <c r="B50" s="8" t="s">
        <v>96</v>
      </c>
      <c r="C50" s="8" t="s">
        <v>16</v>
      </c>
      <c r="D50" s="57"/>
      <c r="E50" s="57"/>
      <c r="F50" s="57"/>
      <c r="G50" s="57"/>
      <c r="H50" s="57"/>
      <c r="I50" s="57"/>
      <c r="J50" s="65">
        <v>15.0</v>
      </c>
      <c r="K50" s="66" t="s">
        <v>2138</v>
      </c>
    </row>
    <row r="51" ht="15.75" customHeight="1">
      <c r="A51" s="398" t="s">
        <v>2140</v>
      </c>
      <c r="B51" s="8" t="s">
        <v>96</v>
      </c>
      <c r="C51" s="8" t="s">
        <v>20</v>
      </c>
      <c r="D51" s="57"/>
      <c r="E51" s="57"/>
      <c r="F51" s="57"/>
      <c r="G51" s="57"/>
      <c r="H51" s="57">
        <v>30.0</v>
      </c>
      <c r="I51" s="57"/>
      <c r="J51" s="57"/>
      <c r="K51" s="66" t="s">
        <v>2141</v>
      </c>
    </row>
    <row r="52" ht="15.75" customHeight="1">
      <c r="A52" s="398" t="s">
        <v>2142</v>
      </c>
      <c r="B52" s="8" t="s">
        <v>96</v>
      </c>
      <c r="C52" s="415" t="s">
        <v>9</v>
      </c>
      <c r="D52" s="57"/>
      <c r="E52" s="57"/>
      <c r="F52" s="57"/>
      <c r="G52" s="57"/>
      <c r="H52" s="57"/>
      <c r="I52" s="57"/>
      <c r="J52" s="57">
        <v>15.0</v>
      </c>
      <c r="K52" s="66" t="s">
        <v>2143</v>
      </c>
    </row>
    <row r="53" ht="15.75" customHeight="1">
      <c r="A53" s="398" t="s">
        <v>2144</v>
      </c>
      <c r="B53" s="8" t="s">
        <v>96</v>
      </c>
      <c r="C53" s="8" t="s">
        <v>40</v>
      </c>
      <c r="D53" s="57"/>
      <c r="E53" s="57"/>
      <c r="F53" s="57"/>
      <c r="G53" s="57"/>
      <c r="H53" s="57"/>
      <c r="I53" s="57"/>
      <c r="J53" s="65">
        <v>15.0</v>
      </c>
      <c r="K53" s="66" t="s">
        <v>1248</v>
      </c>
    </row>
    <row r="54" ht="15.75" customHeight="1">
      <c r="A54" s="398" t="s">
        <v>681</v>
      </c>
      <c r="B54" s="8" t="s">
        <v>54</v>
      </c>
      <c r="C54" s="8" t="s">
        <v>20</v>
      </c>
      <c r="D54" s="57"/>
      <c r="E54" s="57"/>
      <c r="F54" s="57">
        <v>30.0</v>
      </c>
      <c r="G54" s="57"/>
      <c r="H54" s="57"/>
      <c r="I54" s="57"/>
      <c r="J54" s="57"/>
      <c r="K54" s="66" t="s">
        <v>303</v>
      </c>
    </row>
    <row r="55" ht="15.75" customHeight="1">
      <c r="A55" s="398" t="s">
        <v>2145</v>
      </c>
      <c r="B55" s="8" t="s">
        <v>54</v>
      </c>
      <c r="C55" s="415" t="s">
        <v>9</v>
      </c>
      <c r="D55" s="57"/>
      <c r="E55" s="57"/>
      <c r="F55" s="57">
        <v>30.0</v>
      </c>
      <c r="G55" s="57"/>
      <c r="H55" s="57"/>
      <c r="I55" s="57"/>
      <c r="J55" s="57"/>
      <c r="K55" s="66" t="s">
        <v>2146</v>
      </c>
    </row>
    <row r="56" ht="15.75" customHeight="1">
      <c r="A56" s="398" t="s">
        <v>2147</v>
      </c>
      <c r="B56" s="8" t="s">
        <v>96</v>
      </c>
      <c r="C56" s="415" t="s">
        <v>9</v>
      </c>
      <c r="D56" s="57"/>
      <c r="E56" s="57"/>
      <c r="F56" s="57">
        <v>30.0</v>
      </c>
      <c r="G56" s="57"/>
      <c r="H56" s="57"/>
      <c r="I56" s="57"/>
      <c r="J56" s="57"/>
      <c r="K56" s="66" t="s">
        <v>548</v>
      </c>
    </row>
    <row r="57" ht="15.75" customHeight="1">
      <c r="A57" s="398" t="s">
        <v>2148</v>
      </c>
      <c r="B57" s="8" t="s">
        <v>54</v>
      </c>
      <c r="C57" s="415" t="s">
        <v>9</v>
      </c>
      <c r="D57" s="57"/>
      <c r="E57" s="57"/>
      <c r="F57" s="57">
        <v>30.0</v>
      </c>
      <c r="G57" s="57"/>
      <c r="H57" s="57"/>
      <c r="I57" s="57"/>
      <c r="J57" s="57"/>
      <c r="K57" s="66" t="s">
        <v>2149</v>
      </c>
    </row>
    <row r="58" ht="15.75" customHeight="1">
      <c r="A58" s="409" t="s">
        <v>2150</v>
      </c>
      <c r="B58" s="60"/>
      <c r="C58" s="60"/>
      <c r="D58" s="60">
        <f>D42+D43+D44</f>
        <v>90</v>
      </c>
      <c r="E58" s="60"/>
      <c r="F58" s="60">
        <f>F42+F43+F44</f>
        <v>30</v>
      </c>
      <c r="G58" s="60"/>
      <c r="H58" s="60">
        <f>H42+H43+H44</f>
        <v>30</v>
      </c>
      <c r="I58" s="60"/>
      <c r="J58" s="60">
        <f>J42+J43+J44</f>
        <v>45</v>
      </c>
      <c r="K58" s="61"/>
    </row>
    <row r="59" ht="15.75" customHeight="1">
      <c r="A59" s="62"/>
      <c r="B59" s="59"/>
      <c r="C59" s="59"/>
      <c r="D59" s="59"/>
      <c r="E59" s="59"/>
      <c r="F59" s="59"/>
      <c r="G59" s="59"/>
      <c r="H59" s="59"/>
      <c r="I59" s="59"/>
      <c r="J59" s="59"/>
      <c r="K59" s="63"/>
    </row>
    <row r="60" ht="15.75" customHeight="1">
      <c r="A60" s="416" t="s">
        <v>37</v>
      </c>
      <c r="B60" s="395"/>
      <c r="C60" s="395"/>
      <c r="D60" s="395"/>
      <c r="E60" s="395"/>
      <c r="F60" s="395"/>
      <c r="G60" s="395"/>
      <c r="H60" s="395"/>
      <c r="I60" s="395"/>
      <c r="J60" s="395"/>
      <c r="K60" s="397"/>
    </row>
    <row r="61" ht="15.75" customHeight="1">
      <c r="A61" s="64" t="s">
        <v>2151</v>
      </c>
      <c r="B61" s="57"/>
      <c r="C61" s="57"/>
      <c r="D61" s="57"/>
      <c r="E61" s="57"/>
      <c r="F61" s="57"/>
      <c r="G61" s="57"/>
      <c r="H61" s="57"/>
      <c r="I61" s="57"/>
      <c r="J61" s="57"/>
      <c r="K61" s="58"/>
    </row>
    <row r="62" ht="15.75" customHeight="1">
      <c r="A62" s="64" t="s">
        <v>2152</v>
      </c>
      <c r="B62" s="57"/>
      <c r="C62" s="57"/>
      <c r="D62" s="57">
        <v>10.0</v>
      </c>
      <c r="E62" s="57"/>
      <c r="F62" s="57"/>
      <c r="G62" s="57"/>
      <c r="H62" s="57"/>
      <c r="I62" s="57"/>
      <c r="J62" s="57"/>
      <c r="K62" s="58"/>
    </row>
    <row r="63" ht="15.75" customHeight="1">
      <c r="A63" s="64" t="s">
        <v>2153</v>
      </c>
      <c r="B63" s="8" t="s">
        <v>19</v>
      </c>
      <c r="C63" s="8" t="s">
        <v>40</v>
      </c>
      <c r="D63" s="57"/>
      <c r="E63" s="57"/>
      <c r="F63" s="57"/>
      <c r="G63" s="57"/>
      <c r="H63" s="57"/>
      <c r="I63" s="57"/>
      <c r="J63" s="57"/>
      <c r="K63" s="66" t="s">
        <v>947</v>
      </c>
    </row>
    <row r="64" ht="15.75" customHeight="1">
      <c r="A64" s="64" t="s">
        <v>2154</v>
      </c>
      <c r="B64" s="8" t="s">
        <v>19</v>
      </c>
      <c r="C64" s="8" t="s">
        <v>40</v>
      </c>
      <c r="D64" s="57"/>
      <c r="E64" s="57"/>
      <c r="F64" s="57"/>
      <c r="G64" s="57"/>
      <c r="H64" s="57"/>
      <c r="I64" s="57"/>
      <c r="J64" s="57"/>
      <c r="K64" s="66" t="s">
        <v>403</v>
      </c>
    </row>
    <row r="65" ht="15.75" customHeight="1">
      <c r="A65" s="64" t="s">
        <v>2155</v>
      </c>
      <c r="B65" s="57"/>
      <c r="C65" s="57"/>
      <c r="D65" s="57"/>
      <c r="E65" s="57"/>
      <c r="F65" s="57"/>
      <c r="G65" s="57"/>
      <c r="H65" s="57">
        <v>12.0</v>
      </c>
      <c r="I65" s="57"/>
      <c r="J65" s="57"/>
      <c r="K65" s="58"/>
    </row>
    <row r="66" ht="15.75" customHeight="1">
      <c r="A66" s="64" t="s">
        <v>2156</v>
      </c>
      <c r="B66" s="8" t="s">
        <v>19</v>
      </c>
      <c r="C66" s="8" t="s">
        <v>16</v>
      </c>
      <c r="D66" s="57"/>
      <c r="E66" s="57"/>
      <c r="F66" s="57"/>
      <c r="G66" s="57"/>
      <c r="H66" s="57"/>
      <c r="I66" s="57"/>
      <c r="J66" s="57"/>
      <c r="K66" s="66" t="s">
        <v>2157</v>
      </c>
    </row>
    <row r="67" ht="15.75" customHeight="1">
      <c r="A67" s="64" t="s">
        <v>2158</v>
      </c>
      <c r="B67" s="8" t="s">
        <v>19</v>
      </c>
      <c r="C67" s="8" t="s">
        <v>20</v>
      </c>
      <c r="D67" s="57"/>
      <c r="E67" s="57"/>
      <c r="F67" s="57"/>
      <c r="G67" s="57"/>
      <c r="H67" s="57"/>
      <c r="I67" s="57"/>
      <c r="J67" s="57"/>
      <c r="K67" s="66" t="s">
        <v>2159</v>
      </c>
    </row>
    <row r="68" ht="15.75" customHeight="1">
      <c r="A68" s="64" t="s">
        <v>2160</v>
      </c>
      <c r="B68" s="8" t="s">
        <v>19</v>
      </c>
      <c r="C68" s="8" t="s">
        <v>40</v>
      </c>
      <c r="D68" s="57"/>
      <c r="E68" s="57"/>
      <c r="F68" s="57"/>
      <c r="G68" s="57"/>
      <c r="H68" s="57"/>
      <c r="I68" s="57"/>
      <c r="J68" s="57"/>
      <c r="K68" s="66" t="s">
        <v>900</v>
      </c>
    </row>
    <row r="69" ht="15.75" customHeight="1">
      <c r="A69" s="64" t="s">
        <v>254</v>
      </c>
      <c r="B69" s="57"/>
      <c r="C69" s="57"/>
      <c r="D69" s="57"/>
      <c r="E69" s="57"/>
      <c r="F69" s="57"/>
      <c r="G69" s="57"/>
      <c r="H69" s="57"/>
      <c r="I69" s="57"/>
      <c r="J69" s="57"/>
      <c r="K69" s="58"/>
    </row>
    <row r="70" ht="15.75" customHeight="1">
      <c r="A70" s="64" t="s">
        <v>2152</v>
      </c>
      <c r="B70" s="57"/>
      <c r="C70" s="57"/>
      <c r="D70" s="57">
        <v>12.0</v>
      </c>
      <c r="E70" s="57"/>
      <c r="F70" s="57"/>
      <c r="G70" s="57"/>
      <c r="H70" s="57"/>
      <c r="I70" s="57"/>
      <c r="J70" s="57"/>
      <c r="K70" s="58"/>
    </row>
    <row r="71" ht="15.75" customHeight="1">
      <c r="A71" s="64" t="s">
        <v>2161</v>
      </c>
      <c r="B71" s="8" t="s">
        <v>141</v>
      </c>
      <c r="C71" s="8" t="s">
        <v>9</v>
      </c>
      <c r="D71" s="57"/>
      <c r="E71" s="57"/>
      <c r="F71" s="57"/>
      <c r="G71" s="57"/>
      <c r="H71" s="57"/>
      <c r="I71" s="57"/>
      <c r="J71" s="57"/>
      <c r="K71" s="66" t="s">
        <v>260</v>
      </c>
    </row>
    <row r="72" ht="15.75" customHeight="1">
      <c r="A72" s="64" t="s">
        <v>502</v>
      </c>
      <c r="B72" s="8" t="s">
        <v>417</v>
      </c>
      <c r="C72" s="8" t="s">
        <v>9</v>
      </c>
      <c r="D72" s="57"/>
      <c r="E72" s="57"/>
      <c r="F72" s="57"/>
      <c r="G72" s="57"/>
      <c r="H72" s="57"/>
      <c r="I72" s="57"/>
      <c r="J72" s="57"/>
      <c r="K72" s="66" t="s">
        <v>2162</v>
      </c>
    </row>
    <row r="73" ht="15.75" customHeight="1">
      <c r="A73" s="64" t="s">
        <v>2155</v>
      </c>
      <c r="B73" s="57"/>
      <c r="C73" s="57"/>
      <c r="D73" s="57"/>
      <c r="E73" s="57"/>
      <c r="F73" s="57"/>
      <c r="G73" s="57"/>
      <c r="H73" s="57">
        <v>12.0</v>
      </c>
      <c r="I73" s="57"/>
      <c r="J73" s="57"/>
      <c r="K73" s="58"/>
    </row>
    <row r="74" ht="15.75" customHeight="1">
      <c r="A74" s="64" t="s">
        <v>2163</v>
      </c>
      <c r="B74" s="8" t="s">
        <v>141</v>
      </c>
      <c r="C74" s="8" t="s">
        <v>16</v>
      </c>
      <c r="D74" s="57"/>
      <c r="E74" s="57"/>
      <c r="F74" s="57"/>
      <c r="G74" s="57"/>
      <c r="H74" s="57"/>
      <c r="I74" s="57"/>
      <c r="J74" s="57"/>
      <c r="K74" s="66" t="s">
        <v>2164</v>
      </c>
    </row>
    <row r="75" ht="15.75" customHeight="1">
      <c r="A75" s="64" t="s">
        <v>497</v>
      </c>
      <c r="B75" s="8" t="s">
        <v>15</v>
      </c>
      <c r="C75" s="8" t="s">
        <v>16</v>
      </c>
      <c r="D75" s="57"/>
      <c r="E75" s="57"/>
      <c r="F75" s="57"/>
      <c r="G75" s="57"/>
      <c r="H75" s="57"/>
      <c r="I75" s="57"/>
      <c r="J75" s="57"/>
      <c r="K75" s="66" t="s">
        <v>498</v>
      </c>
    </row>
    <row r="76" ht="15.75" customHeight="1">
      <c r="A76" s="64" t="s">
        <v>2165</v>
      </c>
      <c r="B76" s="57"/>
      <c r="C76" s="57"/>
      <c r="D76" s="57"/>
      <c r="E76" s="57"/>
      <c r="F76" s="57"/>
      <c r="G76" s="57"/>
      <c r="H76" s="57"/>
      <c r="I76" s="57"/>
      <c r="J76" s="57"/>
      <c r="K76" s="58"/>
    </row>
    <row r="77" ht="15.75" customHeight="1">
      <c r="A77" s="64" t="s">
        <v>2152</v>
      </c>
      <c r="B77" s="57"/>
      <c r="C77" s="57"/>
      <c r="D77" s="57">
        <v>16.0</v>
      </c>
      <c r="E77" s="57"/>
      <c r="F77" s="57"/>
      <c r="G77" s="57"/>
      <c r="H77" s="57"/>
      <c r="I77" s="57"/>
      <c r="J77" s="57"/>
      <c r="K77" s="58"/>
    </row>
    <row r="78" ht="15.75" customHeight="1">
      <c r="A78" s="64" t="s">
        <v>421</v>
      </c>
      <c r="B78" s="8" t="s">
        <v>54</v>
      </c>
      <c r="C78" s="8" t="s">
        <v>16</v>
      </c>
      <c r="D78" s="57"/>
      <c r="E78" s="57"/>
      <c r="F78" s="57"/>
      <c r="G78" s="57"/>
      <c r="H78" s="57"/>
      <c r="I78" s="57"/>
      <c r="J78" s="57"/>
      <c r="K78" s="66" t="s">
        <v>422</v>
      </c>
    </row>
    <row r="79" ht="15.75" customHeight="1">
      <c r="A79" s="64" t="s">
        <v>2166</v>
      </c>
      <c r="B79" s="8" t="s">
        <v>54</v>
      </c>
      <c r="C79" s="8" t="s">
        <v>40</v>
      </c>
      <c r="D79" s="57"/>
      <c r="E79" s="57"/>
      <c r="F79" s="57"/>
      <c r="G79" s="57"/>
      <c r="H79" s="57"/>
      <c r="I79" s="57"/>
      <c r="J79" s="57"/>
      <c r="K79" s="66" t="s">
        <v>2167</v>
      </c>
    </row>
    <row r="80" ht="15.75" customHeight="1">
      <c r="A80" s="64" t="s">
        <v>328</v>
      </c>
      <c r="B80" s="8" t="s">
        <v>54</v>
      </c>
      <c r="C80" s="8" t="s">
        <v>20</v>
      </c>
      <c r="D80" s="57"/>
      <c r="E80" s="57"/>
      <c r="F80" s="57"/>
      <c r="G80" s="57"/>
      <c r="H80" s="57"/>
      <c r="I80" s="57"/>
      <c r="J80" s="57"/>
      <c r="K80" s="66" t="s">
        <v>329</v>
      </c>
    </row>
    <row r="81" ht="15.75" customHeight="1">
      <c r="A81" s="64" t="s">
        <v>2155</v>
      </c>
      <c r="B81" s="57"/>
      <c r="C81" s="57"/>
      <c r="D81" s="57"/>
      <c r="E81" s="57"/>
      <c r="F81" s="57"/>
      <c r="G81" s="57"/>
      <c r="H81" s="57">
        <v>14.0</v>
      </c>
      <c r="I81" s="57"/>
      <c r="J81" s="57"/>
      <c r="K81" s="58"/>
    </row>
    <row r="82" ht="15.75" customHeight="1">
      <c r="A82" s="64" t="s">
        <v>2168</v>
      </c>
      <c r="B82" s="8" t="s">
        <v>8</v>
      </c>
      <c r="C82" s="8" t="s">
        <v>12</v>
      </c>
      <c r="D82" s="57"/>
      <c r="E82" s="57"/>
      <c r="F82" s="57"/>
      <c r="G82" s="57"/>
      <c r="H82" s="57"/>
      <c r="I82" s="57"/>
      <c r="J82" s="57"/>
      <c r="K82" s="66" t="s">
        <v>626</v>
      </c>
    </row>
    <row r="83" ht="15.75" customHeight="1">
      <c r="A83" s="64" t="s">
        <v>2169</v>
      </c>
      <c r="B83" s="8" t="s">
        <v>8</v>
      </c>
      <c r="C83" s="8" t="s">
        <v>20</v>
      </c>
      <c r="D83" s="57"/>
      <c r="E83" s="57"/>
      <c r="F83" s="57"/>
      <c r="G83" s="57"/>
      <c r="H83" s="57"/>
      <c r="I83" s="57"/>
      <c r="J83" s="57"/>
      <c r="K83" s="30" t="s">
        <v>63</v>
      </c>
    </row>
    <row r="84" ht="15.75" customHeight="1">
      <c r="A84" s="402" t="s">
        <v>64</v>
      </c>
      <c r="B84" s="60"/>
      <c r="C84" s="60"/>
      <c r="D84" s="60">
        <f>SUM(D61:D83)</f>
        <v>38</v>
      </c>
      <c r="E84" s="60"/>
      <c r="F84" s="60">
        <f>SUM(F61:F83)</f>
        <v>0</v>
      </c>
      <c r="G84" s="60"/>
      <c r="H84" s="60">
        <f>SUM(H61:H83)</f>
        <v>38</v>
      </c>
      <c r="I84" s="60"/>
      <c r="J84" s="60"/>
      <c r="K84" s="61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</row>
    <row r="87" ht="15.75" customHeight="1">
      <c r="A87" s="56" t="s">
        <v>2170</v>
      </c>
      <c r="B87" s="417">
        <f>D16+D19+D58+D84+D30+D24+D39+D27+D36+D33</f>
        <v>435</v>
      </c>
      <c r="C87" s="59"/>
      <c r="D87" s="59"/>
      <c r="E87" s="59"/>
      <c r="F87" s="59"/>
      <c r="G87" s="59"/>
      <c r="H87" s="59"/>
      <c r="I87" s="59"/>
      <c r="J87" s="59"/>
      <c r="K87" s="59"/>
    </row>
    <row r="88" ht="15.75" customHeight="1">
      <c r="A88" s="56" t="s">
        <v>2171</v>
      </c>
      <c r="B88" s="417">
        <f>F16+F19+F58+F84+F30+F24+F39+F36</f>
        <v>221</v>
      </c>
      <c r="C88" s="59"/>
      <c r="D88" s="59"/>
      <c r="E88" s="59"/>
      <c r="F88" s="59"/>
      <c r="G88" s="59"/>
      <c r="H88" s="59"/>
      <c r="I88" s="59"/>
      <c r="J88" s="59"/>
      <c r="K88" s="59"/>
    </row>
    <row r="89" ht="15.75" customHeight="1">
      <c r="A89" s="56" t="s">
        <v>2172</v>
      </c>
      <c r="B89" s="417">
        <f>H16+H58+H84+H19+H30+H39</f>
        <v>136</v>
      </c>
      <c r="C89" s="59"/>
      <c r="D89" s="59"/>
      <c r="E89" s="59"/>
      <c r="F89" s="59"/>
      <c r="G89" s="59"/>
      <c r="H89" s="59"/>
      <c r="I89" s="59"/>
      <c r="J89" s="59"/>
      <c r="K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dataValidations>
    <dataValidation type="list" allowBlank="1" showErrorMessage="1" sqref="B3:B15 B42:B57 B63:B64 B66:B68 B71:B72 B74:B75 B78:B80 B82:B83">
      <formula1>"SSS,SS,S,AAA,AA,A,Blue,Green"</formula1>
    </dataValidation>
    <dataValidation type="list" allowBlank="1" showErrorMessage="1" sqref="C51:C57">
      <formula1>"FAME,ART,FTH,CIV,TECH"</formula1>
    </dataValidation>
    <dataValidation type="list" allowBlank="1" showErrorMessage="1" sqref="C3:C15 C42:C50 C63:C64 C66:C68 C71:C72 C74:C75 C78:C80 C82:C83">
      <formula1>"FAME,ART,FTH,CIV,TECH"</formula1>
    </dataValidation>
  </dataValidation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5.91"/>
    <col customWidth="1" min="2" max="2" width="8.09"/>
    <col customWidth="1" min="3" max="3" width="7.82"/>
    <col customWidth="1" min="4" max="4" width="8.09"/>
    <col customWidth="1" min="5" max="5" width="11.73"/>
    <col customWidth="1" min="6" max="6" width="6.09"/>
    <col customWidth="1" min="7" max="7" width="9.73"/>
    <col customWidth="1" min="8" max="8" width="10.0"/>
    <col customWidth="1" min="9" max="9" width="16.82"/>
    <col customWidth="1" min="10" max="10" width="8.82"/>
    <col customWidth="1" min="11" max="11" width="103.27"/>
  </cols>
  <sheetData>
    <row r="1">
      <c r="A1" s="148" t="s">
        <v>0</v>
      </c>
      <c r="B1" s="124" t="s">
        <v>1</v>
      </c>
      <c r="C1" s="124" t="s">
        <v>2</v>
      </c>
      <c r="D1" s="124" t="s">
        <v>2082</v>
      </c>
      <c r="E1" s="124" t="s">
        <v>2083</v>
      </c>
      <c r="F1" s="124" t="s">
        <v>2084</v>
      </c>
      <c r="G1" s="124" t="s">
        <v>2085</v>
      </c>
      <c r="H1" s="124" t="s">
        <v>2173</v>
      </c>
      <c r="I1" s="124" t="s">
        <v>2174</v>
      </c>
      <c r="J1" s="124" t="s">
        <v>2088</v>
      </c>
      <c r="K1" s="129" t="s">
        <v>5</v>
      </c>
      <c r="L1" s="80"/>
      <c r="M1" s="80"/>
      <c r="N1" s="80"/>
      <c r="O1" s="80"/>
    </row>
    <row r="2">
      <c r="A2" s="144" t="s">
        <v>6</v>
      </c>
      <c r="B2" s="408"/>
      <c r="C2" s="408"/>
      <c r="D2" s="408"/>
      <c r="E2" s="408"/>
      <c r="F2" s="408"/>
      <c r="G2" s="408"/>
      <c r="H2" s="408"/>
      <c r="I2" s="408"/>
      <c r="J2" s="408"/>
      <c r="K2" s="418"/>
      <c r="L2" s="80"/>
      <c r="M2" s="80"/>
      <c r="N2" s="80"/>
      <c r="O2" s="80"/>
    </row>
    <row r="3">
      <c r="A3" s="147" t="s">
        <v>2137</v>
      </c>
      <c r="B3" s="8" t="s">
        <v>96</v>
      </c>
      <c r="C3" s="8" t="s">
        <v>16</v>
      </c>
      <c r="D3" s="91">
        <v>20.0</v>
      </c>
      <c r="E3" s="91">
        <v>20.0</v>
      </c>
      <c r="F3" s="91">
        <v>20.0</v>
      </c>
      <c r="G3" s="408"/>
      <c r="H3" s="408"/>
      <c r="I3" s="408"/>
      <c r="J3" s="408"/>
      <c r="K3" s="92" t="s">
        <v>2138</v>
      </c>
      <c r="L3" s="136"/>
      <c r="M3" s="136"/>
      <c r="N3" s="136"/>
      <c r="O3" s="136"/>
    </row>
    <row r="4">
      <c r="A4" s="147" t="s">
        <v>2094</v>
      </c>
      <c r="B4" s="8" t="s">
        <v>54</v>
      </c>
      <c r="C4" s="8" t="s">
        <v>16</v>
      </c>
      <c r="D4" s="91">
        <v>22.0</v>
      </c>
      <c r="E4" s="91">
        <v>20.0</v>
      </c>
      <c r="F4" s="408"/>
      <c r="G4" s="408"/>
      <c r="H4" s="408"/>
      <c r="I4" s="408"/>
      <c r="J4" s="408"/>
      <c r="K4" s="92" t="s">
        <v>2095</v>
      </c>
      <c r="L4" s="136"/>
      <c r="M4" s="136"/>
      <c r="N4" s="136"/>
      <c r="O4" s="136"/>
    </row>
    <row r="5">
      <c r="A5" s="147" t="s">
        <v>2091</v>
      </c>
      <c r="B5" s="8" t="s">
        <v>8</v>
      </c>
      <c r="C5" s="8" t="s">
        <v>16</v>
      </c>
      <c r="D5" s="91">
        <v>24.0</v>
      </c>
      <c r="E5" s="408"/>
      <c r="F5" s="408"/>
      <c r="G5" s="408"/>
      <c r="H5" s="408"/>
      <c r="I5" s="408"/>
      <c r="J5" s="408"/>
      <c r="K5" s="92" t="s">
        <v>2092</v>
      </c>
      <c r="L5" s="136"/>
      <c r="M5" s="136"/>
      <c r="N5" s="136"/>
      <c r="O5" s="136"/>
    </row>
    <row r="6">
      <c r="A6" s="147" t="s">
        <v>2175</v>
      </c>
      <c r="B6" s="8" t="s">
        <v>15</v>
      </c>
      <c r="C6" s="415" t="s">
        <v>9</v>
      </c>
      <c r="D6" s="408"/>
      <c r="E6" s="408"/>
      <c r="F6" s="408"/>
      <c r="G6" s="408"/>
      <c r="H6" s="91">
        <v>18.0</v>
      </c>
      <c r="I6" s="91">
        <v>14.0</v>
      </c>
      <c r="J6" s="408"/>
      <c r="K6" s="92" t="s">
        <v>266</v>
      </c>
      <c r="L6" s="136"/>
      <c r="M6" s="136"/>
      <c r="N6" s="136"/>
      <c r="O6" s="136"/>
    </row>
    <row r="7">
      <c r="A7" s="147" t="s">
        <v>2176</v>
      </c>
      <c r="B7" s="8" t="s">
        <v>15</v>
      </c>
      <c r="C7" s="8" t="s">
        <v>16</v>
      </c>
      <c r="D7" s="91"/>
      <c r="E7" s="408"/>
      <c r="F7" s="91"/>
      <c r="G7" s="91"/>
      <c r="H7" s="8">
        <v>9.0</v>
      </c>
      <c r="I7" s="8">
        <v>7.0</v>
      </c>
      <c r="J7" s="408"/>
      <c r="K7" s="207" t="s">
        <v>756</v>
      </c>
      <c r="L7" s="136"/>
      <c r="M7" s="136"/>
      <c r="N7" s="136"/>
      <c r="O7" s="136"/>
    </row>
    <row r="8">
      <c r="A8" s="147" t="s">
        <v>685</v>
      </c>
      <c r="B8" s="8" t="s">
        <v>15</v>
      </c>
      <c r="C8" s="8" t="s">
        <v>20</v>
      </c>
      <c r="D8" s="91">
        <v>14.0</v>
      </c>
      <c r="E8" s="408"/>
      <c r="F8" s="91">
        <v>14.0</v>
      </c>
      <c r="G8" s="91">
        <v>14.0</v>
      </c>
      <c r="H8" s="408"/>
      <c r="I8" s="408"/>
      <c r="J8" s="408"/>
      <c r="K8" s="92" t="s">
        <v>686</v>
      </c>
      <c r="L8" s="136"/>
      <c r="M8" s="136"/>
      <c r="N8" s="136"/>
      <c r="O8" s="136"/>
    </row>
    <row r="9">
      <c r="A9" s="147" t="s">
        <v>2101</v>
      </c>
      <c r="B9" s="8" t="s">
        <v>15</v>
      </c>
      <c r="C9" s="8" t="s">
        <v>16</v>
      </c>
      <c r="D9" s="91">
        <v>5.0</v>
      </c>
      <c r="E9" s="8">
        <v>5.0</v>
      </c>
      <c r="F9" s="408"/>
      <c r="G9" s="408"/>
      <c r="H9" s="91"/>
      <c r="I9" s="408"/>
      <c r="J9" s="408"/>
      <c r="K9" s="92" t="s">
        <v>798</v>
      </c>
      <c r="L9" s="136"/>
      <c r="M9" s="80"/>
      <c r="N9" s="80"/>
      <c r="O9" s="80"/>
    </row>
    <row r="10">
      <c r="A10" s="147" t="s">
        <v>2177</v>
      </c>
      <c r="B10" s="8" t="s">
        <v>19</v>
      </c>
      <c r="C10" s="8" t="s">
        <v>12</v>
      </c>
      <c r="D10" s="91">
        <v>10.0</v>
      </c>
      <c r="E10" s="91">
        <v>10.0</v>
      </c>
      <c r="F10" s="408"/>
      <c r="G10" s="408"/>
      <c r="H10" s="408"/>
      <c r="I10" s="408"/>
      <c r="J10" s="408"/>
      <c r="K10" s="92" t="s">
        <v>2178</v>
      </c>
      <c r="L10" s="136"/>
      <c r="M10" s="136"/>
      <c r="N10" s="136"/>
      <c r="O10" s="136"/>
    </row>
    <row r="11">
      <c r="A11" s="144" t="s">
        <v>2179</v>
      </c>
      <c r="B11" s="8" t="s">
        <v>19</v>
      </c>
      <c r="C11" s="8" t="s">
        <v>16</v>
      </c>
      <c r="D11" s="408"/>
      <c r="E11" s="408"/>
      <c r="F11" s="91">
        <v>10.0</v>
      </c>
      <c r="G11" s="91">
        <v>10.0</v>
      </c>
      <c r="H11" s="408"/>
      <c r="I11" s="408"/>
      <c r="J11" s="408"/>
      <c r="K11" s="92" t="s">
        <v>920</v>
      </c>
      <c r="L11" s="136"/>
      <c r="M11" s="136"/>
      <c r="N11" s="136"/>
      <c r="O11" s="136"/>
    </row>
    <row r="12">
      <c r="A12" s="144" t="s">
        <v>2180</v>
      </c>
      <c r="B12" s="8" t="s">
        <v>23</v>
      </c>
      <c r="C12" s="415" t="s">
        <v>9</v>
      </c>
      <c r="D12" s="408"/>
      <c r="E12" s="408"/>
      <c r="F12" s="408"/>
      <c r="G12" s="408"/>
      <c r="H12" s="91">
        <v>6.0</v>
      </c>
      <c r="I12" s="408"/>
      <c r="J12" s="408"/>
      <c r="K12" s="92" t="s">
        <v>2181</v>
      </c>
      <c r="L12" s="136"/>
      <c r="M12" s="80"/>
      <c r="N12" s="80"/>
      <c r="O12" s="80"/>
    </row>
    <row r="13">
      <c r="A13" s="144" t="s">
        <v>2182</v>
      </c>
      <c r="B13" s="8" t="s">
        <v>23</v>
      </c>
      <c r="C13" s="8" t="s">
        <v>12</v>
      </c>
      <c r="D13" s="408"/>
      <c r="E13" s="408"/>
      <c r="F13" s="408"/>
      <c r="G13" s="408"/>
      <c r="H13" s="91">
        <v>6.0</v>
      </c>
      <c r="I13" s="408"/>
      <c r="J13" s="408"/>
      <c r="K13" s="92" t="s">
        <v>2183</v>
      </c>
      <c r="L13" s="136"/>
      <c r="M13" s="80"/>
      <c r="N13" s="80"/>
      <c r="O13" s="80"/>
    </row>
    <row r="14">
      <c r="A14" s="144" t="s">
        <v>2184</v>
      </c>
      <c r="B14" s="8" t="s">
        <v>23</v>
      </c>
      <c r="C14" s="8" t="s">
        <v>20</v>
      </c>
      <c r="D14" s="408"/>
      <c r="E14" s="408"/>
      <c r="F14" s="408"/>
      <c r="G14" s="408"/>
      <c r="H14" s="91">
        <v>6.0</v>
      </c>
      <c r="I14" s="408"/>
      <c r="J14" s="408"/>
      <c r="K14" s="92" t="s">
        <v>2185</v>
      </c>
      <c r="L14" s="136"/>
      <c r="M14" s="80"/>
      <c r="N14" s="80"/>
      <c r="O14" s="80"/>
    </row>
    <row r="15">
      <c r="A15" s="144" t="s">
        <v>2186</v>
      </c>
      <c r="B15" s="8" t="s">
        <v>23</v>
      </c>
      <c r="C15" s="8" t="s">
        <v>40</v>
      </c>
      <c r="D15" s="91">
        <v>6.0</v>
      </c>
      <c r="E15" s="408"/>
      <c r="F15" s="408"/>
      <c r="G15" s="408"/>
      <c r="H15" s="408"/>
      <c r="I15" s="408"/>
      <c r="J15" s="408"/>
      <c r="K15" s="92" t="s">
        <v>2187</v>
      </c>
      <c r="L15" s="136"/>
      <c r="M15" s="80"/>
      <c r="N15" s="80"/>
      <c r="O15" s="80"/>
    </row>
    <row r="16">
      <c r="A16" s="52" t="s">
        <v>27</v>
      </c>
      <c r="B16" s="411"/>
      <c r="C16" s="411"/>
      <c r="D16" s="94">
        <f>sum(D3:E15)</f>
        <v>156</v>
      </c>
      <c r="E16" s="411"/>
      <c r="F16" s="94">
        <f>sum(F3:G15)</f>
        <v>68</v>
      </c>
      <c r="G16" s="411"/>
      <c r="H16" s="94">
        <f>sum(H3:I15)</f>
        <v>66</v>
      </c>
      <c r="I16" s="411"/>
      <c r="J16" s="411"/>
      <c r="K16" s="419"/>
      <c r="L16" s="80"/>
      <c r="M16" s="80"/>
      <c r="N16" s="80"/>
      <c r="O16" s="80"/>
    </row>
    <row r="17">
      <c r="A17" s="420"/>
      <c r="B17" s="421"/>
      <c r="C17" s="421"/>
      <c r="D17" s="421"/>
      <c r="E17" s="421"/>
      <c r="F17" s="421"/>
      <c r="G17" s="421"/>
      <c r="H17" s="421"/>
      <c r="I17" s="421"/>
      <c r="J17" s="421"/>
      <c r="K17" s="422"/>
      <c r="L17" s="80"/>
      <c r="M17" s="80"/>
      <c r="N17" s="80"/>
      <c r="O17" s="80"/>
    </row>
    <row r="18">
      <c r="A18" s="394" t="s">
        <v>2112</v>
      </c>
      <c r="B18" s="395"/>
      <c r="C18" s="395"/>
      <c r="D18" s="395"/>
      <c r="E18" s="395"/>
      <c r="F18" s="395"/>
      <c r="G18" s="395"/>
      <c r="H18" s="395"/>
      <c r="I18" s="395"/>
      <c r="J18" s="406"/>
      <c r="K18" s="407"/>
      <c r="L18" s="80"/>
      <c r="M18" s="80"/>
      <c r="N18" s="80"/>
      <c r="O18" s="80"/>
    </row>
    <row r="19">
      <c r="A19" s="64" t="s">
        <v>2113</v>
      </c>
      <c r="B19" s="57"/>
      <c r="C19" s="57"/>
      <c r="D19" s="65">
        <v>10.0</v>
      </c>
      <c r="E19" s="57"/>
      <c r="F19" s="65">
        <v>10.0</v>
      </c>
      <c r="G19" s="57"/>
      <c r="H19" s="57"/>
      <c r="I19" s="57"/>
      <c r="J19" s="408"/>
      <c r="K19" s="92" t="s">
        <v>2114</v>
      </c>
      <c r="L19" s="80"/>
      <c r="M19" s="80"/>
      <c r="N19" s="80"/>
      <c r="O19" s="80"/>
    </row>
    <row r="20">
      <c r="A20" s="409" t="s">
        <v>479</v>
      </c>
      <c r="B20" s="60"/>
      <c r="C20" s="60"/>
      <c r="D20" s="410">
        <v>20.0</v>
      </c>
      <c r="E20" s="60"/>
      <c r="F20" s="410">
        <v>20.0</v>
      </c>
      <c r="G20" s="60"/>
      <c r="H20" s="60"/>
      <c r="I20" s="60"/>
      <c r="J20" s="411"/>
      <c r="K20" s="95" t="s">
        <v>2115</v>
      </c>
      <c r="L20" s="80"/>
      <c r="M20" s="80"/>
      <c r="N20" s="80"/>
      <c r="O20" s="80"/>
    </row>
    <row r="21">
      <c r="A21" s="64" t="s">
        <v>2116</v>
      </c>
      <c r="B21" s="57"/>
      <c r="C21" s="57"/>
      <c r="D21" s="57">
        <f>sum(D19:D20)</f>
        <v>30</v>
      </c>
      <c r="E21" s="57"/>
      <c r="F21" s="57">
        <f>sum(F19:F20)</f>
        <v>30</v>
      </c>
      <c r="G21" s="57"/>
      <c r="H21" s="57">
        <f>sum(H19:H20)</f>
        <v>0</v>
      </c>
      <c r="I21" s="408"/>
      <c r="J21" s="408"/>
      <c r="K21" s="412"/>
      <c r="L21" s="80"/>
      <c r="M21" s="80"/>
      <c r="N21" s="80"/>
      <c r="O21" s="80"/>
    </row>
    <row r="22">
      <c r="A22" s="423"/>
      <c r="B22" s="408"/>
      <c r="C22" s="408"/>
      <c r="D22" s="408"/>
      <c r="E22" s="408"/>
      <c r="F22" s="408"/>
      <c r="G22" s="408"/>
      <c r="H22" s="408"/>
      <c r="I22" s="408"/>
      <c r="J22" s="408"/>
      <c r="K22" s="412"/>
      <c r="L22" s="80"/>
      <c r="M22" s="80"/>
      <c r="N22" s="80"/>
      <c r="O22" s="80"/>
    </row>
    <row r="23">
      <c r="A23" s="148" t="s">
        <v>2117</v>
      </c>
      <c r="B23" s="406"/>
      <c r="C23" s="406"/>
      <c r="D23" s="406"/>
      <c r="E23" s="406"/>
      <c r="F23" s="406"/>
      <c r="G23" s="406"/>
      <c r="H23" s="406"/>
      <c r="I23" s="406"/>
      <c r="J23" s="406"/>
      <c r="K23" s="407"/>
      <c r="L23" s="80"/>
      <c r="M23" s="80"/>
      <c r="N23" s="80"/>
      <c r="O23" s="80"/>
    </row>
    <row r="24">
      <c r="A24" s="144" t="s">
        <v>2118</v>
      </c>
      <c r="B24" s="408"/>
      <c r="C24" s="408"/>
      <c r="D24" s="8">
        <v>12.0</v>
      </c>
      <c r="E24" s="408"/>
      <c r="F24" s="408"/>
      <c r="G24" s="408"/>
      <c r="H24" s="408"/>
      <c r="I24" s="408"/>
      <c r="J24" s="408"/>
      <c r="K24" s="92" t="s">
        <v>2119</v>
      </c>
      <c r="L24" s="80"/>
      <c r="M24" s="80"/>
      <c r="N24" s="80"/>
      <c r="O24" s="80"/>
    </row>
    <row r="25">
      <c r="A25" s="52"/>
      <c r="B25" s="411"/>
      <c r="C25" s="411"/>
      <c r="D25" s="411"/>
      <c r="E25" s="411"/>
      <c r="F25" s="411"/>
      <c r="G25" s="411"/>
      <c r="H25" s="411"/>
      <c r="I25" s="411"/>
      <c r="J25" s="411"/>
      <c r="K25" s="419"/>
      <c r="L25" s="80"/>
      <c r="M25" s="80"/>
      <c r="N25" s="80"/>
      <c r="O25" s="80"/>
    </row>
    <row r="26">
      <c r="A26" s="148" t="s">
        <v>226</v>
      </c>
      <c r="B26" s="406"/>
      <c r="C26" s="406"/>
      <c r="D26" s="406"/>
      <c r="E26" s="406"/>
      <c r="F26" s="406"/>
      <c r="G26" s="406"/>
      <c r="H26" s="406"/>
      <c r="I26" s="406"/>
      <c r="J26" s="406"/>
      <c r="K26" s="407"/>
      <c r="L26" s="80"/>
      <c r="M26" s="80"/>
      <c r="N26" s="80"/>
      <c r="O26" s="80"/>
    </row>
    <row r="27">
      <c r="A27" s="52" t="s">
        <v>2188</v>
      </c>
      <c r="B27" s="411"/>
      <c r="C27" s="411"/>
      <c r="D27" s="96">
        <v>25.0</v>
      </c>
      <c r="E27" s="411"/>
      <c r="F27" s="96">
        <v>25.0</v>
      </c>
      <c r="G27" s="411"/>
      <c r="H27" s="411"/>
      <c r="I27" s="411"/>
      <c r="J27" s="411"/>
      <c r="K27" s="95" t="s">
        <v>2189</v>
      </c>
      <c r="L27" s="80"/>
      <c r="M27" s="80"/>
      <c r="N27" s="80"/>
      <c r="O27" s="80"/>
    </row>
    <row r="28">
      <c r="A28" s="423"/>
      <c r="B28" s="408"/>
      <c r="C28" s="408"/>
      <c r="D28" s="408"/>
      <c r="E28" s="408"/>
      <c r="F28" s="408"/>
      <c r="G28" s="408"/>
      <c r="H28" s="408"/>
      <c r="I28" s="408"/>
      <c r="J28" s="408"/>
      <c r="K28" s="412"/>
      <c r="L28" s="80"/>
      <c r="M28" s="80"/>
      <c r="N28" s="80"/>
      <c r="O28" s="80"/>
    </row>
    <row r="29">
      <c r="A29" s="413" t="s">
        <v>35</v>
      </c>
      <c r="B29" s="395"/>
      <c r="C29" s="395"/>
      <c r="D29" s="395"/>
      <c r="E29" s="395"/>
      <c r="F29" s="395"/>
      <c r="G29" s="395"/>
      <c r="H29" s="395"/>
      <c r="I29" s="395"/>
      <c r="J29" s="395"/>
      <c r="K29" s="405"/>
      <c r="L29" s="80"/>
      <c r="M29" s="80"/>
      <c r="N29" s="80"/>
      <c r="O29" s="80"/>
    </row>
    <row r="30">
      <c r="A30" s="409" t="s">
        <v>482</v>
      </c>
      <c r="B30" s="60"/>
      <c r="C30" s="60"/>
      <c r="D30" s="410">
        <v>10.0</v>
      </c>
      <c r="E30" s="60"/>
      <c r="F30" s="410">
        <v>10.0</v>
      </c>
      <c r="G30" s="60"/>
      <c r="H30" s="60"/>
      <c r="I30" s="60"/>
      <c r="J30" s="60"/>
      <c r="K30" s="414" t="s">
        <v>2125</v>
      </c>
      <c r="L30" s="80"/>
      <c r="M30" s="80"/>
      <c r="N30" s="80"/>
      <c r="O30" s="80"/>
    </row>
    <row r="31">
      <c r="A31" s="398"/>
      <c r="B31" s="57"/>
      <c r="C31" s="57"/>
      <c r="D31" s="57"/>
      <c r="E31" s="57"/>
      <c r="F31" s="57"/>
      <c r="G31" s="57"/>
      <c r="H31" s="57"/>
      <c r="I31" s="57"/>
      <c r="J31" s="57"/>
      <c r="K31" s="400"/>
      <c r="L31" s="80"/>
      <c r="M31" s="80"/>
      <c r="N31" s="80"/>
      <c r="O31" s="80"/>
    </row>
    <row r="32">
      <c r="A32" s="413" t="s">
        <v>2126</v>
      </c>
      <c r="B32" s="395"/>
      <c r="C32" s="395"/>
      <c r="D32" s="395"/>
      <c r="E32" s="395"/>
      <c r="F32" s="395"/>
      <c r="G32" s="395"/>
      <c r="H32" s="395"/>
      <c r="I32" s="395"/>
      <c r="J32" s="395"/>
      <c r="K32" s="405"/>
      <c r="L32" s="80"/>
      <c r="M32" s="80"/>
      <c r="N32" s="80"/>
      <c r="O32" s="80"/>
    </row>
    <row r="33">
      <c r="A33" s="409" t="s">
        <v>2127</v>
      </c>
      <c r="B33" s="60"/>
      <c r="C33" s="60"/>
      <c r="D33" s="410">
        <v>20.0</v>
      </c>
      <c r="E33" s="60"/>
      <c r="F33" s="410">
        <v>40.0</v>
      </c>
      <c r="G33" s="60"/>
      <c r="H33" s="60"/>
      <c r="I33" s="60"/>
      <c r="J33" s="60"/>
      <c r="K33" s="403"/>
      <c r="L33" s="80"/>
      <c r="M33" s="80"/>
      <c r="N33" s="80"/>
      <c r="O33" s="80"/>
    </row>
    <row r="34">
      <c r="A34" s="420"/>
      <c r="B34" s="421"/>
      <c r="C34" s="421"/>
      <c r="D34" s="421"/>
      <c r="E34" s="421"/>
      <c r="F34" s="421"/>
      <c r="G34" s="421"/>
      <c r="H34" s="421"/>
      <c r="I34" s="421"/>
      <c r="J34" s="421"/>
      <c r="K34" s="422"/>
      <c r="L34" s="80"/>
      <c r="M34" s="80"/>
      <c r="N34" s="80"/>
      <c r="O34" s="80"/>
    </row>
    <row r="35">
      <c r="A35" s="148" t="s">
        <v>2128</v>
      </c>
      <c r="B35" s="406"/>
      <c r="C35" s="406"/>
      <c r="D35" s="406"/>
      <c r="E35" s="406"/>
      <c r="F35" s="406"/>
      <c r="G35" s="406"/>
      <c r="H35" s="406"/>
      <c r="I35" s="406"/>
      <c r="J35" s="406"/>
      <c r="K35" s="407"/>
      <c r="L35" s="80"/>
      <c r="M35" s="80"/>
      <c r="N35" s="80"/>
      <c r="O35" s="80"/>
    </row>
    <row r="36">
      <c r="A36" s="147" t="s">
        <v>2190</v>
      </c>
      <c r="B36" s="8" t="s">
        <v>8</v>
      </c>
      <c r="C36" s="8" t="s">
        <v>12</v>
      </c>
      <c r="D36" s="91">
        <v>30.0</v>
      </c>
      <c r="E36" s="408"/>
      <c r="F36" s="408"/>
      <c r="G36" s="408"/>
      <c r="H36" s="91">
        <v>30.0</v>
      </c>
      <c r="I36" s="408"/>
      <c r="J36" s="91">
        <v>15.0</v>
      </c>
      <c r="K36" s="92" t="s">
        <v>2191</v>
      </c>
      <c r="L36" s="136"/>
      <c r="M36" s="136"/>
      <c r="N36" s="136"/>
      <c r="O36" s="136"/>
    </row>
    <row r="37">
      <c r="A37" s="147" t="s">
        <v>524</v>
      </c>
      <c r="B37" s="8" t="s">
        <v>8</v>
      </c>
      <c r="C37" s="8" t="s">
        <v>12</v>
      </c>
      <c r="D37" s="408"/>
      <c r="E37" s="408"/>
      <c r="F37" s="8">
        <v>30.0</v>
      </c>
      <c r="G37" s="408"/>
      <c r="H37" s="91">
        <v>30.0</v>
      </c>
      <c r="I37" s="408"/>
      <c r="J37" s="91">
        <v>15.0</v>
      </c>
      <c r="K37" s="92" t="s">
        <v>1215</v>
      </c>
      <c r="L37" s="136"/>
      <c r="M37" s="136"/>
      <c r="N37" s="136"/>
      <c r="O37" s="136"/>
    </row>
    <row r="38">
      <c r="A38" s="147" t="s">
        <v>2192</v>
      </c>
      <c r="B38" s="8" t="s">
        <v>8</v>
      </c>
      <c r="C38" s="8" t="s">
        <v>12</v>
      </c>
      <c r="D38" s="91">
        <v>30.0</v>
      </c>
      <c r="E38" s="408"/>
      <c r="F38" s="91">
        <v>30.0</v>
      </c>
      <c r="G38" s="408"/>
      <c r="H38" s="408"/>
      <c r="I38" s="408"/>
      <c r="J38" s="8">
        <v>15.0</v>
      </c>
      <c r="K38" s="201" t="s">
        <v>813</v>
      </c>
      <c r="L38" s="136"/>
      <c r="M38" s="136"/>
      <c r="N38" s="136"/>
      <c r="O38" s="136"/>
    </row>
    <row r="39">
      <c r="A39" s="144" t="s">
        <v>2096</v>
      </c>
      <c r="B39" s="8" t="s">
        <v>54</v>
      </c>
      <c r="C39" s="8" t="s">
        <v>12</v>
      </c>
      <c r="D39" s="91">
        <v>30.0</v>
      </c>
      <c r="E39" s="408"/>
      <c r="F39" s="91">
        <v>30.0</v>
      </c>
      <c r="G39" s="408"/>
      <c r="H39" s="408"/>
      <c r="I39" s="408"/>
      <c r="J39" s="408"/>
      <c r="K39" s="92" t="s">
        <v>837</v>
      </c>
      <c r="L39" s="136"/>
      <c r="M39" s="136"/>
      <c r="N39" s="136"/>
      <c r="O39" s="136"/>
    </row>
    <row r="40">
      <c r="A40" s="144" t="s">
        <v>2193</v>
      </c>
      <c r="B40" s="8" t="s">
        <v>54</v>
      </c>
      <c r="C40" s="8" t="s">
        <v>12</v>
      </c>
      <c r="D40" s="91">
        <v>30.0</v>
      </c>
      <c r="E40" s="408"/>
      <c r="F40" s="91">
        <v>30.0</v>
      </c>
      <c r="G40" s="408"/>
      <c r="H40" s="408"/>
      <c r="I40" s="408"/>
      <c r="J40" s="408"/>
      <c r="K40" s="92" t="s">
        <v>2194</v>
      </c>
      <c r="L40" s="136"/>
      <c r="M40" s="136"/>
      <c r="N40" s="136"/>
      <c r="O40" s="136"/>
    </row>
    <row r="41">
      <c r="A41" s="144" t="s">
        <v>2195</v>
      </c>
      <c r="B41" s="8" t="s">
        <v>54</v>
      </c>
      <c r="C41" s="8" t="s">
        <v>12</v>
      </c>
      <c r="D41" s="408"/>
      <c r="E41" s="408"/>
      <c r="F41" s="408"/>
      <c r="G41" s="408"/>
      <c r="H41" s="91">
        <v>30.0</v>
      </c>
      <c r="I41" s="408"/>
      <c r="J41" s="91">
        <v>15.0</v>
      </c>
      <c r="K41" s="92" t="s">
        <v>2196</v>
      </c>
      <c r="L41" s="136"/>
      <c r="M41" s="136"/>
      <c r="N41" s="136"/>
      <c r="O41" s="136"/>
    </row>
    <row r="42">
      <c r="A42" s="144" t="s">
        <v>2197</v>
      </c>
      <c r="B42" s="8" t="s">
        <v>96</v>
      </c>
      <c r="C42" s="8" t="s">
        <v>12</v>
      </c>
      <c r="D42" s="408"/>
      <c r="E42" s="408"/>
      <c r="F42" s="408"/>
      <c r="G42" s="408"/>
      <c r="H42" s="91">
        <v>30.0</v>
      </c>
      <c r="I42" s="408"/>
      <c r="J42" s="408"/>
      <c r="K42" s="137" t="s">
        <v>560</v>
      </c>
      <c r="L42" s="136"/>
      <c r="M42" s="136"/>
      <c r="N42" s="136"/>
      <c r="O42" s="136"/>
    </row>
    <row r="43">
      <c r="A43" s="144" t="s">
        <v>2198</v>
      </c>
      <c r="B43" s="8" t="s">
        <v>54</v>
      </c>
      <c r="C43" s="8" t="s">
        <v>12</v>
      </c>
      <c r="D43" s="408"/>
      <c r="E43" s="408"/>
      <c r="F43" s="91">
        <v>30.0</v>
      </c>
      <c r="G43" s="408"/>
      <c r="H43" s="408"/>
      <c r="I43" s="408"/>
      <c r="J43" s="408"/>
      <c r="K43" s="92" t="s">
        <v>2199</v>
      </c>
      <c r="L43" s="136"/>
      <c r="M43" s="136"/>
      <c r="N43" s="136"/>
      <c r="O43" s="136"/>
    </row>
    <row r="44">
      <c r="A44" s="144" t="s">
        <v>2200</v>
      </c>
      <c r="B44" s="8" t="s">
        <v>54</v>
      </c>
      <c r="C44" s="8" t="s">
        <v>20</v>
      </c>
      <c r="D44" s="408"/>
      <c r="E44" s="408"/>
      <c r="F44" s="408"/>
      <c r="G44" s="408"/>
      <c r="H44" s="91">
        <v>30.0</v>
      </c>
      <c r="I44" s="408"/>
      <c r="J44" s="408"/>
      <c r="K44" s="92" t="s">
        <v>422</v>
      </c>
      <c r="L44" s="136"/>
      <c r="M44" s="136"/>
      <c r="N44" s="136"/>
      <c r="O44" s="136"/>
    </row>
    <row r="45">
      <c r="A45" s="144" t="s">
        <v>2140</v>
      </c>
      <c r="B45" s="8" t="s">
        <v>96</v>
      </c>
      <c r="C45" s="8" t="s">
        <v>20</v>
      </c>
      <c r="D45" s="408"/>
      <c r="E45" s="408"/>
      <c r="F45" s="408"/>
      <c r="G45" s="408"/>
      <c r="H45" s="91">
        <v>30.0</v>
      </c>
      <c r="I45" s="408"/>
      <c r="J45" s="408"/>
      <c r="K45" s="92" t="s">
        <v>2141</v>
      </c>
      <c r="L45" s="136"/>
      <c r="M45" s="136"/>
      <c r="N45" s="136"/>
      <c r="O45" s="136"/>
    </row>
    <row r="46">
      <c r="A46" s="144" t="s">
        <v>2201</v>
      </c>
      <c r="B46" s="8" t="s">
        <v>54</v>
      </c>
      <c r="C46" s="8" t="s">
        <v>20</v>
      </c>
      <c r="D46" s="91">
        <v>30.0</v>
      </c>
      <c r="E46" s="408"/>
      <c r="F46" s="408"/>
      <c r="G46" s="408"/>
      <c r="H46" s="408"/>
      <c r="I46" s="408"/>
      <c r="J46" s="408"/>
      <c r="K46" s="92" t="s">
        <v>2202</v>
      </c>
      <c r="L46" s="136"/>
      <c r="M46" s="136"/>
      <c r="N46" s="136"/>
      <c r="O46" s="136"/>
    </row>
    <row r="47">
      <c r="A47" s="144" t="s">
        <v>2137</v>
      </c>
      <c r="B47" s="8" t="s">
        <v>96</v>
      </c>
      <c r="C47" s="8" t="s">
        <v>16</v>
      </c>
      <c r="D47" s="408"/>
      <c r="E47" s="408"/>
      <c r="F47" s="408"/>
      <c r="G47" s="408"/>
      <c r="H47" s="408"/>
      <c r="I47" s="408"/>
      <c r="J47" s="91">
        <v>15.0</v>
      </c>
      <c r="K47" s="92" t="s">
        <v>2138</v>
      </c>
      <c r="L47" s="136"/>
      <c r="M47" s="136"/>
      <c r="N47" s="136"/>
      <c r="O47" s="136"/>
    </row>
    <row r="48">
      <c r="A48" s="144" t="s">
        <v>547</v>
      </c>
      <c r="B48" s="8" t="s">
        <v>54</v>
      </c>
      <c r="C48" s="415" t="s">
        <v>9</v>
      </c>
      <c r="D48" s="408"/>
      <c r="E48" s="408"/>
      <c r="F48" s="408"/>
      <c r="G48" s="408"/>
      <c r="H48" s="408"/>
      <c r="I48" s="408"/>
      <c r="J48" s="91">
        <v>15.0</v>
      </c>
      <c r="K48" s="92" t="s">
        <v>548</v>
      </c>
      <c r="L48" s="136"/>
      <c r="M48" s="136"/>
      <c r="N48" s="136"/>
      <c r="O48" s="136"/>
    </row>
    <row r="49">
      <c r="A49" s="144" t="s">
        <v>2203</v>
      </c>
      <c r="B49" s="8" t="s">
        <v>54</v>
      </c>
      <c r="C49" s="8" t="s">
        <v>20</v>
      </c>
      <c r="D49" s="408"/>
      <c r="E49" s="408"/>
      <c r="F49" s="408"/>
      <c r="G49" s="408"/>
      <c r="H49" s="408"/>
      <c r="I49" s="408"/>
      <c r="J49" s="91">
        <v>15.0</v>
      </c>
      <c r="K49" s="92" t="s">
        <v>766</v>
      </c>
      <c r="L49" s="136"/>
      <c r="M49" s="136"/>
      <c r="N49" s="136"/>
      <c r="O49" s="136"/>
    </row>
    <row r="50">
      <c r="A50" s="144" t="s">
        <v>2131</v>
      </c>
      <c r="B50" s="8" t="s">
        <v>54</v>
      </c>
      <c r="C50" s="8" t="s">
        <v>16</v>
      </c>
      <c r="D50" s="408"/>
      <c r="E50" s="408"/>
      <c r="F50" s="408"/>
      <c r="G50" s="408"/>
      <c r="H50" s="408"/>
      <c r="I50" s="408"/>
      <c r="J50" s="91">
        <v>15.0</v>
      </c>
      <c r="K50" s="92" t="s">
        <v>848</v>
      </c>
      <c r="L50" s="136"/>
      <c r="M50" s="136"/>
      <c r="N50" s="136"/>
      <c r="O50" s="136"/>
    </row>
    <row r="51">
      <c r="A51" s="144" t="s">
        <v>2204</v>
      </c>
      <c r="B51" s="8" t="s">
        <v>54</v>
      </c>
      <c r="C51" s="8" t="s">
        <v>20</v>
      </c>
      <c r="D51" s="408"/>
      <c r="E51" s="408"/>
      <c r="F51" s="91">
        <v>30.0</v>
      </c>
      <c r="G51" s="408"/>
      <c r="H51" s="408"/>
      <c r="I51" s="408"/>
      <c r="J51" s="408"/>
      <c r="K51" s="92" t="s">
        <v>329</v>
      </c>
      <c r="L51" s="136"/>
      <c r="M51" s="136"/>
      <c r="N51" s="80"/>
      <c r="O51" s="80"/>
    </row>
    <row r="52">
      <c r="A52" s="52" t="s">
        <v>2205</v>
      </c>
      <c r="B52" s="411"/>
      <c r="C52" s="411"/>
      <c r="D52" s="94">
        <f>D36+D37+D38</f>
        <v>60</v>
      </c>
      <c r="E52" s="411"/>
      <c r="F52" s="94">
        <f>F36+F37+F38</f>
        <v>60</v>
      </c>
      <c r="G52" s="411"/>
      <c r="H52" s="94">
        <f>H36+H37+H38</f>
        <v>60</v>
      </c>
      <c r="I52" s="411"/>
      <c r="J52" s="94">
        <f>J36+J37+J38</f>
        <v>45</v>
      </c>
      <c r="K52" s="419"/>
      <c r="L52" s="80"/>
      <c r="M52" s="80"/>
      <c r="N52" s="80"/>
      <c r="O52" s="80"/>
    </row>
    <row r="53">
      <c r="A53" s="420"/>
      <c r="B53" s="421"/>
      <c r="C53" s="421"/>
      <c r="D53" s="421"/>
      <c r="E53" s="421"/>
      <c r="F53" s="421"/>
      <c r="G53" s="421"/>
      <c r="H53" s="421"/>
      <c r="I53" s="421"/>
      <c r="J53" s="421"/>
      <c r="K53" s="422"/>
      <c r="L53" s="80"/>
      <c r="M53" s="80"/>
      <c r="N53" s="80"/>
      <c r="O53" s="80"/>
    </row>
    <row r="54">
      <c r="A54" s="424" t="s">
        <v>37</v>
      </c>
      <c r="B54" s="406"/>
      <c r="C54" s="406"/>
      <c r="D54" s="406"/>
      <c r="E54" s="406"/>
      <c r="F54" s="406"/>
      <c r="G54" s="406"/>
      <c r="H54" s="406"/>
      <c r="I54" s="406"/>
      <c r="J54" s="406"/>
      <c r="K54" s="407"/>
      <c r="L54" s="80"/>
      <c r="M54" s="80"/>
      <c r="N54" s="80"/>
      <c r="O54" s="80"/>
    </row>
    <row r="55">
      <c r="A55" s="144" t="s">
        <v>2206</v>
      </c>
      <c r="B55" s="408"/>
      <c r="C55" s="408"/>
      <c r="D55" s="408"/>
      <c r="E55" s="408"/>
      <c r="F55" s="408"/>
      <c r="G55" s="408"/>
      <c r="H55" s="408"/>
      <c r="I55" s="408"/>
      <c r="J55" s="408"/>
      <c r="K55" s="412"/>
      <c r="L55" s="80"/>
      <c r="M55" s="80"/>
      <c r="N55" s="80"/>
      <c r="O55" s="80"/>
    </row>
    <row r="56">
      <c r="A56" s="144" t="s">
        <v>2207</v>
      </c>
      <c r="B56" s="408"/>
      <c r="C56" s="408"/>
      <c r="D56" s="91">
        <v>14.0</v>
      </c>
      <c r="E56" s="408"/>
      <c r="F56" s="408"/>
      <c r="G56" s="408"/>
      <c r="H56" s="408"/>
      <c r="I56" s="408"/>
      <c r="J56" s="408"/>
      <c r="K56" s="412"/>
      <c r="L56" s="80"/>
      <c r="M56" s="80"/>
      <c r="N56" s="80"/>
      <c r="O56" s="80"/>
    </row>
    <row r="57">
      <c r="A57" s="144" t="s">
        <v>2208</v>
      </c>
      <c r="B57" s="8" t="s">
        <v>19</v>
      </c>
      <c r="C57" s="8" t="s">
        <v>12</v>
      </c>
      <c r="D57" s="408"/>
      <c r="E57" s="408"/>
      <c r="F57" s="408"/>
      <c r="G57" s="408"/>
      <c r="H57" s="408"/>
      <c r="I57" s="408"/>
      <c r="J57" s="408"/>
      <c r="K57" s="92" t="s">
        <v>249</v>
      </c>
      <c r="L57" s="136"/>
      <c r="M57" s="136"/>
      <c r="N57" s="136"/>
      <c r="O57" s="80"/>
    </row>
    <row r="58">
      <c r="A58" s="144" t="s">
        <v>2209</v>
      </c>
      <c r="B58" s="8" t="s">
        <v>19</v>
      </c>
      <c r="C58" s="8" t="s">
        <v>16</v>
      </c>
      <c r="D58" s="408"/>
      <c r="E58" s="408"/>
      <c r="F58" s="408"/>
      <c r="G58" s="408"/>
      <c r="H58" s="425"/>
      <c r="I58" s="408"/>
      <c r="J58" s="408"/>
      <c r="K58" s="92" t="s">
        <v>2210</v>
      </c>
      <c r="L58" s="136"/>
      <c r="M58" s="80"/>
      <c r="N58" s="80"/>
      <c r="O58" s="80"/>
    </row>
    <row r="59">
      <c r="A59" s="144" t="s">
        <v>2211</v>
      </c>
      <c r="B59" s="8" t="s">
        <v>19</v>
      </c>
      <c r="C59" s="8" t="s">
        <v>20</v>
      </c>
      <c r="D59" s="408"/>
      <c r="E59" s="408"/>
      <c r="F59" s="408"/>
      <c r="G59" s="408"/>
      <c r="H59" s="408"/>
      <c r="I59" s="408"/>
      <c r="J59" s="408"/>
      <c r="K59" s="92" t="s">
        <v>2212</v>
      </c>
      <c r="L59" s="136"/>
      <c r="M59" s="136"/>
      <c r="N59" s="136"/>
      <c r="O59" s="136"/>
    </row>
    <row r="60">
      <c r="A60" s="144" t="s">
        <v>2213</v>
      </c>
      <c r="B60" s="8" t="s">
        <v>19</v>
      </c>
      <c r="C60" s="8" t="s">
        <v>40</v>
      </c>
      <c r="D60" s="408"/>
      <c r="E60" s="408"/>
      <c r="F60" s="408"/>
      <c r="G60" s="408"/>
      <c r="H60" s="408"/>
      <c r="I60" s="408"/>
      <c r="J60" s="408"/>
      <c r="K60" s="92" t="s">
        <v>279</v>
      </c>
      <c r="L60" s="136"/>
      <c r="M60" s="136"/>
      <c r="N60" s="136"/>
      <c r="O60" s="136"/>
    </row>
    <row r="61">
      <c r="A61" s="144" t="s">
        <v>2214</v>
      </c>
      <c r="B61" s="408"/>
      <c r="C61" s="408"/>
      <c r="D61" s="408"/>
      <c r="E61" s="408"/>
      <c r="F61" s="408"/>
      <c r="G61" s="408"/>
      <c r="H61" s="91">
        <v>14.0</v>
      </c>
      <c r="I61" s="408"/>
      <c r="J61" s="408"/>
      <c r="K61" s="412"/>
      <c r="L61" s="80"/>
      <c r="M61" s="80"/>
      <c r="N61" s="80"/>
      <c r="O61" s="80"/>
    </row>
    <row r="62">
      <c r="A62" s="144" t="s">
        <v>2215</v>
      </c>
      <c r="B62" s="8" t="s">
        <v>19</v>
      </c>
      <c r="C62" s="8" t="s">
        <v>20</v>
      </c>
      <c r="D62" s="408"/>
      <c r="E62" s="408"/>
      <c r="F62" s="408"/>
      <c r="G62" s="408"/>
      <c r="H62" s="408"/>
      <c r="I62" s="408"/>
      <c r="J62" s="408"/>
      <c r="K62" s="92" t="s">
        <v>49</v>
      </c>
      <c r="L62" s="136"/>
      <c r="M62" s="136"/>
      <c r="N62" s="136"/>
      <c r="O62" s="80"/>
    </row>
    <row r="63">
      <c r="A63" s="144" t="s">
        <v>2216</v>
      </c>
      <c r="B63" s="8" t="s">
        <v>19</v>
      </c>
      <c r="C63" s="8" t="s">
        <v>12</v>
      </c>
      <c r="D63" s="408"/>
      <c r="E63" s="408"/>
      <c r="F63" s="408"/>
      <c r="G63" s="408"/>
      <c r="H63" s="408"/>
      <c r="I63" s="408"/>
      <c r="J63" s="408"/>
      <c r="K63" s="92" t="s">
        <v>2217</v>
      </c>
      <c r="L63" s="136"/>
      <c r="M63" s="136"/>
      <c r="N63" s="136"/>
      <c r="O63" s="136"/>
    </row>
    <row r="64">
      <c r="A64" s="144" t="s">
        <v>2218</v>
      </c>
      <c r="B64" s="8" t="s">
        <v>19</v>
      </c>
      <c r="C64" s="8" t="s">
        <v>12</v>
      </c>
      <c r="D64" s="408"/>
      <c r="E64" s="408"/>
      <c r="F64" s="408"/>
      <c r="G64" s="408"/>
      <c r="H64" s="408"/>
      <c r="I64" s="408"/>
      <c r="J64" s="408"/>
      <c r="K64" s="92" t="s">
        <v>2219</v>
      </c>
      <c r="L64" s="136"/>
      <c r="M64" s="136"/>
      <c r="N64" s="136"/>
      <c r="O64" s="136"/>
    </row>
    <row r="65">
      <c r="A65" s="144" t="s">
        <v>2220</v>
      </c>
      <c r="B65" s="8" t="s">
        <v>19</v>
      </c>
      <c r="C65" s="8" t="s">
        <v>16</v>
      </c>
      <c r="D65" s="408"/>
      <c r="E65" s="408"/>
      <c r="F65" s="408"/>
      <c r="G65" s="408"/>
      <c r="H65" s="408"/>
      <c r="I65" s="408"/>
      <c r="J65" s="408"/>
      <c r="K65" s="92" t="s">
        <v>2102</v>
      </c>
      <c r="L65" s="136"/>
      <c r="M65" s="136"/>
      <c r="N65" s="136"/>
      <c r="O65" s="136"/>
    </row>
    <row r="66">
      <c r="A66" s="144" t="s">
        <v>2221</v>
      </c>
      <c r="B66" s="408"/>
      <c r="C66" s="408"/>
      <c r="D66" s="408"/>
      <c r="E66" s="408"/>
      <c r="F66" s="408"/>
      <c r="G66" s="408"/>
      <c r="H66" s="408"/>
      <c r="I66" s="408"/>
      <c r="J66" s="408"/>
      <c r="K66" s="412"/>
      <c r="L66" s="80"/>
      <c r="M66" s="80"/>
      <c r="N66" s="80"/>
      <c r="O66" s="80"/>
    </row>
    <row r="67">
      <c r="A67" s="144" t="s">
        <v>2207</v>
      </c>
      <c r="B67" s="408"/>
      <c r="C67" s="408"/>
      <c r="D67" s="91">
        <v>12.0</v>
      </c>
      <c r="E67" s="408"/>
      <c r="F67" s="408"/>
      <c r="G67" s="408"/>
      <c r="H67" s="408"/>
      <c r="I67" s="408"/>
      <c r="J67" s="408"/>
      <c r="K67" s="412"/>
      <c r="L67" s="80"/>
      <c r="M67" s="80"/>
      <c r="N67" s="80"/>
      <c r="O67" s="80"/>
    </row>
    <row r="68">
      <c r="A68" s="144" t="s">
        <v>2222</v>
      </c>
      <c r="B68" s="8" t="s">
        <v>15</v>
      </c>
      <c r="C68" s="8" t="s">
        <v>16</v>
      </c>
      <c r="D68" s="408"/>
      <c r="E68" s="408"/>
      <c r="F68" s="408"/>
      <c r="G68" s="408"/>
      <c r="H68" s="408"/>
      <c r="I68" s="408"/>
      <c r="J68" s="408"/>
      <c r="K68" s="92" t="s">
        <v>266</v>
      </c>
      <c r="L68" s="136"/>
      <c r="M68" s="136"/>
      <c r="N68" s="136"/>
      <c r="O68" s="136"/>
    </row>
    <row r="69">
      <c r="A69" s="144" t="s">
        <v>2223</v>
      </c>
      <c r="B69" s="8" t="s">
        <v>417</v>
      </c>
      <c r="C69" s="8" t="s">
        <v>16</v>
      </c>
      <c r="D69" s="408"/>
      <c r="E69" s="408"/>
      <c r="F69" s="408"/>
      <c r="G69" s="408"/>
      <c r="H69" s="408"/>
      <c r="I69" s="408"/>
      <c r="J69" s="408"/>
      <c r="K69" s="92" t="s">
        <v>870</v>
      </c>
      <c r="L69" s="136"/>
      <c r="M69" s="136"/>
      <c r="N69" s="136"/>
      <c r="O69" s="136"/>
    </row>
    <row r="70">
      <c r="A70" s="144" t="s">
        <v>2214</v>
      </c>
      <c r="B70" s="408"/>
      <c r="C70" s="408"/>
      <c r="D70" s="408"/>
      <c r="E70" s="408"/>
      <c r="F70" s="408"/>
      <c r="G70" s="408"/>
      <c r="H70" s="91">
        <v>12.0</v>
      </c>
      <c r="I70" s="408"/>
      <c r="J70" s="408"/>
      <c r="K70" s="418"/>
      <c r="L70" s="80"/>
      <c r="M70" s="80"/>
      <c r="N70" s="80"/>
      <c r="O70" s="80"/>
    </row>
    <row r="71">
      <c r="A71" s="144" t="s">
        <v>2224</v>
      </c>
      <c r="B71" s="8" t="s">
        <v>15</v>
      </c>
      <c r="C71" s="8" t="s">
        <v>40</v>
      </c>
      <c r="D71" s="408"/>
      <c r="E71" s="408"/>
      <c r="F71" s="408"/>
      <c r="G71" s="408"/>
      <c r="H71" s="408"/>
      <c r="I71" s="408"/>
      <c r="J71" s="408"/>
      <c r="K71" s="92" t="s">
        <v>374</v>
      </c>
      <c r="L71" s="136"/>
      <c r="M71" s="136"/>
      <c r="N71" s="136"/>
      <c r="O71" s="136"/>
    </row>
    <row r="72">
      <c r="A72" s="144" t="s">
        <v>2225</v>
      </c>
      <c r="B72" s="8" t="s">
        <v>417</v>
      </c>
      <c r="C72" s="8" t="s">
        <v>40</v>
      </c>
      <c r="D72" s="408"/>
      <c r="E72" s="408"/>
      <c r="F72" s="408"/>
      <c r="G72" s="408"/>
      <c r="H72" s="408"/>
      <c r="I72" s="408"/>
      <c r="J72" s="408"/>
      <c r="K72" s="92" t="s">
        <v>512</v>
      </c>
      <c r="L72" s="136"/>
      <c r="M72" s="136"/>
      <c r="N72" s="136"/>
      <c r="O72" s="136"/>
    </row>
    <row r="73">
      <c r="A73" s="144" t="s">
        <v>2165</v>
      </c>
      <c r="B73" s="408"/>
      <c r="C73" s="408"/>
      <c r="D73" s="408"/>
      <c r="E73" s="408"/>
      <c r="F73" s="408"/>
      <c r="G73" s="408"/>
      <c r="H73" s="408"/>
      <c r="I73" s="408"/>
      <c r="J73" s="408"/>
      <c r="K73" s="412"/>
      <c r="L73" s="80"/>
      <c r="M73" s="80"/>
      <c r="N73" s="80"/>
      <c r="O73" s="80"/>
    </row>
    <row r="74">
      <c r="A74" s="144" t="s">
        <v>2207</v>
      </c>
      <c r="B74" s="408"/>
      <c r="C74" s="408"/>
      <c r="D74" s="91">
        <v>14.0</v>
      </c>
      <c r="E74" s="408"/>
      <c r="F74" s="408"/>
      <c r="G74" s="408"/>
      <c r="H74" s="408"/>
      <c r="I74" s="408"/>
      <c r="J74" s="408"/>
      <c r="K74" s="412"/>
      <c r="L74" s="80"/>
      <c r="M74" s="80"/>
      <c r="N74" s="80"/>
      <c r="O74" s="80"/>
    </row>
    <row r="75">
      <c r="A75" s="144" t="s">
        <v>2226</v>
      </c>
      <c r="B75" s="8" t="s">
        <v>54</v>
      </c>
      <c r="C75" s="8" t="s">
        <v>16</v>
      </c>
      <c r="D75" s="408"/>
      <c r="E75" s="408"/>
      <c r="F75" s="408"/>
      <c r="G75" s="408"/>
      <c r="H75" s="408"/>
      <c r="I75" s="408"/>
      <c r="J75" s="408"/>
      <c r="K75" s="92" t="s">
        <v>422</v>
      </c>
      <c r="L75" s="136"/>
      <c r="M75" s="136"/>
      <c r="N75" s="136"/>
      <c r="O75" s="136"/>
    </row>
    <row r="76">
      <c r="A76" s="144" t="s">
        <v>2227</v>
      </c>
      <c r="B76" s="8" t="s">
        <v>54</v>
      </c>
      <c r="C76" s="8" t="s">
        <v>20</v>
      </c>
      <c r="D76" s="408"/>
      <c r="E76" s="408"/>
      <c r="F76" s="408"/>
      <c r="G76" s="408"/>
      <c r="H76" s="408"/>
      <c r="I76" s="408"/>
      <c r="J76" s="408"/>
      <c r="K76" s="92" t="s">
        <v>422</v>
      </c>
      <c r="L76" s="136"/>
      <c r="M76" s="136"/>
      <c r="N76" s="136"/>
      <c r="O76" s="136"/>
    </row>
    <row r="77">
      <c r="A77" s="144" t="s">
        <v>2214</v>
      </c>
      <c r="B77" s="408"/>
      <c r="C77" s="408"/>
      <c r="D77" s="408"/>
      <c r="E77" s="408"/>
      <c r="F77" s="408"/>
      <c r="G77" s="408"/>
      <c r="H77" s="91">
        <v>14.0</v>
      </c>
      <c r="I77" s="408"/>
      <c r="J77" s="408"/>
      <c r="K77" s="412"/>
      <c r="L77" s="80"/>
      <c r="M77" s="80"/>
      <c r="N77" s="80"/>
      <c r="O77" s="80"/>
    </row>
    <row r="78">
      <c r="A78" s="144" t="s">
        <v>2228</v>
      </c>
      <c r="B78" s="8" t="s">
        <v>54</v>
      </c>
      <c r="C78" s="8" t="s">
        <v>40</v>
      </c>
      <c r="D78" s="408"/>
      <c r="E78" s="408"/>
      <c r="F78" s="408"/>
      <c r="G78" s="408"/>
      <c r="H78" s="408"/>
      <c r="I78" s="408"/>
      <c r="J78" s="408"/>
      <c r="K78" s="92" t="s">
        <v>1554</v>
      </c>
      <c r="L78" s="80"/>
      <c r="M78" s="80"/>
      <c r="N78" s="80"/>
      <c r="O78" s="80"/>
    </row>
    <row r="79">
      <c r="A79" s="144" t="s">
        <v>2229</v>
      </c>
      <c r="B79" s="8" t="s">
        <v>54</v>
      </c>
      <c r="C79" s="8" t="s">
        <v>40</v>
      </c>
      <c r="D79" s="408"/>
      <c r="E79" s="408"/>
      <c r="F79" s="408"/>
      <c r="G79" s="408"/>
      <c r="H79" s="408"/>
      <c r="I79" s="408"/>
      <c r="J79" s="408"/>
      <c r="K79" s="92" t="s">
        <v>395</v>
      </c>
      <c r="L79" s="136"/>
      <c r="M79" s="136"/>
      <c r="N79" s="136"/>
      <c r="O79" s="136"/>
    </row>
    <row r="80">
      <c r="A80" s="52" t="s">
        <v>64</v>
      </c>
      <c r="B80" s="411"/>
      <c r="C80" s="411"/>
      <c r="D80" s="94">
        <f>sum(D55:D79)</f>
        <v>40</v>
      </c>
      <c r="E80" s="411"/>
      <c r="F80" s="94">
        <f>sum(F55:F79)</f>
        <v>0</v>
      </c>
      <c r="G80" s="411"/>
      <c r="H80" s="94">
        <f>sum(H55:H79)</f>
        <v>40</v>
      </c>
      <c r="I80" s="411"/>
      <c r="J80" s="411"/>
      <c r="K80" s="426"/>
      <c r="L80" s="80"/>
      <c r="M80" s="80"/>
      <c r="N80" s="80"/>
      <c r="O80" s="80"/>
    </row>
    <row r="81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80"/>
      <c r="M81" s="80"/>
      <c r="N81" s="80"/>
      <c r="O81" s="80"/>
    </row>
    <row r="82">
      <c r="A82" s="421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80"/>
      <c r="M82" s="80"/>
      <c r="N82" s="80"/>
      <c r="O82" s="80"/>
    </row>
    <row r="83">
      <c r="A83" s="427" t="s">
        <v>2230</v>
      </c>
      <c r="B83" s="428">
        <f>D16+D27+D52+D80+D21+D33+D24+D30</f>
        <v>353</v>
      </c>
      <c r="C83" s="421"/>
      <c r="D83" s="421"/>
      <c r="E83" s="421"/>
      <c r="F83" s="421"/>
      <c r="G83" s="421"/>
      <c r="H83" s="421"/>
      <c r="I83" s="421"/>
      <c r="J83" s="421"/>
      <c r="K83" s="421"/>
      <c r="L83" s="80"/>
      <c r="M83" s="80"/>
      <c r="N83" s="80"/>
      <c r="O83" s="80"/>
    </row>
    <row r="84">
      <c r="A84" s="429" t="s">
        <v>2231</v>
      </c>
      <c r="B84" s="115">
        <f>F16+F27+F52+F80+F21+F33+F30</f>
        <v>233</v>
      </c>
      <c r="C84" s="421"/>
      <c r="D84" s="421"/>
      <c r="E84" s="421"/>
      <c r="F84" s="421"/>
      <c r="G84" s="421"/>
      <c r="H84" s="421"/>
      <c r="I84" s="421"/>
      <c r="J84" s="421"/>
      <c r="K84" s="421"/>
      <c r="L84" s="80"/>
      <c r="M84" s="80"/>
      <c r="N84" s="80"/>
      <c r="O84" s="80"/>
    </row>
    <row r="85">
      <c r="A85" s="430" t="s">
        <v>2232</v>
      </c>
      <c r="B85" s="115">
        <f>H16+H27+H52+H80+H33+H21</f>
        <v>166</v>
      </c>
      <c r="C85" s="421"/>
      <c r="D85" s="421"/>
      <c r="E85" s="421"/>
      <c r="F85" s="421"/>
      <c r="G85" s="421"/>
      <c r="H85" s="421"/>
      <c r="I85" s="421"/>
      <c r="J85" s="421"/>
      <c r="K85" s="421"/>
      <c r="L85" s="80"/>
      <c r="M85" s="80"/>
      <c r="N85" s="80"/>
      <c r="O85" s="80"/>
    </row>
    <row r="86">
      <c r="A86" s="431"/>
      <c r="B86" s="59"/>
      <c r="C86" s="432"/>
      <c r="D86" s="59"/>
      <c r="E86" s="59"/>
      <c r="F86" s="59"/>
      <c r="G86" s="59"/>
      <c r="H86" s="59"/>
      <c r="I86" s="59"/>
      <c r="J86" s="59"/>
      <c r="K86" s="433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433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</row>
    <row r="92">
      <c r="A92" s="59"/>
      <c r="B92" s="59"/>
      <c r="C92" s="59"/>
      <c r="D92" s="432"/>
      <c r="E92" s="59"/>
      <c r="F92" s="59"/>
      <c r="G92" s="59"/>
      <c r="H92" s="59"/>
      <c r="I92" s="59"/>
      <c r="J92" s="59"/>
      <c r="K92" s="59"/>
    </row>
    <row r="93">
      <c r="A93" s="432"/>
      <c r="B93" s="432"/>
      <c r="C93" s="432"/>
      <c r="D93" s="59"/>
      <c r="E93" s="59"/>
      <c r="F93" s="59"/>
      <c r="G93" s="59"/>
      <c r="H93" s="59"/>
      <c r="I93" s="59"/>
      <c r="J93" s="59"/>
      <c r="K93" s="433"/>
    </row>
    <row r="94">
      <c r="A94" s="432"/>
      <c r="B94" s="432"/>
      <c r="C94" s="432"/>
      <c r="D94" s="59"/>
      <c r="E94" s="59"/>
      <c r="F94" s="59"/>
      <c r="G94" s="59"/>
      <c r="H94" s="59"/>
      <c r="I94" s="59"/>
      <c r="J94" s="59"/>
      <c r="K94" s="433"/>
    </row>
    <row r="95">
      <c r="A95" s="59"/>
      <c r="B95" s="59"/>
      <c r="C95" s="59"/>
      <c r="D95" s="59"/>
      <c r="E95" s="59"/>
      <c r="F95" s="59"/>
      <c r="G95" s="59"/>
      <c r="H95" s="432"/>
      <c r="I95" s="59"/>
      <c r="J95" s="59"/>
      <c r="K95" s="59"/>
    </row>
    <row r="96">
      <c r="A96" s="432"/>
      <c r="B96" s="432"/>
      <c r="C96" s="432"/>
      <c r="D96" s="59"/>
      <c r="E96" s="59"/>
      <c r="F96" s="59"/>
      <c r="G96" s="59"/>
      <c r="H96" s="59"/>
      <c r="I96" s="59"/>
      <c r="J96" s="59"/>
      <c r="K96" s="432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433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</row>
  </sheetData>
  <dataValidations>
    <dataValidation type="list" allowBlank="1" showErrorMessage="1" sqref="B3:B15 B36:B51 B57:B60 B62:B65 B68:B69 B71:B72 B75:B76 B78:B79">
      <formula1>"SSS,SS,S,AAA,AA,A,Blue,Green"</formula1>
    </dataValidation>
    <dataValidation type="list" allowBlank="1" showErrorMessage="1" sqref="C36:C51">
      <formula1>"FAME,ART,FTH,CIV,TECH"</formula1>
    </dataValidation>
    <dataValidation type="list" allowBlank="1" showErrorMessage="1" sqref="C3:C15 C57:C60 C62:C65 C68:C69 C71:C72 C75:C76 C78:C79">
      <formula1>"FAME,ART,FTH,CIV,TECH"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7.45"/>
    <col customWidth="1" min="2" max="2" width="8.09"/>
    <col customWidth="1" min="3" max="3" width="7.82"/>
    <col customWidth="1" min="4" max="4" width="8.09"/>
    <col customWidth="1" min="5" max="5" width="11.73"/>
    <col customWidth="1" min="6" max="6" width="6.09"/>
    <col customWidth="1" min="7" max="7" width="9.73"/>
    <col customWidth="1" min="8" max="8" width="7.27"/>
    <col customWidth="1" min="9" max="9" width="14.09"/>
    <col customWidth="1" min="10" max="10" width="8.82"/>
    <col customWidth="1" min="11" max="11" width="123.0"/>
    <col customWidth="1" min="12" max="26" width="8.64"/>
  </cols>
  <sheetData>
    <row r="1" ht="15.75" customHeight="1">
      <c r="A1" s="394" t="s">
        <v>0</v>
      </c>
      <c r="B1" s="395" t="s">
        <v>1</v>
      </c>
      <c r="C1" s="395" t="s">
        <v>2</v>
      </c>
      <c r="D1" s="395" t="s">
        <v>2082</v>
      </c>
      <c r="E1" s="395" t="s">
        <v>2083</v>
      </c>
      <c r="F1" s="395" t="s">
        <v>2084</v>
      </c>
      <c r="G1" s="395" t="s">
        <v>2085</v>
      </c>
      <c r="H1" s="395" t="s">
        <v>2233</v>
      </c>
      <c r="I1" s="395" t="s">
        <v>2234</v>
      </c>
      <c r="J1" s="395" t="s">
        <v>2088</v>
      </c>
      <c r="K1" s="397" t="s">
        <v>5</v>
      </c>
    </row>
    <row r="2" ht="15.75" customHeight="1">
      <c r="A2" s="398" t="s">
        <v>6</v>
      </c>
      <c r="B2" s="57"/>
      <c r="C2" s="57"/>
      <c r="D2" s="57"/>
      <c r="E2" s="57"/>
      <c r="F2" s="57"/>
      <c r="G2" s="57"/>
      <c r="H2" s="57"/>
      <c r="I2" s="57"/>
      <c r="J2" s="57"/>
      <c r="K2" s="58"/>
    </row>
    <row r="3" ht="15.75" customHeight="1">
      <c r="A3" s="399" t="s">
        <v>640</v>
      </c>
      <c r="B3" s="8" t="s">
        <v>54</v>
      </c>
      <c r="C3" s="8" t="s">
        <v>40</v>
      </c>
      <c r="D3" s="57">
        <v>22.0</v>
      </c>
      <c r="E3" s="57"/>
      <c r="F3" s="57">
        <v>22.0</v>
      </c>
      <c r="G3" s="57"/>
      <c r="H3" s="57">
        <v>22.0</v>
      </c>
      <c r="I3" s="57">
        <v>20.0</v>
      </c>
      <c r="J3" s="57"/>
      <c r="K3" s="66" t="s">
        <v>2235</v>
      </c>
    </row>
    <row r="4" ht="15.75" customHeight="1">
      <c r="A4" s="399" t="s">
        <v>2236</v>
      </c>
      <c r="B4" s="8" t="s">
        <v>8</v>
      </c>
      <c r="C4" s="8" t="s">
        <v>40</v>
      </c>
      <c r="D4" s="57">
        <v>24.0</v>
      </c>
      <c r="E4" s="57">
        <v>20.0</v>
      </c>
      <c r="F4" s="57"/>
      <c r="G4" s="57"/>
      <c r="H4" s="57"/>
      <c r="I4" s="57"/>
      <c r="J4" s="57"/>
      <c r="K4" s="66" t="s">
        <v>576</v>
      </c>
    </row>
    <row r="5" ht="15.75" customHeight="1">
      <c r="A5" s="399" t="s">
        <v>2091</v>
      </c>
      <c r="B5" s="8" t="s">
        <v>8</v>
      </c>
      <c r="C5" s="8" t="s">
        <v>16</v>
      </c>
      <c r="D5" s="57">
        <v>24.0</v>
      </c>
      <c r="E5" s="57"/>
      <c r="F5" s="57"/>
      <c r="G5" s="57"/>
      <c r="H5" s="57"/>
      <c r="I5" s="57"/>
      <c r="J5" s="57"/>
      <c r="K5" s="66" t="s">
        <v>2092</v>
      </c>
    </row>
    <row r="6" ht="15.75" customHeight="1">
      <c r="A6" s="399" t="s">
        <v>2237</v>
      </c>
      <c r="B6" s="8" t="s">
        <v>54</v>
      </c>
      <c r="C6" s="8" t="s">
        <v>40</v>
      </c>
      <c r="D6" s="57">
        <v>22.0</v>
      </c>
      <c r="E6" s="57"/>
      <c r="F6" s="57"/>
      <c r="G6" s="57"/>
      <c r="H6" s="57"/>
      <c r="I6" s="57"/>
      <c r="J6" s="57"/>
      <c r="K6" s="66" t="s">
        <v>2167</v>
      </c>
    </row>
    <row r="7" ht="15.75" customHeight="1">
      <c r="A7" s="398" t="s">
        <v>2238</v>
      </c>
      <c r="B7" s="8" t="s">
        <v>96</v>
      </c>
      <c r="C7" s="8" t="s">
        <v>12</v>
      </c>
      <c r="D7" s="57"/>
      <c r="E7" s="57"/>
      <c r="F7" s="57">
        <v>20.0</v>
      </c>
      <c r="G7" s="57">
        <v>20.0</v>
      </c>
      <c r="H7" s="57"/>
      <c r="I7" s="57"/>
      <c r="J7" s="57"/>
      <c r="K7" s="66" t="s">
        <v>363</v>
      </c>
    </row>
    <row r="8" ht="15.75" customHeight="1">
      <c r="A8" s="399" t="s">
        <v>2239</v>
      </c>
      <c r="B8" s="8" t="s">
        <v>15</v>
      </c>
      <c r="C8" s="8" t="s">
        <v>40</v>
      </c>
      <c r="D8" s="57"/>
      <c r="E8" s="57"/>
      <c r="F8" s="57"/>
      <c r="G8" s="57"/>
      <c r="H8" s="57">
        <v>18.0</v>
      </c>
      <c r="I8" s="57">
        <v>14.0</v>
      </c>
      <c r="J8" s="57"/>
      <c r="K8" s="66" t="s">
        <v>2240</v>
      </c>
    </row>
    <row r="9" ht="15.75" customHeight="1">
      <c r="A9" s="399" t="s">
        <v>2241</v>
      </c>
      <c r="B9" s="8" t="s">
        <v>15</v>
      </c>
      <c r="C9" s="8" t="s">
        <v>12</v>
      </c>
      <c r="D9" s="57">
        <v>18.0</v>
      </c>
      <c r="E9" s="57">
        <v>14.0</v>
      </c>
      <c r="F9" s="57">
        <v>18.0</v>
      </c>
      <c r="G9" s="57"/>
      <c r="H9" s="57"/>
      <c r="I9" s="57"/>
      <c r="J9" s="57"/>
      <c r="K9" s="66" t="s">
        <v>139</v>
      </c>
    </row>
    <row r="10" ht="15.75" customHeight="1">
      <c r="A10" s="399" t="s">
        <v>140</v>
      </c>
      <c r="B10" s="8" t="s">
        <v>15</v>
      </c>
      <c r="C10" s="8" t="s">
        <v>40</v>
      </c>
      <c r="D10" s="57"/>
      <c r="E10" s="57"/>
      <c r="F10" s="57"/>
      <c r="G10" s="57"/>
      <c r="H10" s="57">
        <v>16.0</v>
      </c>
      <c r="I10" s="57"/>
      <c r="J10" s="57"/>
      <c r="K10" s="66" t="s">
        <v>142</v>
      </c>
    </row>
    <row r="11" ht="15.75" customHeight="1">
      <c r="A11" s="399" t="s">
        <v>2242</v>
      </c>
      <c r="B11" s="8" t="s">
        <v>15</v>
      </c>
      <c r="C11" s="8" t="s">
        <v>40</v>
      </c>
      <c r="D11" s="57"/>
      <c r="E11" s="57">
        <v>15.0</v>
      </c>
      <c r="F11" s="57">
        <v>15.0</v>
      </c>
      <c r="G11" s="57"/>
      <c r="H11" s="57"/>
      <c r="I11" s="57"/>
      <c r="J11" s="57"/>
      <c r="K11" s="66" t="s">
        <v>144</v>
      </c>
    </row>
    <row r="12" ht="15.75" customHeight="1">
      <c r="A12" s="399" t="s">
        <v>2101</v>
      </c>
      <c r="B12" s="8" t="s">
        <v>15</v>
      </c>
      <c r="C12" s="8" t="s">
        <v>16</v>
      </c>
      <c r="D12" s="57">
        <v>5.0</v>
      </c>
      <c r="E12" s="65">
        <v>5.0</v>
      </c>
      <c r="F12" s="57"/>
      <c r="G12" s="57"/>
      <c r="H12" s="57"/>
      <c r="I12" s="65"/>
      <c r="J12" s="57"/>
      <c r="K12" s="400" t="s">
        <v>798</v>
      </c>
    </row>
    <row r="13" ht="15.75" customHeight="1">
      <c r="A13" s="399" t="s">
        <v>2243</v>
      </c>
      <c r="B13" s="8" t="s">
        <v>19</v>
      </c>
      <c r="C13" s="8" t="s">
        <v>16</v>
      </c>
      <c r="D13" s="57">
        <v>10.0</v>
      </c>
      <c r="E13" s="57">
        <v>10.0</v>
      </c>
      <c r="F13" s="57"/>
      <c r="G13" s="57"/>
      <c r="H13" s="57"/>
      <c r="I13" s="57"/>
      <c r="J13" s="57"/>
      <c r="K13" s="66" t="s">
        <v>2244</v>
      </c>
    </row>
    <row r="14" ht="15.75" customHeight="1">
      <c r="A14" s="398" t="s">
        <v>613</v>
      </c>
      <c r="B14" s="8" t="s">
        <v>19</v>
      </c>
      <c r="C14" s="8" t="s">
        <v>16</v>
      </c>
      <c r="D14" s="57"/>
      <c r="E14" s="57"/>
      <c r="F14" s="57">
        <v>10.0</v>
      </c>
      <c r="G14" s="57">
        <v>10.0</v>
      </c>
      <c r="H14" s="57"/>
      <c r="I14" s="57"/>
      <c r="J14" s="57"/>
      <c r="K14" s="66" t="s">
        <v>2245</v>
      </c>
    </row>
    <row r="15" ht="15.75" customHeight="1">
      <c r="A15" s="401" t="s">
        <v>2246</v>
      </c>
      <c r="B15" s="8" t="s">
        <v>23</v>
      </c>
      <c r="C15" s="8" t="s">
        <v>16</v>
      </c>
      <c r="D15" s="65"/>
      <c r="E15" s="57"/>
      <c r="F15" s="57"/>
      <c r="G15" s="57"/>
      <c r="H15" s="65">
        <v>6.0</v>
      </c>
      <c r="I15" s="57"/>
      <c r="J15" s="57"/>
      <c r="K15" s="66" t="s">
        <v>2247</v>
      </c>
    </row>
    <row r="16" ht="15.75" customHeight="1">
      <c r="A16" s="401" t="s">
        <v>2248</v>
      </c>
      <c r="B16" s="8" t="s">
        <v>23</v>
      </c>
      <c r="C16" s="8" t="s">
        <v>40</v>
      </c>
      <c r="D16" s="65">
        <v>6.0</v>
      </c>
      <c r="E16" s="57"/>
      <c r="F16" s="57"/>
      <c r="G16" s="57"/>
      <c r="H16" s="57"/>
      <c r="I16" s="57"/>
      <c r="J16" s="57"/>
      <c r="K16" s="66" t="s">
        <v>2249</v>
      </c>
    </row>
    <row r="17" ht="15.75" customHeight="1">
      <c r="A17" s="399" t="s">
        <v>2250</v>
      </c>
      <c r="B17" s="8" t="s">
        <v>23</v>
      </c>
      <c r="C17" s="8" t="s">
        <v>40</v>
      </c>
      <c r="D17" s="57">
        <v>6.0</v>
      </c>
      <c r="E17" s="57"/>
      <c r="F17" s="57"/>
      <c r="G17" s="57"/>
      <c r="H17" s="57"/>
      <c r="I17" s="57"/>
      <c r="J17" s="57"/>
      <c r="K17" s="400" t="s">
        <v>2251</v>
      </c>
    </row>
    <row r="18" ht="15.75" customHeight="1">
      <c r="A18" s="402" t="s">
        <v>27</v>
      </c>
      <c r="B18" s="60"/>
      <c r="C18" s="60"/>
      <c r="D18" s="60">
        <f>SUM(D4:E17)</f>
        <v>179</v>
      </c>
      <c r="E18" s="60"/>
      <c r="F18" s="60">
        <f>SUM(F4:G17)</f>
        <v>93</v>
      </c>
      <c r="G18" s="60"/>
      <c r="H18" s="60">
        <f>SUM(H4:I17)</f>
        <v>54</v>
      </c>
      <c r="I18" s="60"/>
      <c r="J18" s="60"/>
      <c r="K18" s="403"/>
    </row>
    <row r="19" ht="15.75" customHeight="1">
      <c r="A19" s="62"/>
      <c r="B19" s="59"/>
      <c r="C19" s="59"/>
      <c r="D19" s="59"/>
      <c r="E19" s="59"/>
      <c r="F19" s="59"/>
      <c r="G19" s="59"/>
      <c r="H19" s="59"/>
      <c r="I19" s="59"/>
      <c r="J19" s="59"/>
      <c r="K19" s="404"/>
    </row>
    <row r="20" ht="15.75" customHeight="1">
      <c r="A20" s="394" t="s">
        <v>212</v>
      </c>
      <c r="B20" s="395"/>
      <c r="C20" s="395"/>
      <c r="D20" s="395"/>
      <c r="E20" s="395"/>
      <c r="F20" s="395"/>
      <c r="G20" s="395"/>
      <c r="H20" s="395"/>
      <c r="I20" s="395"/>
      <c r="J20" s="395"/>
      <c r="K20" s="405"/>
    </row>
    <row r="21" ht="15.75" customHeight="1">
      <c r="A21" s="402" t="s">
        <v>2252</v>
      </c>
      <c r="B21" s="60"/>
      <c r="C21" s="60"/>
      <c r="D21" s="60">
        <v>30.0</v>
      </c>
      <c r="E21" s="60"/>
      <c r="F21" s="60"/>
      <c r="G21" s="60"/>
      <c r="H21" s="60"/>
      <c r="I21" s="60"/>
      <c r="J21" s="60"/>
      <c r="K21" s="403" t="s">
        <v>30</v>
      </c>
    </row>
    <row r="22" ht="15.75" customHeight="1">
      <c r="A22" s="398"/>
      <c r="B22" s="57"/>
      <c r="C22" s="57"/>
      <c r="D22" s="57"/>
      <c r="E22" s="57"/>
      <c r="F22" s="57"/>
      <c r="G22" s="57"/>
      <c r="H22" s="57"/>
      <c r="I22" s="57"/>
      <c r="J22" s="57"/>
      <c r="K22" s="400"/>
    </row>
    <row r="23" ht="15.75" customHeight="1">
      <c r="A23" s="148" t="s">
        <v>226</v>
      </c>
      <c r="B23" s="406"/>
      <c r="C23" s="406"/>
      <c r="D23" s="406"/>
      <c r="E23" s="406"/>
      <c r="F23" s="406"/>
      <c r="G23" s="406"/>
      <c r="H23" s="406"/>
      <c r="I23" s="406"/>
      <c r="J23" s="406"/>
      <c r="K23" s="407"/>
    </row>
    <row r="24" ht="15.75" customHeight="1">
      <c r="A24" s="52" t="s">
        <v>2253</v>
      </c>
      <c r="B24" s="411"/>
      <c r="C24" s="411"/>
      <c r="D24" s="96">
        <v>25.0</v>
      </c>
      <c r="E24" s="411"/>
      <c r="F24" s="96">
        <v>25.0</v>
      </c>
      <c r="G24" s="411"/>
      <c r="H24" s="411"/>
      <c r="I24" s="411"/>
      <c r="J24" s="411"/>
      <c r="K24" s="95" t="s">
        <v>2254</v>
      </c>
    </row>
    <row r="25" ht="15.75" customHeight="1">
      <c r="A25" s="398"/>
      <c r="B25" s="57"/>
      <c r="C25" s="57"/>
      <c r="D25" s="57"/>
      <c r="E25" s="57"/>
      <c r="F25" s="57"/>
      <c r="G25" s="57"/>
      <c r="H25" s="57"/>
      <c r="I25" s="57"/>
      <c r="J25" s="57"/>
      <c r="K25" s="400"/>
    </row>
    <row r="26" ht="15.75" customHeight="1">
      <c r="A26" s="413" t="s">
        <v>2122</v>
      </c>
      <c r="B26" s="395"/>
      <c r="C26" s="395"/>
      <c r="D26" s="395"/>
      <c r="E26" s="395"/>
      <c r="F26" s="395"/>
      <c r="G26" s="395"/>
      <c r="H26" s="395"/>
      <c r="I26" s="395"/>
      <c r="J26" s="395"/>
      <c r="K26" s="405"/>
    </row>
    <row r="27" ht="15.75" customHeight="1">
      <c r="A27" s="409" t="s">
        <v>2255</v>
      </c>
      <c r="B27" s="60"/>
      <c r="C27" s="60"/>
      <c r="D27" s="410">
        <v>3.0</v>
      </c>
      <c r="E27" s="60"/>
      <c r="F27" s="60"/>
      <c r="G27" s="60"/>
      <c r="H27" s="60"/>
      <c r="I27" s="60"/>
      <c r="J27" s="60"/>
      <c r="K27" s="414" t="s">
        <v>2124</v>
      </c>
    </row>
    <row r="28" ht="15.75" customHeight="1">
      <c r="A28" s="398"/>
      <c r="B28" s="57"/>
      <c r="C28" s="57"/>
      <c r="D28" s="57"/>
      <c r="E28" s="57"/>
      <c r="F28" s="57"/>
      <c r="G28" s="57"/>
      <c r="H28" s="57"/>
      <c r="I28" s="57"/>
      <c r="J28" s="57"/>
      <c r="K28" s="400"/>
    </row>
    <row r="29" ht="15.75" customHeight="1">
      <c r="A29" s="394" t="s">
        <v>31</v>
      </c>
      <c r="B29" s="395"/>
      <c r="C29" s="395"/>
      <c r="D29" s="395"/>
      <c r="E29" s="395"/>
      <c r="F29" s="395"/>
      <c r="G29" s="395"/>
      <c r="H29" s="395"/>
      <c r="I29" s="395"/>
      <c r="J29" s="395"/>
      <c r="K29" s="405"/>
    </row>
    <row r="30" ht="15.75" customHeight="1">
      <c r="A30" s="402" t="s">
        <v>2256</v>
      </c>
      <c r="B30" s="60"/>
      <c r="C30" s="60"/>
      <c r="D30" s="60">
        <v>10.0</v>
      </c>
      <c r="E30" s="60"/>
      <c r="F30" s="60"/>
      <c r="G30" s="60"/>
      <c r="H30" s="60"/>
      <c r="I30" s="60"/>
      <c r="J30" s="60"/>
      <c r="K30" s="403"/>
    </row>
    <row r="31" ht="15.75" customHeight="1">
      <c r="A31" s="398"/>
      <c r="B31" s="57"/>
      <c r="C31" s="57"/>
      <c r="D31" s="57"/>
      <c r="E31" s="57"/>
      <c r="F31" s="57"/>
      <c r="G31" s="57"/>
      <c r="H31" s="57"/>
      <c r="I31" s="57"/>
      <c r="J31" s="57"/>
      <c r="K31" s="400"/>
    </row>
    <row r="32" ht="15.75" customHeight="1">
      <c r="A32" s="148" t="s">
        <v>2117</v>
      </c>
      <c r="B32" s="406"/>
      <c r="C32" s="406"/>
      <c r="D32" s="406"/>
      <c r="E32" s="406"/>
      <c r="F32" s="406"/>
      <c r="G32" s="406"/>
      <c r="H32" s="406"/>
      <c r="I32" s="406"/>
      <c r="J32" s="406"/>
      <c r="K32" s="407"/>
    </row>
    <row r="33" ht="15.75" customHeight="1">
      <c r="A33" s="52" t="s">
        <v>2118</v>
      </c>
      <c r="B33" s="411"/>
      <c r="C33" s="411"/>
      <c r="D33" s="96">
        <v>12.0</v>
      </c>
      <c r="E33" s="411"/>
      <c r="F33" s="411"/>
      <c r="G33" s="411"/>
      <c r="H33" s="411"/>
      <c r="I33" s="411"/>
      <c r="J33" s="411"/>
      <c r="K33" s="95" t="s">
        <v>2119</v>
      </c>
    </row>
    <row r="34" ht="15.75" customHeight="1">
      <c r="A34" s="144"/>
      <c r="B34" s="408"/>
      <c r="C34" s="408"/>
      <c r="D34" s="408"/>
      <c r="E34" s="408"/>
      <c r="F34" s="408"/>
      <c r="G34" s="408"/>
      <c r="H34" s="408"/>
      <c r="I34" s="408"/>
      <c r="J34" s="408"/>
      <c r="K34" s="412"/>
    </row>
    <row r="35" ht="15.75" customHeight="1">
      <c r="A35" s="394" t="s">
        <v>2112</v>
      </c>
      <c r="B35" s="395"/>
      <c r="C35" s="395"/>
      <c r="D35" s="395"/>
      <c r="E35" s="395"/>
      <c r="F35" s="395"/>
      <c r="G35" s="395"/>
      <c r="H35" s="395"/>
      <c r="I35" s="395"/>
      <c r="J35" s="395"/>
      <c r="K35" s="405"/>
    </row>
    <row r="36" ht="15.75" customHeight="1">
      <c r="A36" s="64" t="s">
        <v>479</v>
      </c>
      <c r="B36" s="57"/>
      <c r="C36" s="57"/>
      <c r="D36" s="65">
        <v>20.0</v>
      </c>
      <c r="E36" s="57"/>
      <c r="F36" s="65">
        <v>20.0</v>
      </c>
      <c r="G36" s="57"/>
      <c r="H36" s="57"/>
      <c r="I36" s="57"/>
      <c r="J36" s="57"/>
      <c r="K36" s="66" t="s">
        <v>2115</v>
      </c>
    </row>
    <row r="37" ht="15.75" customHeight="1">
      <c r="A37" s="64" t="s">
        <v>2113</v>
      </c>
      <c r="B37" s="57"/>
      <c r="C37" s="57"/>
      <c r="D37" s="65">
        <v>10.0</v>
      </c>
      <c r="E37" s="57"/>
      <c r="F37" s="65">
        <v>10.0</v>
      </c>
      <c r="G37" s="57"/>
      <c r="H37" s="57"/>
      <c r="I37" s="57"/>
      <c r="J37" s="57"/>
      <c r="K37" s="66" t="s">
        <v>2114</v>
      </c>
    </row>
    <row r="38" ht="15.75" customHeight="1">
      <c r="A38" s="398" t="s">
        <v>2257</v>
      </c>
      <c r="B38" s="57"/>
      <c r="C38" s="57"/>
      <c r="D38" s="57">
        <v>30.0</v>
      </c>
      <c r="E38" s="57"/>
      <c r="F38" s="57"/>
      <c r="G38" s="57"/>
      <c r="H38" s="57"/>
      <c r="I38" s="57"/>
      <c r="J38" s="57"/>
      <c r="K38" s="400" t="s">
        <v>30</v>
      </c>
    </row>
    <row r="39" ht="15.75" customHeight="1">
      <c r="A39" s="409" t="s">
        <v>2116</v>
      </c>
      <c r="B39" s="60"/>
      <c r="C39" s="60"/>
      <c r="D39" s="60">
        <f>sum(D36:D38)</f>
        <v>60</v>
      </c>
      <c r="E39" s="60"/>
      <c r="F39" s="60">
        <f>sum(F36:F38)</f>
        <v>30</v>
      </c>
      <c r="G39" s="60"/>
      <c r="H39" s="60">
        <f>sum(H36:H38)</f>
        <v>0</v>
      </c>
      <c r="I39" s="60"/>
      <c r="J39" s="60"/>
      <c r="K39" s="403"/>
    </row>
    <row r="40" ht="15.75" customHeight="1">
      <c r="A40" s="398"/>
      <c r="B40" s="57"/>
      <c r="C40" s="57"/>
      <c r="D40" s="57"/>
      <c r="E40" s="57"/>
      <c r="F40" s="57"/>
      <c r="G40" s="57"/>
      <c r="H40" s="57"/>
      <c r="I40" s="57"/>
      <c r="J40" s="57"/>
      <c r="K40" s="400"/>
    </row>
    <row r="41" ht="15.75" customHeight="1">
      <c r="A41" s="413" t="s">
        <v>35</v>
      </c>
      <c r="B41" s="395"/>
      <c r="C41" s="395"/>
      <c r="D41" s="395"/>
      <c r="E41" s="395"/>
      <c r="F41" s="395"/>
      <c r="G41" s="395"/>
      <c r="H41" s="395"/>
      <c r="I41" s="395"/>
      <c r="J41" s="395"/>
      <c r="K41" s="405"/>
    </row>
    <row r="42" ht="15.75" customHeight="1">
      <c r="A42" s="409" t="s">
        <v>482</v>
      </c>
      <c r="B42" s="60"/>
      <c r="C42" s="60"/>
      <c r="D42" s="410">
        <v>10.0</v>
      </c>
      <c r="E42" s="60"/>
      <c r="F42" s="410">
        <v>10.0</v>
      </c>
      <c r="G42" s="60"/>
      <c r="H42" s="60"/>
      <c r="I42" s="60"/>
      <c r="J42" s="60"/>
      <c r="K42" s="414" t="s">
        <v>2125</v>
      </c>
    </row>
    <row r="43" ht="15.75" customHeight="1">
      <c r="A43" s="398"/>
      <c r="B43" s="57"/>
      <c r="C43" s="57"/>
      <c r="D43" s="57"/>
      <c r="E43" s="57"/>
      <c r="F43" s="57"/>
      <c r="G43" s="57"/>
      <c r="H43" s="57"/>
      <c r="I43" s="57"/>
      <c r="J43" s="57"/>
      <c r="K43" s="400"/>
    </row>
    <row r="44" ht="15.75" customHeight="1">
      <c r="A44" s="413" t="s">
        <v>2126</v>
      </c>
      <c r="B44" s="395"/>
      <c r="C44" s="395"/>
      <c r="D44" s="395"/>
      <c r="E44" s="395"/>
      <c r="F44" s="395"/>
      <c r="G44" s="395"/>
      <c r="H44" s="395"/>
      <c r="I44" s="395"/>
      <c r="J44" s="395"/>
      <c r="K44" s="405"/>
    </row>
    <row r="45" ht="15.75" customHeight="1">
      <c r="A45" s="409" t="s">
        <v>2127</v>
      </c>
      <c r="B45" s="60"/>
      <c r="C45" s="60"/>
      <c r="D45" s="410">
        <v>20.0</v>
      </c>
      <c r="E45" s="60"/>
      <c r="F45" s="410">
        <v>40.0</v>
      </c>
      <c r="G45" s="60"/>
      <c r="H45" s="60"/>
      <c r="I45" s="60"/>
      <c r="J45" s="60"/>
      <c r="K45" s="403"/>
    </row>
    <row r="46" ht="15.75" customHeight="1">
      <c r="A46" s="62"/>
      <c r="B46" s="59"/>
      <c r="C46" s="59"/>
      <c r="D46" s="59"/>
      <c r="E46" s="59"/>
      <c r="F46" s="59"/>
      <c r="G46" s="59"/>
      <c r="H46" s="59"/>
      <c r="I46" s="59"/>
      <c r="J46" s="59"/>
      <c r="K46" s="404"/>
    </row>
    <row r="47" ht="15.75" customHeight="1">
      <c r="A47" s="394" t="s">
        <v>2128</v>
      </c>
      <c r="B47" s="395"/>
      <c r="C47" s="395"/>
      <c r="D47" s="395"/>
      <c r="E47" s="395"/>
      <c r="F47" s="395"/>
      <c r="G47" s="395"/>
      <c r="H47" s="395"/>
      <c r="I47" s="395"/>
      <c r="J47" s="395"/>
      <c r="K47" s="405"/>
    </row>
    <row r="48" ht="15.75" customHeight="1">
      <c r="A48" s="399" t="s">
        <v>2258</v>
      </c>
      <c r="B48" s="8" t="s">
        <v>8</v>
      </c>
      <c r="C48" s="8" t="s">
        <v>40</v>
      </c>
      <c r="D48" s="57">
        <v>30.0</v>
      </c>
      <c r="E48" s="57"/>
      <c r="F48" s="57"/>
      <c r="G48" s="57"/>
      <c r="H48" s="57">
        <v>30.0</v>
      </c>
      <c r="I48" s="57"/>
      <c r="J48" s="57">
        <v>15.0</v>
      </c>
      <c r="K48" s="66" t="s">
        <v>2259</v>
      </c>
    </row>
    <row r="49" ht="15.75" customHeight="1">
      <c r="A49" s="399" t="s">
        <v>2260</v>
      </c>
      <c r="B49" s="8" t="s">
        <v>8</v>
      </c>
      <c r="C49" s="8" t="s">
        <v>40</v>
      </c>
      <c r="D49" s="57">
        <v>30.0</v>
      </c>
      <c r="E49" s="57"/>
      <c r="F49" s="57">
        <v>30.0</v>
      </c>
      <c r="G49" s="57"/>
      <c r="H49" s="57"/>
      <c r="I49" s="57"/>
      <c r="J49" s="57">
        <v>15.0</v>
      </c>
      <c r="K49" s="400" t="s">
        <v>1279</v>
      </c>
    </row>
    <row r="50" ht="15.75" customHeight="1">
      <c r="A50" s="399" t="s">
        <v>370</v>
      </c>
      <c r="B50" s="8" t="s">
        <v>54</v>
      </c>
      <c r="C50" s="8" t="s">
        <v>40</v>
      </c>
      <c r="D50" s="57">
        <v>30.0</v>
      </c>
      <c r="E50" s="57"/>
      <c r="F50" s="57"/>
      <c r="G50" s="57"/>
      <c r="H50" s="57"/>
      <c r="I50" s="57"/>
      <c r="J50" s="57">
        <v>15.0</v>
      </c>
      <c r="K50" s="66" t="s">
        <v>371</v>
      </c>
    </row>
    <row r="51" ht="15.75" customHeight="1">
      <c r="A51" s="398" t="s">
        <v>2261</v>
      </c>
      <c r="B51" s="8" t="s">
        <v>8</v>
      </c>
      <c r="C51" s="8" t="s">
        <v>40</v>
      </c>
      <c r="D51" s="57">
        <v>30.0</v>
      </c>
      <c r="E51" s="57"/>
      <c r="F51" s="57">
        <v>30.0</v>
      </c>
      <c r="G51" s="57"/>
      <c r="H51" s="57">
        <v>30.0</v>
      </c>
      <c r="I51" s="57"/>
      <c r="J51" s="57"/>
      <c r="K51" s="66" t="s">
        <v>2262</v>
      </c>
    </row>
    <row r="52" ht="15.75" customHeight="1">
      <c r="A52" s="398" t="s">
        <v>2263</v>
      </c>
      <c r="B52" s="8" t="s">
        <v>54</v>
      </c>
      <c r="C52" s="8" t="s">
        <v>40</v>
      </c>
      <c r="D52" s="57">
        <v>30.0</v>
      </c>
      <c r="E52" s="57"/>
      <c r="F52" s="57"/>
      <c r="G52" s="57"/>
      <c r="H52" s="57">
        <v>30.0</v>
      </c>
      <c r="I52" s="57"/>
      <c r="J52" s="57"/>
      <c r="K52" s="66" t="s">
        <v>1554</v>
      </c>
    </row>
    <row r="53" ht="15.75" customHeight="1">
      <c r="A53" s="398" t="s">
        <v>640</v>
      </c>
      <c r="B53" s="8" t="s">
        <v>54</v>
      </c>
      <c r="C53" s="8" t="s">
        <v>40</v>
      </c>
      <c r="D53" s="57"/>
      <c r="E53" s="57"/>
      <c r="F53" s="57"/>
      <c r="G53" s="57"/>
      <c r="H53" s="57">
        <v>30.0</v>
      </c>
      <c r="I53" s="57"/>
      <c r="J53" s="57"/>
      <c r="K53" s="66" t="s">
        <v>2235</v>
      </c>
    </row>
    <row r="54" ht="15.75" customHeight="1">
      <c r="A54" s="398" t="s">
        <v>464</v>
      </c>
      <c r="B54" s="8" t="s">
        <v>54</v>
      </c>
      <c r="C54" s="8" t="s">
        <v>40</v>
      </c>
      <c r="D54" s="57"/>
      <c r="E54" s="57"/>
      <c r="F54" s="57">
        <v>30.0</v>
      </c>
      <c r="G54" s="57"/>
      <c r="H54" s="57">
        <v>30.0</v>
      </c>
      <c r="I54" s="57"/>
      <c r="J54" s="57"/>
      <c r="K54" s="66" t="s">
        <v>117</v>
      </c>
    </row>
    <row r="55" ht="15.75" customHeight="1">
      <c r="A55" s="398" t="s">
        <v>2264</v>
      </c>
      <c r="B55" s="8" t="s">
        <v>96</v>
      </c>
      <c r="C55" s="8" t="s">
        <v>40</v>
      </c>
      <c r="D55" s="57">
        <v>30.0</v>
      </c>
      <c r="E55" s="57"/>
      <c r="F55" s="57"/>
      <c r="G55" s="57"/>
      <c r="H55" s="57"/>
      <c r="I55" s="57"/>
      <c r="J55" s="57"/>
      <c r="K55" s="400" t="s">
        <v>2265</v>
      </c>
    </row>
    <row r="56" ht="15.75" customHeight="1">
      <c r="A56" s="398" t="s">
        <v>2266</v>
      </c>
      <c r="B56" s="8" t="s">
        <v>96</v>
      </c>
      <c r="C56" s="8" t="s">
        <v>40</v>
      </c>
      <c r="D56" s="57"/>
      <c r="E56" s="57"/>
      <c r="F56" s="57"/>
      <c r="G56" s="57"/>
      <c r="H56" s="57"/>
      <c r="I56" s="57"/>
      <c r="J56" s="57">
        <v>15.0</v>
      </c>
      <c r="K56" s="66" t="s">
        <v>848</v>
      </c>
    </row>
    <row r="57" ht="15.75" customHeight="1">
      <c r="A57" s="398" t="s">
        <v>335</v>
      </c>
      <c r="B57" s="8" t="s">
        <v>96</v>
      </c>
      <c r="C57" s="8" t="s">
        <v>40</v>
      </c>
      <c r="D57" s="57"/>
      <c r="E57" s="57"/>
      <c r="F57" s="57"/>
      <c r="G57" s="57"/>
      <c r="H57" s="57"/>
      <c r="I57" s="57"/>
      <c r="J57" s="57">
        <v>15.0</v>
      </c>
      <c r="K57" s="66" t="s">
        <v>336</v>
      </c>
    </row>
    <row r="58" ht="15.75" customHeight="1">
      <c r="A58" s="64" t="s">
        <v>2267</v>
      </c>
      <c r="B58" s="8" t="s">
        <v>54</v>
      </c>
      <c r="C58" s="8" t="s">
        <v>40</v>
      </c>
      <c r="D58" s="57"/>
      <c r="E58" s="57"/>
      <c r="F58" s="57"/>
      <c r="G58" s="57"/>
      <c r="H58" s="65">
        <v>30.0</v>
      </c>
      <c r="I58" s="57"/>
      <c r="J58" s="57"/>
      <c r="K58" s="108" t="s">
        <v>606</v>
      </c>
    </row>
    <row r="59" ht="15.75" customHeight="1">
      <c r="A59" s="64" t="s">
        <v>2268</v>
      </c>
      <c r="B59" s="8" t="s">
        <v>96</v>
      </c>
      <c r="C59" s="8" t="s">
        <v>40</v>
      </c>
      <c r="D59" s="57"/>
      <c r="E59" s="57"/>
      <c r="F59" s="57"/>
      <c r="G59" s="57"/>
      <c r="H59" s="65">
        <v>30.0</v>
      </c>
      <c r="I59" s="57"/>
      <c r="J59" s="57"/>
      <c r="K59" s="108" t="s">
        <v>560</v>
      </c>
    </row>
    <row r="60" ht="15.75" customHeight="1">
      <c r="A60" s="398" t="s">
        <v>2237</v>
      </c>
      <c r="B60" s="8" t="s">
        <v>54</v>
      </c>
      <c r="C60" s="8" t="s">
        <v>40</v>
      </c>
      <c r="D60" s="57"/>
      <c r="E60" s="57"/>
      <c r="F60" s="57">
        <v>30.0</v>
      </c>
      <c r="G60" s="57"/>
      <c r="H60" s="57"/>
      <c r="I60" s="57"/>
      <c r="J60" s="57"/>
      <c r="K60" s="66" t="s">
        <v>2167</v>
      </c>
    </row>
    <row r="61" ht="15.75" customHeight="1">
      <c r="A61" s="398" t="s">
        <v>2269</v>
      </c>
      <c r="B61" s="8" t="s">
        <v>54</v>
      </c>
      <c r="C61" s="8" t="s">
        <v>12</v>
      </c>
      <c r="D61" s="57"/>
      <c r="E61" s="57"/>
      <c r="F61" s="57"/>
      <c r="G61" s="57"/>
      <c r="H61" s="57"/>
      <c r="I61" s="57"/>
      <c r="J61" s="57">
        <v>15.0</v>
      </c>
      <c r="K61" s="66" t="s">
        <v>774</v>
      </c>
    </row>
    <row r="62" ht="15.75" customHeight="1">
      <c r="A62" s="398" t="s">
        <v>2270</v>
      </c>
      <c r="B62" s="8" t="s">
        <v>54</v>
      </c>
      <c r="C62" s="8" t="s">
        <v>16</v>
      </c>
      <c r="D62" s="57"/>
      <c r="E62" s="57"/>
      <c r="F62" s="57"/>
      <c r="G62" s="57"/>
      <c r="H62" s="57"/>
      <c r="I62" s="57"/>
      <c r="J62" s="57">
        <v>15.0</v>
      </c>
      <c r="K62" s="66" t="s">
        <v>915</v>
      </c>
    </row>
    <row r="63" ht="15.75" customHeight="1">
      <c r="A63" s="398" t="s">
        <v>101</v>
      </c>
      <c r="B63" s="8" t="s">
        <v>54</v>
      </c>
      <c r="C63" s="8" t="s">
        <v>20</v>
      </c>
      <c r="D63" s="57"/>
      <c r="E63" s="57"/>
      <c r="F63" s="57"/>
      <c r="G63" s="57"/>
      <c r="H63" s="57"/>
      <c r="I63" s="57"/>
      <c r="J63" s="57">
        <v>15.0</v>
      </c>
      <c r="K63" s="66" t="s">
        <v>102</v>
      </c>
    </row>
    <row r="64" ht="15.75" customHeight="1">
      <c r="A64" s="398" t="s">
        <v>151</v>
      </c>
      <c r="B64" s="8" t="s">
        <v>54</v>
      </c>
      <c r="C64" s="415" t="s">
        <v>9</v>
      </c>
      <c r="D64" s="57"/>
      <c r="E64" s="57"/>
      <c r="F64" s="57">
        <v>30.0</v>
      </c>
      <c r="G64" s="57"/>
      <c r="H64" s="57"/>
      <c r="I64" s="57"/>
      <c r="J64" s="57"/>
      <c r="K64" s="400" t="s">
        <v>152</v>
      </c>
    </row>
    <row r="65" ht="15.75" customHeight="1">
      <c r="A65" s="398" t="s">
        <v>2271</v>
      </c>
      <c r="B65" s="8" t="s">
        <v>96</v>
      </c>
      <c r="C65" s="8" t="s">
        <v>16</v>
      </c>
      <c r="D65" s="57"/>
      <c r="E65" s="57"/>
      <c r="F65" s="57">
        <v>30.0</v>
      </c>
      <c r="G65" s="57"/>
      <c r="H65" s="57"/>
      <c r="I65" s="57"/>
      <c r="J65" s="57"/>
      <c r="K65" s="66" t="s">
        <v>819</v>
      </c>
    </row>
    <row r="66" ht="15.75" customHeight="1">
      <c r="A66" s="398" t="s">
        <v>2238</v>
      </c>
      <c r="B66" s="8" t="s">
        <v>96</v>
      </c>
      <c r="C66" s="8" t="s">
        <v>12</v>
      </c>
      <c r="D66" s="57"/>
      <c r="E66" s="57"/>
      <c r="F66" s="57">
        <v>30.0</v>
      </c>
      <c r="G66" s="57"/>
      <c r="H66" s="57"/>
      <c r="I66" s="57"/>
      <c r="J66" s="57"/>
      <c r="K66" s="66" t="s">
        <v>363</v>
      </c>
    </row>
    <row r="67" ht="15.75" customHeight="1">
      <c r="A67" s="409" t="s">
        <v>2272</v>
      </c>
      <c r="B67" s="60"/>
      <c r="C67" s="60"/>
      <c r="D67" s="60">
        <f>D50+D48+D49</f>
        <v>90</v>
      </c>
      <c r="E67" s="60"/>
      <c r="F67" s="60">
        <f>F50+F48+F49</f>
        <v>30</v>
      </c>
      <c r="G67" s="60"/>
      <c r="H67" s="60">
        <f>H50+H48+H49</f>
        <v>30</v>
      </c>
      <c r="I67" s="60"/>
      <c r="J67" s="60">
        <f>J50+J48+J49</f>
        <v>45</v>
      </c>
      <c r="K67" s="61"/>
    </row>
    <row r="68" ht="15.75" customHeight="1">
      <c r="A68" s="62"/>
      <c r="B68" s="59"/>
      <c r="C68" s="59"/>
      <c r="D68" s="59"/>
      <c r="E68" s="59"/>
      <c r="F68" s="59"/>
      <c r="G68" s="59"/>
      <c r="H68" s="59"/>
      <c r="I68" s="59"/>
      <c r="J68" s="59"/>
      <c r="K68" s="63"/>
    </row>
    <row r="69" ht="15.75" customHeight="1">
      <c r="A69" s="416" t="s">
        <v>37</v>
      </c>
      <c r="B69" s="395"/>
      <c r="C69" s="395"/>
      <c r="D69" s="395"/>
      <c r="E69" s="395"/>
      <c r="F69" s="395"/>
      <c r="G69" s="395"/>
      <c r="H69" s="395"/>
      <c r="I69" s="395"/>
      <c r="J69" s="395"/>
      <c r="K69" s="397"/>
    </row>
    <row r="70" ht="15.75" customHeight="1">
      <c r="A70" s="64" t="s">
        <v>2151</v>
      </c>
      <c r="B70" s="57"/>
      <c r="C70" s="57"/>
      <c r="D70" s="57"/>
      <c r="E70" s="57"/>
      <c r="F70" s="57"/>
      <c r="G70" s="57"/>
      <c r="H70" s="57"/>
      <c r="I70" s="57"/>
      <c r="J70" s="57"/>
      <c r="K70" s="58"/>
    </row>
    <row r="71" ht="15.75" customHeight="1">
      <c r="A71" s="64" t="s">
        <v>2152</v>
      </c>
      <c r="B71" s="57"/>
      <c r="C71" s="57"/>
      <c r="D71" s="57">
        <v>18.0</v>
      </c>
      <c r="E71" s="57"/>
      <c r="F71" s="57"/>
      <c r="G71" s="57"/>
      <c r="H71" s="57"/>
      <c r="I71" s="57"/>
      <c r="J71" s="57"/>
      <c r="K71" s="58"/>
    </row>
    <row r="72" ht="15.75" customHeight="1">
      <c r="A72" s="64" t="s">
        <v>2273</v>
      </c>
      <c r="B72" s="8" t="s">
        <v>19</v>
      </c>
      <c r="C72" s="8" t="s">
        <v>20</v>
      </c>
      <c r="D72" s="57"/>
      <c r="E72" s="57"/>
      <c r="F72" s="57"/>
      <c r="G72" s="57"/>
      <c r="H72" s="57"/>
      <c r="I72" s="57"/>
      <c r="J72" s="57"/>
      <c r="K72" s="400" t="s">
        <v>2274</v>
      </c>
    </row>
    <row r="73" ht="15.75" customHeight="1">
      <c r="A73" s="64" t="s">
        <v>2275</v>
      </c>
      <c r="B73" s="8" t="s">
        <v>19</v>
      </c>
      <c r="C73" s="8" t="s">
        <v>16</v>
      </c>
      <c r="D73" s="57"/>
      <c r="E73" s="57"/>
      <c r="F73" s="57"/>
      <c r="G73" s="57"/>
      <c r="H73" s="57"/>
      <c r="I73" s="57"/>
      <c r="J73" s="57"/>
      <c r="K73" s="66" t="s">
        <v>45</v>
      </c>
    </row>
    <row r="74" ht="15.75" customHeight="1">
      <c r="A74" s="64" t="s">
        <v>2276</v>
      </c>
      <c r="B74" s="8" t="s">
        <v>19</v>
      </c>
      <c r="C74" s="8" t="s">
        <v>40</v>
      </c>
      <c r="D74" s="57"/>
      <c r="E74" s="57"/>
      <c r="F74" s="57"/>
      <c r="G74" s="57"/>
      <c r="H74" s="57"/>
      <c r="I74" s="57"/>
      <c r="J74" s="57"/>
      <c r="K74" s="66" t="s">
        <v>855</v>
      </c>
    </row>
    <row r="75" ht="15.75" customHeight="1">
      <c r="A75" s="64" t="s">
        <v>2277</v>
      </c>
      <c r="B75" s="8" t="s">
        <v>19</v>
      </c>
      <c r="C75" s="8" t="s">
        <v>12</v>
      </c>
      <c r="D75" s="57"/>
      <c r="E75" s="57"/>
      <c r="F75" s="57"/>
      <c r="G75" s="57"/>
      <c r="H75" s="57"/>
      <c r="I75" s="57"/>
      <c r="J75" s="57"/>
      <c r="K75" s="66" t="s">
        <v>249</v>
      </c>
    </row>
    <row r="76" ht="15.75" customHeight="1">
      <c r="A76" s="64" t="s">
        <v>2278</v>
      </c>
      <c r="B76" s="8" t="s">
        <v>19</v>
      </c>
      <c r="C76" s="415" t="s">
        <v>9</v>
      </c>
      <c r="D76" s="57"/>
      <c r="E76" s="57"/>
      <c r="F76" s="57"/>
      <c r="G76" s="57"/>
      <c r="H76" s="57"/>
      <c r="I76" s="57"/>
      <c r="J76" s="57"/>
      <c r="K76" s="66" t="s">
        <v>2279</v>
      </c>
    </row>
    <row r="77" ht="15.75" customHeight="1">
      <c r="A77" s="64" t="s">
        <v>2280</v>
      </c>
      <c r="B77" s="8" t="s">
        <v>19</v>
      </c>
      <c r="C77" s="8" t="s">
        <v>12</v>
      </c>
      <c r="D77" s="57"/>
      <c r="E77" s="57"/>
      <c r="F77" s="57"/>
      <c r="G77" s="57"/>
      <c r="H77" s="57"/>
      <c r="I77" s="57"/>
      <c r="J77" s="57"/>
      <c r="K77" s="66" t="s">
        <v>2281</v>
      </c>
    </row>
    <row r="78" ht="15.75" customHeight="1">
      <c r="A78" s="64" t="s">
        <v>2282</v>
      </c>
      <c r="B78" s="57"/>
      <c r="C78" s="57"/>
      <c r="D78" s="57"/>
      <c r="E78" s="57"/>
      <c r="F78" s="57"/>
      <c r="G78" s="57"/>
      <c r="H78" s="57">
        <v>14.0</v>
      </c>
      <c r="I78" s="57"/>
      <c r="J78" s="57"/>
      <c r="K78" s="58"/>
    </row>
    <row r="79" ht="15.75" customHeight="1">
      <c r="A79" s="64" t="s">
        <v>2283</v>
      </c>
      <c r="B79" s="8" t="s">
        <v>19</v>
      </c>
      <c r="C79" s="8" t="s">
        <v>20</v>
      </c>
      <c r="D79" s="57"/>
      <c r="E79" s="57"/>
      <c r="F79" s="57"/>
      <c r="G79" s="57"/>
      <c r="H79" s="57"/>
      <c r="I79" s="57"/>
      <c r="J79" s="57"/>
      <c r="K79" s="66" t="s">
        <v>49</v>
      </c>
    </row>
    <row r="80" ht="15.75" customHeight="1">
      <c r="A80" s="64" t="s">
        <v>2284</v>
      </c>
      <c r="B80" s="8" t="s">
        <v>19</v>
      </c>
      <c r="C80" s="415" t="s">
        <v>9</v>
      </c>
      <c r="D80" s="57"/>
      <c r="E80" s="57"/>
      <c r="F80" s="57"/>
      <c r="G80" s="57"/>
      <c r="H80" s="57"/>
      <c r="I80" s="57"/>
      <c r="J80" s="57"/>
      <c r="K80" s="58" t="s">
        <v>86</v>
      </c>
    </row>
    <row r="81" ht="15.75" customHeight="1">
      <c r="A81" s="64" t="s">
        <v>2285</v>
      </c>
      <c r="B81" s="8" t="s">
        <v>19</v>
      </c>
      <c r="C81" s="8" t="s">
        <v>40</v>
      </c>
      <c r="D81" s="57"/>
      <c r="E81" s="57"/>
      <c r="F81" s="57"/>
      <c r="G81" s="57"/>
      <c r="H81" s="57"/>
      <c r="I81" s="57"/>
      <c r="J81" s="57"/>
      <c r="K81" s="66" t="s">
        <v>434</v>
      </c>
    </row>
    <row r="82" ht="15.75" customHeight="1">
      <c r="A82" s="64" t="s">
        <v>2286</v>
      </c>
      <c r="B82" s="8" t="s">
        <v>19</v>
      </c>
      <c r="C82" s="8" t="s">
        <v>40</v>
      </c>
      <c r="D82" s="57"/>
      <c r="E82" s="57"/>
      <c r="F82" s="57"/>
      <c r="G82" s="57"/>
      <c r="H82" s="57"/>
      <c r="I82" s="57"/>
      <c r="J82" s="57"/>
      <c r="K82" s="66" t="s">
        <v>126</v>
      </c>
    </row>
    <row r="83" ht="15.75" customHeight="1">
      <c r="A83" s="64" t="s">
        <v>254</v>
      </c>
      <c r="B83" s="57"/>
      <c r="C83" s="57"/>
      <c r="D83" s="57"/>
      <c r="E83" s="57"/>
      <c r="F83" s="57"/>
      <c r="G83" s="57"/>
      <c r="H83" s="57"/>
      <c r="I83" s="57"/>
      <c r="J83" s="57"/>
      <c r="K83" s="58"/>
    </row>
    <row r="84" ht="15.75" customHeight="1">
      <c r="A84" s="64" t="s">
        <v>2152</v>
      </c>
      <c r="B84" s="57"/>
      <c r="C84" s="57"/>
      <c r="D84" s="57">
        <v>12.0</v>
      </c>
      <c r="E84" s="57"/>
      <c r="F84" s="57"/>
      <c r="G84" s="57"/>
      <c r="H84" s="57"/>
      <c r="I84" s="57"/>
      <c r="J84" s="57"/>
      <c r="K84" s="58"/>
    </row>
    <row r="85" ht="15.75" customHeight="1">
      <c r="A85" s="64" t="s">
        <v>2287</v>
      </c>
      <c r="B85" s="8" t="s">
        <v>15</v>
      </c>
      <c r="C85" s="415" t="s">
        <v>9</v>
      </c>
      <c r="D85" s="57"/>
      <c r="E85" s="57"/>
      <c r="F85" s="57"/>
      <c r="G85" s="57"/>
      <c r="H85" s="57"/>
      <c r="I85" s="57"/>
      <c r="J85" s="57"/>
      <c r="K85" s="66" t="s">
        <v>266</v>
      </c>
    </row>
    <row r="86" ht="15.75" customHeight="1">
      <c r="A86" s="64" t="s">
        <v>2288</v>
      </c>
      <c r="B86" s="8" t="s">
        <v>141</v>
      </c>
      <c r="C86" s="415" t="s">
        <v>9</v>
      </c>
      <c r="D86" s="57"/>
      <c r="E86" s="57"/>
      <c r="F86" s="57"/>
      <c r="G86" s="57"/>
      <c r="H86" s="57"/>
      <c r="I86" s="57"/>
      <c r="J86" s="57"/>
      <c r="K86" s="66" t="s">
        <v>260</v>
      </c>
    </row>
    <row r="87" ht="15.75" customHeight="1">
      <c r="A87" s="64" t="s">
        <v>2282</v>
      </c>
      <c r="B87" s="57"/>
      <c r="C87" s="57"/>
      <c r="D87" s="57"/>
      <c r="E87" s="57"/>
      <c r="F87" s="57"/>
      <c r="G87" s="57"/>
      <c r="H87" s="57">
        <v>12.0</v>
      </c>
      <c r="I87" s="57"/>
      <c r="J87" s="57"/>
      <c r="K87" s="58"/>
    </row>
    <row r="88" ht="15.75" customHeight="1">
      <c r="A88" s="64" t="s">
        <v>2289</v>
      </c>
      <c r="B88" s="8" t="s">
        <v>141</v>
      </c>
      <c r="C88" s="8" t="s">
        <v>12</v>
      </c>
      <c r="D88" s="57"/>
      <c r="E88" s="57"/>
      <c r="F88" s="57"/>
      <c r="G88" s="57"/>
      <c r="H88" s="57"/>
      <c r="I88" s="57"/>
      <c r="J88" s="57"/>
      <c r="K88" s="66" t="s">
        <v>2290</v>
      </c>
    </row>
    <row r="89" ht="15.75" customHeight="1">
      <c r="A89" s="64" t="s">
        <v>509</v>
      </c>
      <c r="B89" s="8" t="s">
        <v>15</v>
      </c>
      <c r="C89" s="8" t="s">
        <v>12</v>
      </c>
      <c r="D89" s="57"/>
      <c r="E89" s="57"/>
      <c r="F89" s="57"/>
      <c r="G89" s="57"/>
      <c r="H89" s="57"/>
      <c r="I89" s="57"/>
      <c r="J89" s="57"/>
      <c r="K89" s="66" t="s">
        <v>139</v>
      </c>
    </row>
    <row r="90" ht="15.75" customHeight="1">
      <c r="A90" s="64" t="s">
        <v>298</v>
      </c>
      <c r="B90" s="57"/>
      <c r="C90" s="57"/>
      <c r="D90" s="57"/>
      <c r="E90" s="57"/>
      <c r="F90" s="57"/>
      <c r="G90" s="57"/>
      <c r="H90" s="57"/>
      <c r="I90" s="57"/>
      <c r="J90" s="57"/>
      <c r="K90" s="58"/>
    </row>
    <row r="91" ht="15.75" customHeight="1">
      <c r="A91" s="64" t="s">
        <v>2152</v>
      </c>
      <c r="B91" s="57"/>
      <c r="C91" s="57"/>
      <c r="D91" s="57">
        <v>16.0</v>
      </c>
      <c r="E91" s="57"/>
      <c r="F91" s="57"/>
      <c r="G91" s="57"/>
      <c r="H91" s="57"/>
      <c r="I91" s="57"/>
      <c r="J91" s="57"/>
      <c r="K91" s="58"/>
    </row>
    <row r="92" ht="15.75" customHeight="1">
      <c r="A92" s="64" t="s">
        <v>2291</v>
      </c>
      <c r="B92" s="8" t="s">
        <v>8</v>
      </c>
      <c r="C92" s="8" t="s">
        <v>40</v>
      </c>
      <c r="D92" s="57"/>
      <c r="E92" s="57"/>
      <c r="F92" s="57"/>
      <c r="G92" s="57"/>
      <c r="H92" s="57"/>
      <c r="I92" s="57"/>
      <c r="J92" s="57"/>
      <c r="K92" s="66" t="s">
        <v>576</v>
      </c>
    </row>
    <row r="93" ht="15.75" customHeight="1">
      <c r="A93" s="64" t="s">
        <v>2292</v>
      </c>
      <c r="B93" s="8" t="s">
        <v>8</v>
      </c>
      <c r="C93" s="8" t="s">
        <v>40</v>
      </c>
      <c r="D93" s="57"/>
      <c r="E93" s="57"/>
      <c r="F93" s="57"/>
      <c r="G93" s="57"/>
      <c r="H93" s="57"/>
      <c r="I93" s="57"/>
      <c r="J93" s="57"/>
      <c r="K93" s="66" t="s">
        <v>2259</v>
      </c>
    </row>
    <row r="94" ht="15.75" customHeight="1">
      <c r="A94" s="64" t="s">
        <v>2293</v>
      </c>
      <c r="B94" s="8" t="s">
        <v>8</v>
      </c>
      <c r="C94" s="8" t="s">
        <v>16</v>
      </c>
      <c r="D94" s="57"/>
      <c r="E94" s="57"/>
      <c r="F94" s="57"/>
      <c r="G94" s="57"/>
      <c r="H94" s="57"/>
      <c r="I94" s="57"/>
      <c r="J94" s="57"/>
      <c r="K94" s="66" t="s">
        <v>2133</v>
      </c>
    </row>
    <row r="95" ht="15.75" customHeight="1">
      <c r="A95" s="64" t="s">
        <v>2282</v>
      </c>
      <c r="B95" s="57"/>
      <c r="C95" s="57"/>
      <c r="D95" s="57"/>
      <c r="E95" s="57"/>
      <c r="F95" s="57"/>
      <c r="G95" s="57"/>
      <c r="H95" s="57">
        <v>16.0</v>
      </c>
      <c r="I95" s="57"/>
      <c r="J95" s="57"/>
      <c r="K95" s="58"/>
    </row>
    <row r="96" ht="15.75" customHeight="1">
      <c r="A96" s="64" t="s">
        <v>2294</v>
      </c>
      <c r="B96" s="8" t="s">
        <v>96</v>
      </c>
      <c r="C96" s="8" t="s">
        <v>20</v>
      </c>
      <c r="D96" s="57"/>
      <c r="E96" s="57"/>
      <c r="F96" s="57"/>
      <c r="G96" s="57"/>
      <c r="H96" s="57"/>
      <c r="I96" s="57"/>
      <c r="J96" s="57"/>
      <c r="K96" s="66" t="s">
        <v>2093</v>
      </c>
    </row>
    <row r="97" ht="15.75" customHeight="1">
      <c r="A97" s="64" t="s">
        <v>2295</v>
      </c>
      <c r="B97" s="8" t="s">
        <v>54</v>
      </c>
      <c r="C97" s="8" t="s">
        <v>40</v>
      </c>
      <c r="D97" s="57"/>
      <c r="E97" s="57"/>
      <c r="F97" s="57"/>
      <c r="G97" s="57"/>
      <c r="H97" s="57"/>
      <c r="I97" s="57"/>
      <c r="J97" s="57"/>
      <c r="K97" s="66" t="s">
        <v>395</v>
      </c>
    </row>
    <row r="98" ht="15.75" customHeight="1">
      <c r="A98" s="64" t="s">
        <v>2296</v>
      </c>
      <c r="B98" s="8" t="s">
        <v>54</v>
      </c>
      <c r="C98" s="8" t="s">
        <v>16</v>
      </c>
      <c r="D98" s="57"/>
      <c r="E98" s="57"/>
      <c r="F98" s="57"/>
      <c r="G98" s="57"/>
      <c r="H98" s="57"/>
      <c r="I98" s="57"/>
      <c r="J98" s="57"/>
      <c r="K98" s="66" t="s">
        <v>2297</v>
      </c>
    </row>
    <row r="99" ht="15.75" customHeight="1">
      <c r="A99" s="402" t="s">
        <v>64</v>
      </c>
      <c r="B99" s="60"/>
      <c r="C99" s="60"/>
      <c r="D99" s="60">
        <f>SUM(D70:D98)</f>
        <v>46</v>
      </c>
      <c r="E99" s="60"/>
      <c r="F99" s="60">
        <f>SUM(F70:F98)</f>
        <v>0</v>
      </c>
      <c r="G99" s="60"/>
      <c r="H99" s="60">
        <f>SUM(H70:H98)</f>
        <v>42</v>
      </c>
      <c r="I99" s="60"/>
      <c r="J99" s="60"/>
      <c r="K99" s="61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</row>
    <row r="102" ht="15.75" customHeight="1">
      <c r="A102" s="417" t="s">
        <v>2298</v>
      </c>
      <c r="B102" s="417">
        <f>D18+D21+D67+D99+D30+D39+D24+D45+D33+D42+D27</f>
        <v>485</v>
      </c>
      <c r="C102" s="59"/>
      <c r="D102" s="59"/>
      <c r="E102" s="59"/>
      <c r="F102" s="59"/>
      <c r="G102" s="59"/>
      <c r="H102" s="59"/>
      <c r="I102" s="59"/>
      <c r="J102" s="59"/>
      <c r="K102" s="59"/>
    </row>
    <row r="103" ht="15.75" customHeight="1">
      <c r="A103" s="417" t="s">
        <v>2299</v>
      </c>
      <c r="B103" s="417">
        <f>F18+F21+F67+F99+F24+F30+F39+F45+F42</f>
        <v>228</v>
      </c>
      <c r="C103" s="59"/>
      <c r="D103" s="59"/>
      <c r="E103" s="59"/>
      <c r="F103" s="59"/>
      <c r="G103" s="59"/>
      <c r="H103" s="59"/>
      <c r="I103" s="59"/>
      <c r="J103" s="59"/>
      <c r="K103" s="59"/>
    </row>
    <row r="104" ht="15.75" customHeight="1">
      <c r="A104" s="417" t="s">
        <v>2300</v>
      </c>
      <c r="B104" s="417">
        <f>H18+H67+H99+H21+H24+H30+H39+H45</f>
        <v>126</v>
      </c>
      <c r="C104" s="59"/>
      <c r="D104" s="59"/>
      <c r="E104" s="59"/>
      <c r="F104" s="59"/>
      <c r="G104" s="59"/>
      <c r="H104" s="59"/>
      <c r="I104" s="59"/>
      <c r="J104" s="59"/>
      <c r="K104" s="59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dataValidations>
    <dataValidation type="list" allowBlank="1" showErrorMessage="1" sqref="B3:B17 B48:B66 B72:B77 B79:B82 B85:B86 B88:B89 B92:B94 B96:B98">
      <formula1>"SSS,SS,S,AAA,AA,A,Blue,Green"</formula1>
    </dataValidation>
    <dataValidation type="list" allowBlank="1" showErrorMessage="1" sqref="C48:C66">
      <formula1>"FAME,ART,FTH,CIV,TECH"</formula1>
    </dataValidation>
    <dataValidation type="list" allowBlank="1" showErrorMessage="1" sqref="C3:C17 C72:C77 C79:C82 C85:C86 C88:C89 C92:C94 C96:C98">
      <formula1>"FAME,ART,FTH,CIV,TECH"</formula1>
    </dataValidation>
  </dataValidation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6.0"/>
    <col customWidth="1" min="2" max="2" width="7.09"/>
    <col customWidth="1" min="3" max="3" width="7.82"/>
    <col customWidth="1" min="4" max="4" width="8.09"/>
    <col customWidth="1" min="5" max="5" width="11.73"/>
    <col customWidth="1" min="6" max="6" width="6.09"/>
    <col customWidth="1" min="7" max="7" width="9.73"/>
    <col customWidth="1" min="8" max="8" width="10.09"/>
    <col customWidth="1" min="9" max="9" width="16.91"/>
    <col customWidth="1" min="10" max="10" width="8.82"/>
    <col customWidth="1" min="11" max="11" width="138.73"/>
  </cols>
  <sheetData>
    <row r="1">
      <c r="A1" s="148" t="s">
        <v>0</v>
      </c>
      <c r="B1" s="124" t="s">
        <v>1</v>
      </c>
      <c r="C1" s="124" t="s">
        <v>2</v>
      </c>
      <c r="D1" s="124" t="s">
        <v>2082</v>
      </c>
      <c r="E1" s="124" t="s">
        <v>2083</v>
      </c>
      <c r="F1" s="124" t="s">
        <v>2084</v>
      </c>
      <c r="G1" s="124" t="s">
        <v>2085</v>
      </c>
      <c r="H1" s="124" t="s">
        <v>2301</v>
      </c>
      <c r="I1" s="124" t="s">
        <v>2302</v>
      </c>
      <c r="J1" s="124" t="s">
        <v>2088</v>
      </c>
      <c r="K1" s="129" t="s">
        <v>5</v>
      </c>
    </row>
    <row r="2">
      <c r="A2" s="144" t="s">
        <v>6</v>
      </c>
      <c r="B2" s="87"/>
      <c r="C2" s="87"/>
      <c r="D2" s="87"/>
      <c r="E2" s="87"/>
      <c r="F2" s="87"/>
      <c r="G2" s="87"/>
      <c r="H2" s="87"/>
      <c r="I2" s="87"/>
      <c r="J2" s="87"/>
      <c r="K2" s="88"/>
    </row>
    <row r="3">
      <c r="A3" s="147" t="s">
        <v>2198</v>
      </c>
      <c r="B3" s="8" t="s">
        <v>54</v>
      </c>
      <c r="C3" s="8" t="s">
        <v>12</v>
      </c>
      <c r="D3" s="91">
        <v>22.0</v>
      </c>
      <c r="E3" s="91">
        <v>20.0</v>
      </c>
      <c r="F3" s="91">
        <v>22.0</v>
      </c>
      <c r="G3" s="87"/>
      <c r="H3" s="87"/>
      <c r="I3" s="87"/>
      <c r="J3" s="87"/>
      <c r="K3" s="92" t="s">
        <v>2199</v>
      </c>
    </row>
    <row r="4">
      <c r="A4" s="147" t="s">
        <v>2303</v>
      </c>
      <c r="B4" s="8" t="s">
        <v>8</v>
      </c>
      <c r="C4" s="415" t="s">
        <v>9</v>
      </c>
      <c r="D4" s="91">
        <v>24.0</v>
      </c>
      <c r="E4" s="91">
        <v>20.0</v>
      </c>
      <c r="F4" s="87"/>
      <c r="G4" s="87"/>
      <c r="H4" s="87"/>
      <c r="I4" s="87"/>
      <c r="J4" s="87"/>
      <c r="K4" s="92" t="s">
        <v>729</v>
      </c>
    </row>
    <row r="5">
      <c r="A5" s="147" t="s">
        <v>2193</v>
      </c>
      <c r="B5" s="8" t="s">
        <v>54</v>
      </c>
      <c r="C5" s="8" t="s">
        <v>12</v>
      </c>
      <c r="D5" s="91">
        <v>22.0</v>
      </c>
      <c r="E5" s="87"/>
      <c r="F5" s="91">
        <v>22.0</v>
      </c>
      <c r="G5" s="87"/>
      <c r="H5" s="87"/>
      <c r="I5" s="87"/>
      <c r="J5" s="87"/>
      <c r="K5" s="92" t="s">
        <v>2194</v>
      </c>
    </row>
    <row r="6">
      <c r="A6" s="147" t="s">
        <v>2195</v>
      </c>
      <c r="B6" s="8" t="s">
        <v>54</v>
      </c>
      <c r="C6" s="8" t="s">
        <v>12</v>
      </c>
      <c r="D6" s="91">
        <v>22.0</v>
      </c>
      <c r="E6" s="87"/>
      <c r="F6" s="87"/>
      <c r="G6" s="87"/>
      <c r="H6" s="87"/>
      <c r="I6" s="87"/>
      <c r="J6" s="87"/>
      <c r="K6" s="92" t="s">
        <v>848</v>
      </c>
    </row>
    <row r="7">
      <c r="A7" s="147" t="s">
        <v>561</v>
      </c>
      <c r="B7" s="8" t="s">
        <v>96</v>
      </c>
      <c r="C7" s="8" t="s">
        <v>20</v>
      </c>
      <c r="D7" s="91">
        <v>20.0</v>
      </c>
      <c r="E7" s="87"/>
      <c r="F7" s="87"/>
      <c r="G7" s="87"/>
      <c r="H7" s="87"/>
      <c r="I7" s="87"/>
      <c r="J7" s="87"/>
      <c r="K7" s="92" t="s">
        <v>2093</v>
      </c>
    </row>
    <row r="8">
      <c r="A8" s="147" t="s">
        <v>2304</v>
      </c>
      <c r="B8" s="8" t="s">
        <v>141</v>
      </c>
      <c r="C8" s="8" t="s">
        <v>12</v>
      </c>
      <c r="D8" s="91">
        <v>16.0</v>
      </c>
      <c r="E8" s="91">
        <v>14.0</v>
      </c>
      <c r="F8" s="91">
        <v>16.0</v>
      </c>
      <c r="G8" s="87"/>
      <c r="H8" s="87"/>
      <c r="I8" s="87"/>
      <c r="J8" s="87"/>
      <c r="K8" s="92" t="s">
        <v>840</v>
      </c>
    </row>
    <row r="9">
      <c r="A9" s="147" t="s">
        <v>2305</v>
      </c>
      <c r="B9" s="8" t="s">
        <v>15</v>
      </c>
      <c r="C9" s="8" t="s">
        <v>40</v>
      </c>
      <c r="D9" s="87"/>
      <c r="E9" s="87"/>
      <c r="F9" s="87"/>
      <c r="G9" s="87"/>
      <c r="H9" s="91">
        <v>18.0</v>
      </c>
      <c r="I9" s="91">
        <v>14.0</v>
      </c>
      <c r="J9" s="87"/>
      <c r="K9" s="92" t="s">
        <v>266</v>
      </c>
    </row>
    <row r="10">
      <c r="A10" s="147" t="s">
        <v>2101</v>
      </c>
      <c r="B10" s="8" t="s">
        <v>15</v>
      </c>
      <c r="C10" s="8" t="s">
        <v>16</v>
      </c>
      <c r="D10" s="91">
        <v>5.0</v>
      </c>
      <c r="E10" s="91">
        <v>5.0</v>
      </c>
      <c r="F10" s="87"/>
      <c r="G10" s="87"/>
      <c r="H10" s="91"/>
      <c r="I10" s="91"/>
      <c r="J10" s="87"/>
      <c r="K10" s="92" t="s">
        <v>798</v>
      </c>
    </row>
    <row r="11">
      <c r="A11" s="147" t="s">
        <v>644</v>
      </c>
      <c r="B11" s="8" t="s">
        <v>19</v>
      </c>
      <c r="C11" s="8" t="s">
        <v>40</v>
      </c>
      <c r="D11" s="91">
        <v>10.0</v>
      </c>
      <c r="E11" s="91">
        <v>10.0</v>
      </c>
      <c r="F11" s="87"/>
      <c r="G11" s="87"/>
      <c r="H11" s="87"/>
      <c r="I11" s="87"/>
      <c r="J11" s="87"/>
      <c r="K11" s="92" t="s">
        <v>279</v>
      </c>
    </row>
    <row r="12">
      <c r="A12" s="144" t="s">
        <v>2306</v>
      </c>
      <c r="B12" s="8" t="s">
        <v>19</v>
      </c>
      <c r="C12" s="8" t="s">
        <v>40</v>
      </c>
      <c r="D12" s="87"/>
      <c r="E12" s="87"/>
      <c r="F12" s="91">
        <v>10.0</v>
      </c>
      <c r="G12" s="91">
        <v>10.0</v>
      </c>
      <c r="H12" s="87"/>
      <c r="I12" s="87"/>
      <c r="J12" s="87"/>
      <c r="K12" s="92" t="s">
        <v>2307</v>
      </c>
    </row>
    <row r="13">
      <c r="A13" s="52" t="s">
        <v>27</v>
      </c>
      <c r="B13" s="93"/>
      <c r="C13" s="93"/>
      <c r="D13" s="94">
        <f>SUM(D3:E12)</f>
        <v>210</v>
      </c>
      <c r="E13" s="93"/>
      <c r="F13" s="94">
        <f>SUM(F3:G12)</f>
        <v>80</v>
      </c>
      <c r="G13" s="93"/>
      <c r="H13" s="94">
        <f>SUM(H3:I12)</f>
        <v>32</v>
      </c>
      <c r="I13" s="93"/>
      <c r="J13" s="93"/>
      <c r="K13" s="97"/>
    </row>
    <row r="14">
      <c r="A14" s="79"/>
      <c r="B14" s="80"/>
      <c r="C14" s="80"/>
      <c r="D14" s="80"/>
      <c r="E14" s="80"/>
      <c r="F14" s="80"/>
      <c r="G14" s="80"/>
      <c r="H14" s="80"/>
      <c r="I14" s="80"/>
      <c r="J14" s="80"/>
      <c r="K14" s="81"/>
    </row>
    <row r="15">
      <c r="A15" s="148" t="s">
        <v>212</v>
      </c>
      <c r="B15" s="89"/>
      <c r="C15" s="89"/>
      <c r="D15" s="89"/>
      <c r="E15" s="89"/>
      <c r="F15" s="89"/>
      <c r="G15" s="89"/>
      <c r="H15" s="89"/>
      <c r="I15" s="89"/>
      <c r="J15" s="89"/>
      <c r="K15" s="90"/>
    </row>
    <row r="16">
      <c r="A16" s="52" t="s">
        <v>2308</v>
      </c>
      <c r="B16" s="93"/>
      <c r="C16" s="93"/>
      <c r="D16" s="94">
        <v>30.0</v>
      </c>
      <c r="E16" s="93"/>
      <c r="F16" s="93"/>
      <c r="G16" s="93"/>
      <c r="H16" s="93"/>
      <c r="I16" s="93"/>
      <c r="J16" s="93"/>
      <c r="K16" s="95" t="s">
        <v>30</v>
      </c>
    </row>
    <row r="17">
      <c r="A17" s="86"/>
      <c r="B17" s="87"/>
      <c r="C17" s="87"/>
      <c r="D17" s="87"/>
      <c r="E17" s="87"/>
      <c r="F17" s="87"/>
      <c r="G17" s="87"/>
      <c r="H17" s="87"/>
      <c r="I17" s="87"/>
      <c r="J17" s="87"/>
      <c r="K17" s="88"/>
    </row>
    <row r="18">
      <c r="A18" s="148" t="s">
        <v>226</v>
      </c>
      <c r="B18" s="406"/>
      <c r="C18" s="406"/>
      <c r="D18" s="406"/>
      <c r="E18" s="406"/>
      <c r="F18" s="406"/>
      <c r="G18" s="406"/>
      <c r="H18" s="406"/>
      <c r="I18" s="406"/>
      <c r="J18" s="406"/>
      <c r="K18" s="407"/>
    </row>
    <row r="19">
      <c r="A19" s="52" t="s">
        <v>2309</v>
      </c>
      <c r="B19" s="411"/>
      <c r="C19" s="411"/>
      <c r="D19" s="96">
        <v>25.0</v>
      </c>
      <c r="E19" s="411"/>
      <c r="F19" s="96">
        <v>25.0</v>
      </c>
      <c r="G19" s="411"/>
      <c r="H19" s="411"/>
      <c r="I19" s="411"/>
      <c r="J19" s="411"/>
      <c r="K19" s="95" t="s">
        <v>2189</v>
      </c>
    </row>
    <row r="20">
      <c r="A20" s="86"/>
      <c r="B20" s="87"/>
      <c r="C20" s="87"/>
      <c r="D20" s="87"/>
      <c r="E20" s="87"/>
      <c r="F20" s="87"/>
      <c r="G20" s="87"/>
      <c r="H20" s="87"/>
      <c r="I20" s="87"/>
      <c r="J20" s="87"/>
      <c r="K20" s="88"/>
    </row>
    <row r="21">
      <c r="A21" s="413" t="s">
        <v>2122</v>
      </c>
      <c r="B21" s="395"/>
      <c r="C21" s="395"/>
      <c r="D21" s="395"/>
      <c r="E21" s="395"/>
      <c r="F21" s="395"/>
      <c r="G21" s="395"/>
      <c r="H21" s="395"/>
      <c r="I21" s="395"/>
      <c r="J21" s="395"/>
      <c r="K21" s="405"/>
    </row>
    <row r="22">
      <c r="A22" s="409" t="s">
        <v>2310</v>
      </c>
      <c r="B22" s="60"/>
      <c r="C22" s="60"/>
      <c r="D22" s="410">
        <v>3.0</v>
      </c>
      <c r="E22" s="60"/>
      <c r="F22" s="60"/>
      <c r="G22" s="60"/>
      <c r="H22" s="60"/>
      <c r="I22" s="60"/>
      <c r="J22" s="60"/>
      <c r="K22" s="414" t="s">
        <v>2124</v>
      </c>
    </row>
    <row r="23">
      <c r="A23" s="398"/>
      <c r="B23" s="57"/>
      <c r="C23" s="57"/>
      <c r="D23" s="57"/>
      <c r="E23" s="57"/>
      <c r="F23" s="57"/>
      <c r="G23" s="57"/>
      <c r="H23" s="57"/>
      <c r="I23" s="57"/>
      <c r="J23" s="57"/>
      <c r="K23" s="400"/>
    </row>
    <row r="24">
      <c r="A24" s="394" t="s">
        <v>2112</v>
      </c>
      <c r="B24" s="395"/>
      <c r="C24" s="395"/>
      <c r="D24" s="395"/>
      <c r="E24" s="395"/>
      <c r="F24" s="395"/>
      <c r="G24" s="395"/>
      <c r="H24" s="395"/>
      <c r="I24" s="395"/>
      <c r="J24" s="406"/>
      <c r="K24" s="407"/>
    </row>
    <row r="25">
      <c r="A25" s="64" t="s">
        <v>2113</v>
      </c>
      <c r="B25" s="57"/>
      <c r="C25" s="57"/>
      <c r="D25" s="65">
        <v>10.0</v>
      </c>
      <c r="E25" s="57"/>
      <c r="F25" s="65">
        <v>10.0</v>
      </c>
      <c r="G25" s="57"/>
      <c r="H25" s="57"/>
      <c r="I25" s="57"/>
      <c r="J25" s="408"/>
      <c r="K25" s="92" t="s">
        <v>2114</v>
      </c>
    </row>
    <row r="26">
      <c r="A26" s="409" t="s">
        <v>479</v>
      </c>
      <c r="B26" s="60"/>
      <c r="C26" s="60"/>
      <c r="D26" s="410">
        <v>20.0</v>
      </c>
      <c r="E26" s="60"/>
      <c r="F26" s="410">
        <v>20.0</v>
      </c>
      <c r="G26" s="60"/>
      <c r="H26" s="60"/>
      <c r="I26" s="60"/>
      <c r="J26" s="411"/>
      <c r="K26" s="95" t="s">
        <v>2115</v>
      </c>
    </row>
    <row r="27">
      <c r="A27" s="144" t="s">
        <v>2116</v>
      </c>
      <c r="B27" s="87"/>
      <c r="C27" s="87"/>
      <c r="D27" s="87">
        <f>SUM(D25:D26)</f>
        <v>30</v>
      </c>
      <c r="E27" s="87"/>
      <c r="F27" s="87">
        <f>SUM(F25:F26)</f>
        <v>30</v>
      </c>
      <c r="G27" s="87"/>
      <c r="H27" s="87">
        <f>SUM(H25:H26)</f>
        <v>0</v>
      </c>
      <c r="I27" s="87"/>
      <c r="J27" s="87"/>
      <c r="K27" s="88"/>
    </row>
    <row r="28">
      <c r="A28" s="86"/>
      <c r="B28" s="87"/>
      <c r="C28" s="87"/>
      <c r="D28" s="87"/>
      <c r="E28" s="87"/>
      <c r="F28" s="87"/>
      <c r="G28" s="87"/>
      <c r="H28" s="87"/>
      <c r="I28" s="87"/>
      <c r="J28" s="87"/>
      <c r="K28" s="88"/>
    </row>
    <row r="29">
      <c r="A29" s="148" t="s">
        <v>31</v>
      </c>
      <c r="B29" s="89"/>
      <c r="C29" s="89"/>
      <c r="D29" s="89"/>
      <c r="E29" s="89"/>
      <c r="F29" s="89"/>
      <c r="G29" s="89"/>
      <c r="H29" s="89"/>
      <c r="I29" s="89"/>
      <c r="J29" s="89"/>
      <c r="K29" s="90"/>
    </row>
    <row r="30">
      <c r="A30" s="52" t="s">
        <v>2256</v>
      </c>
      <c r="B30" s="93"/>
      <c r="C30" s="93"/>
      <c r="D30" s="94">
        <v>10.0</v>
      </c>
      <c r="E30" s="93"/>
      <c r="F30" s="93"/>
      <c r="G30" s="93"/>
      <c r="H30" s="93"/>
      <c r="I30" s="93"/>
      <c r="J30" s="93"/>
      <c r="K30" s="97"/>
    </row>
    <row r="31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8"/>
    </row>
    <row r="32">
      <c r="A32" s="413" t="s">
        <v>35</v>
      </c>
      <c r="B32" s="395"/>
      <c r="C32" s="395"/>
      <c r="D32" s="395"/>
      <c r="E32" s="395"/>
      <c r="F32" s="395"/>
      <c r="G32" s="395"/>
      <c r="H32" s="395"/>
      <c r="I32" s="395"/>
      <c r="J32" s="395"/>
      <c r="K32" s="405"/>
    </row>
    <row r="33">
      <c r="A33" s="409" t="s">
        <v>482</v>
      </c>
      <c r="B33" s="60"/>
      <c r="C33" s="60"/>
      <c r="D33" s="410">
        <v>10.0</v>
      </c>
      <c r="E33" s="60"/>
      <c r="F33" s="410">
        <v>10.0</v>
      </c>
      <c r="G33" s="60"/>
      <c r="H33" s="60"/>
      <c r="I33" s="60"/>
      <c r="J33" s="60"/>
      <c r="K33" s="414" t="s">
        <v>2125</v>
      </c>
    </row>
    <row r="34">
      <c r="A34" s="398"/>
      <c r="B34" s="57"/>
      <c r="C34" s="57"/>
      <c r="D34" s="57"/>
      <c r="E34" s="57"/>
      <c r="F34" s="57"/>
      <c r="G34" s="57"/>
      <c r="H34" s="57"/>
      <c r="I34" s="57"/>
      <c r="J34" s="57"/>
      <c r="K34" s="400"/>
    </row>
    <row r="35">
      <c r="A35" s="413" t="s">
        <v>2126</v>
      </c>
      <c r="B35" s="395"/>
      <c r="C35" s="395"/>
      <c r="D35" s="395"/>
      <c r="E35" s="395"/>
      <c r="F35" s="395"/>
      <c r="G35" s="395"/>
      <c r="H35" s="395"/>
      <c r="I35" s="395"/>
      <c r="J35" s="395"/>
      <c r="K35" s="405"/>
    </row>
    <row r="36">
      <c r="A36" s="409" t="s">
        <v>2127</v>
      </c>
      <c r="B36" s="60"/>
      <c r="C36" s="60"/>
      <c r="D36" s="410">
        <v>20.0</v>
      </c>
      <c r="E36" s="60"/>
      <c r="F36" s="410">
        <v>40.0</v>
      </c>
      <c r="G36" s="60"/>
      <c r="H36" s="60"/>
      <c r="I36" s="60"/>
      <c r="J36" s="60"/>
      <c r="K36" s="403"/>
    </row>
    <row r="37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1"/>
    </row>
    <row r="38">
      <c r="A38" s="148" t="s">
        <v>2128</v>
      </c>
      <c r="B38" s="89"/>
      <c r="C38" s="89"/>
      <c r="D38" s="89"/>
      <c r="E38" s="89"/>
      <c r="F38" s="89"/>
      <c r="G38" s="89"/>
      <c r="H38" s="89"/>
      <c r="I38" s="89"/>
      <c r="J38" s="89"/>
      <c r="K38" s="90"/>
    </row>
    <row r="39">
      <c r="A39" s="147" t="s">
        <v>2311</v>
      </c>
      <c r="B39" s="8" t="s">
        <v>8</v>
      </c>
      <c r="C39" s="8" t="s">
        <v>9</v>
      </c>
      <c r="D39" s="91">
        <v>30.0</v>
      </c>
      <c r="E39" s="87"/>
      <c r="F39" s="91"/>
      <c r="G39" s="87"/>
      <c r="H39" s="91">
        <v>30.0</v>
      </c>
      <c r="I39" s="87"/>
      <c r="J39" s="8">
        <v>15.0</v>
      </c>
      <c r="K39" s="92" t="s">
        <v>2312</v>
      </c>
    </row>
    <row r="40">
      <c r="A40" s="147" t="s">
        <v>7</v>
      </c>
      <c r="B40" s="8" t="s">
        <v>8</v>
      </c>
      <c r="C40" s="8" t="s">
        <v>9</v>
      </c>
      <c r="D40" s="91">
        <v>30.0</v>
      </c>
      <c r="E40" s="87"/>
      <c r="F40" s="91">
        <v>30.0</v>
      </c>
      <c r="G40" s="87"/>
      <c r="H40" s="91">
        <v>30.0</v>
      </c>
      <c r="I40" s="87"/>
      <c r="J40" s="87"/>
      <c r="K40" s="92" t="s">
        <v>10</v>
      </c>
    </row>
    <row r="41">
      <c r="A41" s="147" t="s">
        <v>516</v>
      </c>
      <c r="B41" s="8" t="s">
        <v>8</v>
      </c>
      <c r="C41" s="415" t="s">
        <v>9</v>
      </c>
      <c r="D41" s="91">
        <v>30.0</v>
      </c>
      <c r="E41" s="87"/>
      <c r="F41" s="91">
        <v>30.0</v>
      </c>
      <c r="G41" s="87"/>
      <c r="H41" s="87"/>
      <c r="I41" s="87"/>
      <c r="J41" s="91">
        <v>15.0</v>
      </c>
      <c r="K41" s="92" t="s">
        <v>517</v>
      </c>
    </row>
    <row r="42">
      <c r="A42" s="144" t="s">
        <v>2148</v>
      </c>
      <c r="B42" s="8" t="s">
        <v>54</v>
      </c>
      <c r="C42" s="415" t="s">
        <v>9</v>
      </c>
      <c r="D42" s="87"/>
      <c r="E42" s="87"/>
      <c r="F42" s="87"/>
      <c r="G42" s="87"/>
      <c r="H42" s="91">
        <v>30.0</v>
      </c>
      <c r="I42" s="87"/>
      <c r="J42" s="91">
        <v>15.0</v>
      </c>
      <c r="K42" s="92" t="s">
        <v>2149</v>
      </c>
    </row>
    <row r="43">
      <c r="A43" s="144" t="s">
        <v>2313</v>
      </c>
      <c r="B43" s="8" t="s">
        <v>54</v>
      </c>
      <c r="C43" s="415" t="s">
        <v>9</v>
      </c>
      <c r="D43" s="91"/>
      <c r="E43" s="87"/>
      <c r="F43" s="91"/>
      <c r="G43" s="87"/>
      <c r="H43" s="8">
        <v>30.0</v>
      </c>
      <c r="I43" s="87"/>
      <c r="J43" s="87"/>
      <c r="K43" s="137" t="s">
        <v>618</v>
      </c>
    </row>
    <row r="44">
      <c r="A44" s="144" t="s">
        <v>151</v>
      </c>
      <c r="B44" s="8" t="s">
        <v>54</v>
      </c>
      <c r="C44" s="415" t="s">
        <v>9</v>
      </c>
      <c r="D44" s="91">
        <v>30.0</v>
      </c>
      <c r="E44" s="87"/>
      <c r="F44" s="91">
        <v>30.0</v>
      </c>
      <c r="G44" s="87"/>
      <c r="H44" s="87"/>
      <c r="I44" s="87"/>
      <c r="J44" s="87"/>
      <c r="K44" s="92" t="s">
        <v>152</v>
      </c>
    </row>
    <row r="45">
      <c r="A45" s="144" t="s">
        <v>2314</v>
      </c>
      <c r="B45" s="8" t="s">
        <v>54</v>
      </c>
      <c r="C45" s="415" t="s">
        <v>9</v>
      </c>
      <c r="D45" s="91">
        <v>30.0</v>
      </c>
      <c r="E45" s="87"/>
      <c r="F45" s="8">
        <v>30.0</v>
      </c>
      <c r="G45" s="87"/>
      <c r="H45" s="87"/>
      <c r="I45" s="87"/>
      <c r="J45" s="87"/>
      <c r="K45" s="137" t="s">
        <v>606</v>
      </c>
    </row>
    <row r="46">
      <c r="A46" s="144" t="s">
        <v>2142</v>
      </c>
      <c r="B46" s="8" t="s">
        <v>96</v>
      </c>
      <c r="C46" s="415" t="s">
        <v>9</v>
      </c>
      <c r="D46" s="91">
        <v>30.0</v>
      </c>
      <c r="E46" s="87"/>
      <c r="F46" s="87"/>
      <c r="G46" s="87"/>
      <c r="H46" s="87"/>
      <c r="I46" s="87"/>
      <c r="J46" s="87"/>
      <c r="K46" s="92" t="s">
        <v>2143</v>
      </c>
    </row>
    <row r="47">
      <c r="A47" s="144" t="s">
        <v>2315</v>
      </c>
      <c r="B47" s="8" t="s">
        <v>96</v>
      </c>
      <c r="C47" s="415" t="s">
        <v>9</v>
      </c>
      <c r="D47" s="87"/>
      <c r="E47" s="87"/>
      <c r="F47" s="87"/>
      <c r="G47" s="87"/>
      <c r="H47" s="87"/>
      <c r="I47" s="87"/>
      <c r="J47" s="91">
        <v>15.0</v>
      </c>
      <c r="K47" s="92" t="s">
        <v>305</v>
      </c>
    </row>
    <row r="48">
      <c r="A48" s="144" t="s">
        <v>619</v>
      </c>
      <c r="B48" s="8" t="s">
        <v>96</v>
      </c>
      <c r="C48" s="8" t="s">
        <v>20</v>
      </c>
      <c r="D48" s="91">
        <v>30.0</v>
      </c>
      <c r="E48" s="87"/>
      <c r="F48" s="87"/>
      <c r="G48" s="87"/>
      <c r="H48" s="87"/>
      <c r="I48" s="87"/>
      <c r="J48" s="87"/>
      <c r="K48" s="92" t="s">
        <v>2316</v>
      </c>
    </row>
    <row r="49">
      <c r="A49" s="144" t="s">
        <v>95</v>
      </c>
      <c r="B49" s="8" t="s">
        <v>96</v>
      </c>
      <c r="C49" s="8" t="s">
        <v>20</v>
      </c>
      <c r="D49" s="87"/>
      <c r="E49" s="87"/>
      <c r="F49" s="87"/>
      <c r="G49" s="87"/>
      <c r="H49" s="91">
        <v>30.0</v>
      </c>
      <c r="I49" s="87"/>
      <c r="J49" s="87"/>
      <c r="K49" s="92" t="s">
        <v>97</v>
      </c>
    </row>
    <row r="50">
      <c r="A50" s="144" t="s">
        <v>630</v>
      </c>
      <c r="B50" s="8" t="s">
        <v>96</v>
      </c>
      <c r="C50" s="8" t="s">
        <v>12</v>
      </c>
      <c r="D50" s="87"/>
      <c r="E50" s="87"/>
      <c r="F50" s="87"/>
      <c r="G50" s="87"/>
      <c r="H50" s="87"/>
      <c r="I50" s="87"/>
      <c r="J50" s="91">
        <v>15.0</v>
      </c>
      <c r="K50" s="92" t="s">
        <v>631</v>
      </c>
    </row>
    <row r="51">
      <c r="A51" s="144" t="s">
        <v>2317</v>
      </c>
      <c r="B51" s="8" t="s">
        <v>96</v>
      </c>
      <c r="C51" s="8" t="s">
        <v>12</v>
      </c>
      <c r="D51" s="87"/>
      <c r="E51" s="87"/>
      <c r="F51" s="87"/>
      <c r="G51" s="87"/>
      <c r="H51" s="87"/>
      <c r="I51" s="87"/>
      <c r="J51" s="91">
        <v>15.0</v>
      </c>
      <c r="K51" s="92" t="s">
        <v>363</v>
      </c>
    </row>
    <row r="52">
      <c r="A52" s="144" t="s">
        <v>2137</v>
      </c>
      <c r="B52" s="8" t="s">
        <v>96</v>
      </c>
      <c r="C52" s="8" t="s">
        <v>16</v>
      </c>
      <c r="D52" s="87"/>
      <c r="E52" s="87"/>
      <c r="F52" s="87"/>
      <c r="G52" s="87"/>
      <c r="H52" s="87"/>
      <c r="I52" s="87"/>
      <c r="J52" s="91">
        <v>15.0</v>
      </c>
      <c r="K52" s="92" t="s">
        <v>2138</v>
      </c>
    </row>
    <row r="53">
      <c r="A53" s="144" t="s">
        <v>2318</v>
      </c>
      <c r="B53" s="8" t="s">
        <v>96</v>
      </c>
      <c r="C53" s="8" t="s">
        <v>20</v>
      </c>
      <c r="D53" s="87"/>
      <c r="E53" s="87"/>
      <c r="F53" s="87"/>
      <c r="G53" s="87"/>
      <c r="H53" s="87"/>
      <c r="I53" s="87"/>
      <c r="J53" s="91">
        <v>15.0</v>
      </c>
      <c r="K53" s="92" t="s">
        <v>97</v>
      </c>
    </row>
    <row r="54">
      <c r="A54" s="144" t="s">
        <v>2264</v>
      </c>
      <c r="B54" s="8" t="s">
        <v>96</v>
      </c>
      <c r="C54" s="8" t="s">
        <v>40</v>
      </c>
      <c r="D54" s="87"/>
      <c r="E54" s="87"/>
      <c r="F54" s="91">
        <v>30.0</v>
      </c>
      <c r="G54" s="87"/>
      <c r="H54" s="87"/>
      <c r="I54" s="87"/>
      <c r="J54" s="87"/>
      <c r="K54" s="92" t="s">
        <v>2265</v>
      </c>
    </row>
    <row r="55">
      <c r="A55" s="52" t="s">
        <v>2319</v>
      </c>
      <c r="B55" s="93"/>
      <c r="C55" s="93"/>
      <c r="D55" s="94">
        <f>D39+D40+D41</f>
        <v>90</v>
      </c>
      <c r="E55" s="93"/>
      <c r="F55" s="94">
        <f>F39+F40+F41</f>
        <v>60</v>
      </c>
      <c r="G55" s="93"/>
      <c r="H55" s="94">
        <f>H39+H40+H41</f>
        <v>60</v>
      </c>
      <c r="I55" s="93"/>
      <c r="J55" s="94">
        <f>J39+J40+J41</f>
        <v>30</v>
      </c>
      <c r="K55" s="97"/>
    </row>
    <row r="56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1"/>
    </row>
    <row r="57">
      <c r="A57" s="424" t="s">
        <v>37</v>
      </c>
      <c r="B57" s="89"/>
      <c r="C57" s="89"/>
      <c r="D57" s="89"/>
      <c r="E57" s="89"/>
      <c r="F57" s="89"/>
      <c r="G57" s="89"/>
      <c r="H57" s="89"/>
      <c r="I57" s="89"/>
      <c r="J57" s="89"/>
      <c r="K57" s="90"/>
    </row>
    <row r="58">
      <c r="A58" s="144" t="s">
        <v>241</v>
      </c>
      <c r="B58" s="87"/>
      <c r="C58" s="87"/>
      <c r="D58" s="87"/>
      <c r="E58" s="87"/>
      <c r="F58" s="87"/>
      <c r="G58" s="87"/>
      <c r="H58" s="87"/>
      <c r="I58" s="87"/>
      <c r="J58" s="87"/>
      <c r="K58" s="88"/>
    </row>
    <row r="59">
      <c r="A59" s="144" t="s">
        <v>2152</v>
      </c>
      <c r="B59" s="87"/>
      <c r="C59" s="87"/>
      <c r="D59" s="91">
        <v>10.0</v>
      </c>
      <c r="E59" s="87"/>
      <c r="F59" s="87"/>
      <c r="G59" s="87"/>
      <c r="H59" s="87"/>
      <c r="I59" s="87"/>
      <c r="J59" s="87"/>
      <c r="K59" s="88"/>
    </row>
    <row r="60">
      <c r="A60" s="144" t="s">
        <v>2320</v>
      </c>
      <c r="B60" s="8" t="s">
        <v>19</v>
      </c>
      <c r="C60" s="8" t="s">
        <v>12</v>
      </c>
      <c r="D60" s="87"/>
      <c r="E60" s="87"/>
      <c r="F60" s="87"/>
      <c r="G60" s="87"/>
      <c r="H60" s="87"/>
      <c r="I60" s="87"/>
      <c r="J60" s="87"/>
      <c r="K60" s="92" t="s">
        <v>406</v>
      </c>
    </row>
    <row r="61">
      <c r="A61" s="144" t="s">
        <v>2277</v>
      </c>
      <c r="B61" s="8" t="s">
        <v>19</v>
      </c>
      <c r="C61" s="8" t="s">
        <v>12</v>
      </c>
      <c r="D61" s="87"/>
      <c r="E61" s="87"/>
      <c r="F61" s="87"/>
      <c r="G61" s="87"/>
      <c r="H61" s="87"/>
      <c r="I61" s="87"/>
      <c r="J61" s="87"/>
      <c r="K61" s="92" t="s">
        <v>249</v>
      </c>
    </row>
    <row r="62">
      <c r="A62" s="144" t="s">
        <v>2321</v>
      </c>
      <c r="B62" s="87"/>
      <c r="C62" s="87"/>
      <c r="D62" s="87"/>
      <c r="E62" s="87"/>
      <c r="F62" s="87"/>
      <c r="G62" s="87"/>
      <c r="H62" s="91">
        <v>10.0</v>
      </c>
      <c r="I62" s="87"/>
      <c r="J62" s="87"/>
      <c r="K62" s="88"/>
    </row>
    <row r="63">
      <c r="A63" s="144" t="s">
        <v>2322</v>
      </c>
      <c r="B63" s="8" t="s">
        <v>19</v>
      </c>
      <c r="C63" s="8" t="s">
        <v>16</v>
      </c>
      <c r="D63" s="87"/>
      <c r="E63" s="87"/>
      <c r="F63" s="87"/>
      <c r="G63" s="87"/>
      <c r="H63" s="87"/>
      <c r="I63" s="87"/>
      <c r="J63" s="87"/>
      <c r="K63" s="92" t="s">
        <v>318</v>
      </c>
    </row>
    <row r="64">
      <c r="A64" s="144" t="s">
        <v>2323</v>
      </c>
      <c r="B64" s="8" t="s">
        <v>19</v>
      </c>
      <c r="C64" s="8" t="s">
        <v>16</v>
      </c>
      <c r="D64" s="87"/>
      <c r="E64" s="87"/>
      <c r="F64" s="87"/>
      <c r="G64" s="87"/>
      <c r="H64" s="87"/>
      <c r="I64" s="87"/>
      <c r="J64" s="87"/>
      <c r="K64" s="92" t="s">
        <v>678</v>
      </c>
    </row>
    <row r="65">
      <c r="A65" s="144" t="s">
        <v>254</v>
      </c>
      <c r="B65" s="87"/>
      <c r="C65" s="87"/>
      <c r="D65" s="87"/>
      <c r="E65" s="87"/>
      <c r="F65" s="87"/>
      <c r="G65" s="87"/>
      <c r="H65" s="87"/>
      <c r="I65" s="87"/>
      <c r="J65" s="87"/>
      <c r="K65" s="88"/>
    </row>
    <row r="66">
      <c r="A66" s="144" t="s">
        <v>2152</v>
      </c>
      <c r="B66" s="87"/>
      <c r="C66" s="87"/>
      <c r="D66" s="91">
        <v>12.0</v>
      </c>
      <c r="E66" s="87"/>
      <c r="F66" s="87"/>
      <c r="G66" s="87"/>
      <c r="H66" s="87"/>
      <c r="I66" s="87"/>
      <c r="J66" s="87"/>
      <c r="K66" s="88"/>
    </row>
    <row r="67">
      <c r="A67" s="144" t="s">
        <v>2324</v>
      </c>
      <c r="B67" s="8" t="s">
        <v>417</v>
      </c>
      <c r="C67" s="8" t="s">
        <v>12</v>
      </c>
      <c r="D67" s="87"/>
      <c r="E67" s="87"/>
      <c r="F67" s="87"/>
      <c r="G67" s="87"/>
      <c r="H67" s="87"/>
      <c r="I67" s="87"/>
      <c r="J67" s="87"/>
      <c r="K67" s="92" t="s">
        <v>418</v>
      </c>
    </row>
    <row r="68">
      <c r="A68" s="144" t="s">
        <v>2325</v>
      </c>
      <c r="B68" s="8" t="s">
        <v>141</v>
      </c>
      <c r="C68" s="8" t="s">
        <v>12</v>
      </c>
      <c r="D68" s="87"/>
      <c r="E68" s="87"/>
      <c r="F68" s="87"/>
      <c r="G68" s="87"/>
      <c r="H68" s="87"/>
      <c r="I68" s="87"/>
      <c r="J68" s="87"/>
      <c r="K68" s="92" t="s">
        <v>840</v>
      </c>
    </row>
    <row r="69">
      <c r="A69" s="144" t="s">
        <v>2321</v>
      </c>
      <c r="B69" s="87"/>
      <c r="C69" s="87"/>
      <c r="D69" s="87"/>
      <c r="E69" s="87"/>
      <c r="F69" s="87"/>
      <c r="G69" s="87"/>
      <c r="H69" s="91">
        <v>12.0</v>
      </c>
      <c r="I69" s="87"/>
      <c r="J69" s="87"/>
      <c r="K69" s="88"/>
    </row>
    <row r="70">
      <c r="A70" s="144" t="s">
        <v>2326</v>
      </c>
      <c r="B70" s="8" t="s">
        <v>15</v>
      </c>
      <c r="C70" s="8" t="s">
        <v>40</v>
      </c>
      <c r="D70" s="87"/>
      <c r="E70" s="87"/>
      <c r="F70" s="87"/>
      <c r="G70" s="87"/>
      <c r="H70" s="87"/>
      <c r="I70" s="87"/>
      <c r="J70" s="87"/>
      <c r="K70" s="92" t="s">
        <v>266</v>
      </c>
    </row>
    <row r="71">
      <c r="A71" s="144" t="s">
        <v>2327</v>
      </c>
      <c r="B71" s="8" t="s">
        <v>15</v>
      </c>
      <c r="C71" s="8" t="s">
        <v>9</v>
      </c>
      <c r="D71" s="87"/>
      <c r="E71" s="87"/>
      <c r="F71" s="87"/>
      <c r="G71" s="87"/>
      <c r="H71" s="87"/>
      <c r="I71" s="87"/>
      <c r="J71" s="87"/>
      <c r="K71" s="92" t="s">
        <v>744</v>
      </c>
    </row>
    <row r="72">
      <c r="A72" s="144" t="s">
        <v>298</v>
      </c>
      <c r="B72" s="87"/>
      <c r="C72" s="87"/>
      <c r="D72" s="87"/>
      <c r="E72" s="87"/>
      <c r="F72" s="87"/>
      <c r="G72" s="87"/>
      <c r="H72" s="87"/>
      <c r="I72" s="87"/>
      <c r="J72" s="87"/>
      <c r="K72" s="88"/>
    </row>
    <row r="73">
      <c r="A73" s="144" t="s">
        <v>2152</v>
      </c>
      <c r="B73" s="87"/>
      <c r="C73" s="87"/>
      <c r="D73" s="91">
        <v>14.0</v>
      </c>
      <c r="E73" s="87"/>
      <c r="F73" s="87"/>
      <c r="G73" s="87"/>
      <c r="H73" s="87"/>
      <c r="I73" s="87"/>
      <c r="J73" s="87"/>
      <c r="K73" s="88"/>
    </row>
    <row r="74">
      <c r="A74" s="144" t="s">
        <v>2328</v>
      </c>
      <c r="B74" s="8" t="s">
        <v>96</v>
      </c>
      <c r="C74" s="8" t="s">
        <v>12</v>
      </c>
      <c r="D74" s="87"/>
      <c r="E74" s="87"/>
      <c r="F74" s="87"/>
      <c r="G74" s="87"/>
      <c r="H74" s="87"/>
      <c r="I74" s="87"/>
      <c r="J74" s="87"/>
      <c r="K74" s="92" t="s">
        <v>363</v>
      </c>
    </row>
    <row r="75">
      <c r="A75" s="144" t="s">
        <v>362</v>
      </c>
      <c r="B75" s="8" t="s">
        <v>96</v>
      </c>
      <c r="C75" s="8" t="s">
        <v>12</v>
      </c>
      <c r="D75" s="87"/>
      <c r="E75" s="87"/>
      <c r="F75" s="87"/>
      <c r="G75" s="87"/>
      <c r="H75" s="87"/>
      <c r="I75" s="87"/>
      <c r="J75" s="87"/>
      <c r="K75" s="92" t="s">
        <v>363</v>
      </c>
    </row>
    <row r="76">
      <c r="A76" s="144" t="s">
        <v>2321</v>
      </c>
      <c r="B76" s="87"/>
      <c r="C76" s="87"/>
      <c r="D76" s="87"/>
      <c r="E76" s="87"/>
      <c r="F76" s="87"/>
      <c r="G76" s="87"/>
      <c r="H76" s="91">
        <v>14.0</v>
      </c>
      <c r="I76" s="87"/>
      <c r="J76" s="87"/>
      <c r="K76" s="88"/>
    </row>
    <row r="77">
      <c r="A77" s="144" t="s">
        <v>2329</v>
      </c>
      <c r="B77" s="8" t="s">
        <v>54</v>
      </c>
      <c r="C77" s="8" t="s">
        <v>12</v>
      </c>
      <c r="D77" s="87"/>
      <c r="E77" s="87"/>
      <c r="F77" s="87"/>
      <c r="G77" s="87"/>
      <c r="H77" s="87"/>
      <c r="I77" s="87"/>
      <c r="J77" s="87"/>
      <c r="K77" s="92" t="s">
        <v>2194</v>
      </c>
    </row>
    <row r="78">
      <c r="A78" s="144" t="s">
        <v>2330</v>
      </c>
      <c r="B78" s="8" t="s">
        <v>54</v>
      </c>
      <c r="C78" s="8" t="s">
        <v>16</v>
      </c>
      <c r="D78" s="87"/>
      <c r="E78" s="87"/>
      <c r="F78" s="87"/>
      <c r="G78" s="87"/>
      <c r="H78" s="87"/>
      <c r="I78" s="87"/>
      <c r="J78" s="87"/>
      <c r="K78" s="92" t="s">
        <v>915</v>
      </c>
    </row>
    <row r="79">
      <c r="A79" s="52" t="s">
        <v>64</v>
      </c>
      <c r="B79" s="93"/>
      <c r="C79" s="93"/>
      <c r="D79" s="94">
        <v>36.0</v>
      </c>
      <c r="E79" s="93"/>
      <c r="F79" s="94">
        <v>0.0</v>
      </c>
      <c r="G79" s="93"/>
      <c r="H79" s="94">
        <v>36.0</v>
      </c>
      <c r="I79" s="93"/>
      <c r="J79" s="93"/>
      <c r="K79" s="97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</row>
    <row r="82">
      <c r="A82" s="100" t="s">
        <v>2331</v>
      </c>
      <c r="B82" s="101">
        <f>D13+D16+D27+D30+D55+D79+D36+D19+D33+D22</f>
        <v>464</v>
      </c>
      <c r="C82" s="104"/>
      <c r="D82" s="104"/>
      <c r="E82" s="104"/>
      <c r="F82" s="104"/>
      <c r="G82" s="104"/>
      <c r="H82" s="104"/>
      <c r="I82" s="104"/>
      <c r="J82" s="104"/>
      <c r="K82" s="104"/>
    </row>
    <row r="83">
      <c r="A83" s="102" t="s">
        <v>2332</v>
      </c>
      <c r="B83" s="103">
        <f>F13+F16+F27+F30+F55+F79+F36+F19+F33</f>
        <v>245</v>
      </c>
      <c r="C83" s="104"/>
      <c r="D83" s="104"/>
      <c r="E83" s="104"/>
      <c r="F83" s="104"/>
      <c r="G83" s="104"/>
      <c r="H83" s="104"/>
      <c r="I83" s="104"/>
      <c r="J83" s="104"/>
      <c r="K83" s="104"/>
    </row>
    <row r="84">
      <c r="A84" s="102" t="s">
        <v>2333</v>
      </c>
      <c r="B84" s="103">
        <f>H13+H16+H27+H55+H79+H30+H36+H19</f>
        <v>128</v>
      </c>
      <c r="C84" s="104"/>
      <c r="D84" s="104"/>
      <c r="E84" s="104"/>
      <c r="F84" s="104"/>
      <c r="G84" s="104"/>
      <c r="H84" s="104"/>
      <c r="I84" s="104"/>
      <c r="J84" s="104"/>
      <c r="K84" s="104"/>
    </row>
  </sheetData>
  <dataValidations>
    <dataValidation type="list" allowBlank="1" showErrorMessage="1" sqref="C39:C54">
      <formula1>"FAME,ART,FTH,CIV,TECH"</formula1>
    </dataValidation>
    <dataValidation type="list" allowBlank="1" showErrorMessage="1" sqref="B3:B12 B39:B54 B60:B61 B63:B64 B67:B68 B70:B71 B74:B75 B77:B78">
      <formula1>"SSS,SS,S,AAA,AA,A,Blue,Green"</formula1>
    </dataValidation>
    <dataValidation type="list" allowBlank="1" showErrorMessage="1" sqref="C3:C12 C60:C61 C63:C64 C67:C68 C70:C71 C74:C75 C77:C78">
      <formula1>"FAME,ART,FTH,CIV,TECH"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5.18"/>
    <col customWidth="1" min="2" max="2" width="8.09"/>
    <col customWidth="1" min="3" max="3" width="7.82"/>
    <col customWidth="1" min="4" max="4" width="8.09"/>
    <col customWidth="1" min="5" max="5" width="11.73"/>
    <col customWidth="1" min="6" max="6" width="6.09"/>
    <col customWidth="1" min="7" max="7" width="9.73"/>
    <col customWidth="1" min="8" max="8" width="10.09"/>
    <col customWidth="1" min="9" max="9" width="16.91"/>
    <col customWidth="1" min="10" max="10" width="8.82"/>
    <col customWidth="1" min="11" max="11" width="121.0"/>
  </cols>
  <sheetData>
    <row r="1">
      <c r="A1" s="148" t="s">
        <v>0</v>
      </c>
      <c r="B1" s="124" t="s">
        <v>1</v>
      </c>
      <c r="C1" s="124" t="s">
        <v>2</v>
      </c>
      <c r="D1" s="124" t="s">
        <v>2082</v>
      </c>
      <c r="E1" s="124" t="s">
        <v>2083</v>
      </c>
      <c r="F1" s="124" t="s">
        <v>2084</v>
      </c>
      <c r="G1" s="124" t="s">
        <v>2085</v>
      </c>
      <c r="H1" s="124" t="s">
        <v>2334</v>
      </c>
      <c r="I1" s="124" t="s">
        <v>2335</v>
      </c>
      <c r="J1" s="124" t="s">
        <v>2088</v>
      </c>
      <c r="K1" s="129" t="s">
        <v>5</v>
      </c>
      <c r="L1" s="79"/>
      <c r="M1" s="80"/>
    </row>
    <row r="2">
      <c r="A2" s="144" t="s">
        <v>6</v>
      </c>
      <c r="B2" s="87"/>
      <c r="C2" s="87"/>
      <c r="D2" s="87"/>
      <c r="E2" s="87"/>
      <c r="F2" s="87"/>
      <c r="G2" s="87"/>
      <c r="H2" s="87"/>
      <c r="I2" s="87"/>
      <c r="J2" s="87"/>
      <c r="K2" s="88"/>
      <c r="L2" s="79"/>
      <c r="M2" s="80"/>
    </row>
    <row r="3">
      <c r="A3" s="147" t="s">
        <v>2145</v>
      </c>
      <c r="B3" s="8" t="s">
        <v>54</v>
      </c>
      <c r="C3" s="415" t="s">
        <v>9</v>
      </c>
      <c r="D3" s="91">
        <v>22.0</v>
      </c>
      <c r="E3" s="87"/>
      <c r="F3" s="91">
        <v>22.0</v>
      </c>
      <c r="G3" s="87"/>
      <c r="H3" s="91">
        <v>22.0</v>
      </c>
      <c r="I3" s="91">
        <v>20.0</v>
      </c>
      <c r="J3" s="87"/>
      <c r="K3" s="92" t="s">
        <v>2336</v>
      </c>
      <c r="L3" s="434"/>
      <c r="M3" s="146"/>
    </row>
    <row r="4">
      <c r="A4" s="147" t="s">
        <v>2337</v>
      </c>
      <c r="B4" s="8" t="s">
        <v>54</v>
      </c>
      <c r="C4" s="8" t="s">
        <v>16</v>
      </c>
      <c r="D4" s="91">
        <v>22.0</v>
      </c>
      <c r="E4" s="91">
        <v>20.0</v>
      </c>
      <c r="F4" s="91">
        <v>22.0</v>
      </c>
      <c r="G4" s="87"/>
      <c r="H4" s="87"/>
      <c r="I4" s="87"/>
      <c r="J4" s="87"/>
      <c r="K4" s="92" t="s">
        <v>2338</v>
      </c>
      <c r="L4" s="434"/>
      <c r="M4" s="146"/>
    </row>
    <row r="5">
      <c r="A5" s="147" t="s">
        <v>2195</v>
      </c>
      <c r="B5" s="8" t="s">
        <v>54</v>
      </c>
      <c r="C5" s="8" t="s">
        <v>12</v>
      </c>
      <c r="D5" s="91">
        <v>22.0</v>
      </c>
      <c r="E5" s="91">
        <v>20.0</v>
      </c>
      <c r="F5" s="87"/>
      <c r="G5" s="87"/>
      <c r="H5" s="87"/>
      <c r="I5" s="87"/>
      <c r="J5" s="87"/>
      <c r="K5" s="92" t="s">
        <v>2339</v>
      </c>
      <c r="L5" s="434"/>
      <c r="M5" s="146"/>
    </row>
    <row r="6">
      <c r="A6" s="147" t="s">
        <v>561</v>
      </c>
      <c r="B6" s="8" t="s">
        <v>96</v>
      </c>
      <c r="C6" s="8" t="s">
        <v>20</v>
      </c>
      <c r="D6" s="91">
        <v>20.0</v>
      </c>
      <c r="E6" s="87"/>
      <c r="F6" s="87"/>
      <c r="G6" s="87"/>
      <c r="H6" s="87"/>
      <c r="I6" s="87"/>
      <c r="J6" s="87"/>
      <c r="K6" s="92" t="s">
        <v>2340</v>
      </c>
      <c r="L6" s="434"/>
      <c r="M6" s="146"/>
    </row>
    <row r="7">
      <c r="A7" s="147" t="s">
        <v>2341</v>
      </c>
      <c r="B7" s="8" t="s">
        <v>15</v>
      </c>
      <c r="C7" s="415" t="s">
        <v>9</v>
      </c>
      <c r="D7" s="87"/>
      <c r="E7" s="87"/>
      <c r="F7" s="87"/>
      <c r="G7" s="87"/>
      <c r="H7" s="91">
        <v>18.0</v>
      </c>
      <c r="I7" s="91">
        <v>14.0</v>
      </c>
      <c r="J7" s="87"/>
      <c r="K7" s="92" t="s">
        <v>2342</v>
      </c>
      <c r="L7" s="434"/>
      <c r="M7" s="146"/>
    </row>
    <row r="8">
      <c r="A8" s="147" t="s">
        <v>2343</v>
      </c>
      <c r="B8" s="8" t="s">
        <v>141</v>
      </c>
      <c r="C8" s="8" t="s">
        <v>12</v>
      </c>
      <c r="D8" s="91">
        <v>16.0</v>
      </c>
      <c r="E8" s="91">
        <v>14.0</v>
      </c>
      <c r="F8" s="91">
        <v>16.0</v>
      </c>
      <c r="G8" s="87"/>
      <c r="H8" s="87"/>
      <c r="I8" s="87"/>
      <c r="J8" s="87"/>
      <c r="K8" s="92" t="s">
        <v>2344</v>
      </c>
      <c r="L8" s="434"/>
      <c r="M8" s="146"/>
    </row>
    <row r="9">
      <c r="A9" s="147" t="s">
        <v>2101</v>
      </c>
      <c r="B9" s="8" t="s">
        <v>15</v>
      </c>
      <c r="C9" s="8" t="s">
        <v>16</v>
      </c>
      <c r="D9" s="91">
        <v>5.0</v>
      </c>
      <c r="E9" s="91">
        <v>5.0</v>
      </c>
      <c r="F9" s="87"/>
      <c r="G9" s="87"/>
      <c r="H9" s="91"/>
      <c r="I9" s="91"/>
      <c r="J9" s="87"/>
      <c r="K9" s="92" t="s">
        <v>798</v>
      </c>
      <c r="L9" s="434"/>
      <c r="M9" s="80"/>
    </row>
    <row r="10">
      <c r="A10" s="147" t="s">
        <v>2345</v>
      </c>
      <c r="B10" s="8" t="s">
        <v>19</v>
      </c>
      <c r="C10" s="8" t="s">
        <v>40</v>
      </c>
      <c r="D10" s="91">
        <v>10.0</v>
      </c>
      <c r="E10" s="91">
        <v>10.0</v>
      </c>
      <c r="F10" s="87"/>
      <c r="G10" s="87"/>
      <c r="H10" s="87"/>
      <c r="I10" s="87"/>
      <c r="J10" s="87"/>
      <c r="K10" s="92" t="s">
        <v>2346</v>
      </c>
      <c r="L10" s="434"/>
      <c r="M10" s="146"/>
    </row>
    <row r="11">
      <c r="A11" s="144" t="s">
        <v>602</v>
      </c>
      <c r="B11" s="8" t="s">
        <v>19</v>
      </c>
      <c r="C11" s="415" t="s">
        <v>9</v>
      </c>
      <c r="D11" s="87"/>
      <c r="E11" s="87"/>
      <c r="F11" s="91">
        <v>10.0</v>
      </c>
      <c r="G11" s="91">
        <v>10.0</v>
      </c>
      <c r="H11" s="87"/>
      <c r="I11" s="87"/>
      <c r="J11" s="87"/>
      <c r="K11" s="92" t="s">
        <v>2347</v>
      </c>
      <c r="L11" s="434"/>
      <c r="M11" s="146"/>
    </row>
    <row r="12">
      <c r="A12" s="147" t="s">
        <v>2348</v>
      </c>
      <c r="B12" s="8" t="s">
        <v>23</v>
      </c>
      <c r="C12" s="8" t="s">
        <v>20</v>
      </c>
      <c r="D12" s="91">
        <v>6.0</v>
      </c>
      <c r="E12" s="87"/>
      <c r="F12" s="425"/>
      <c r="G12" s="87"/>
      <c r="H12" s="425"/>
      <c r="I12" s="87"/>
      <c r="J12" s="87"/>
      <c r="K12" s="92" t="s">
        <v>2349</v>
      </c>
      <c r="L12" s="79"/>
      <c r="M12" s="80"/>
    </row>
    <row r="13">
      <c r="A13" s="147" t="s">
        <v>2350</v>
      </c>
      <c r="B13" s="8" t="s">
        <v>23</v>
      </c>
      <c r="C13" s="8" t="s">
        <v>12</v>
      </c>
      <c r="D13" s="91"/>
      <c r="E13" s="87"/>
      <c r="F13" s="91"/>
      <c r="G13" s="87"/>
      <c r="H13" s="91">
        <v>6.0</v>
      </c>
      <c r="I13" s="87"/>
      <c r="J13" s="87"/>
      <c r="K13" s="92" t="s">
        <v>2351</v>
      </c>
      <c r="L13" s="79"/>
      <c r="M13" s="80"/>
    </row>
    <row r="14">
      <c r="A14" s="52" t="s">
        <v>27</v>
      </c>
      <c r="B14" s="93"/>
      <c r="C14" s="93"/>
      <c r="D14" s="94">
        <f>sum(D3:E13)</f>
        <v>192</v>
      </c>
      <c r="E14" s="93"/>
      <c r="F14" s="94">
        <f>sum(F3:G13)</f>
        <v>80</v>
      </c>
      <c r="G14" s="93"/>
      <c r="H14" s="94">
        <f>sum(H3:I13)</f>
        <v>80</v>
      </c>
      <c r="I14" s="93"/>
      <c r="J14" s="93"/>
      <c r="K14" s="97"/>
      <c r="L14" s="79"/>
      <c r="M14" s="80"/>
    </row>
    <row r="15">
      <c r="A15" s="79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79"/>
      <c r="M15" s="80"/>
    </row>
    <row r="16">
      <c r="A16" s="148" t="s">
        <v>212</v>
      </c>
      <c r="B16" s="89"/>
      <c r="C16" s="89"/>
      <c r="D16" s="89"/>
      <c r="E16" s="89"/>
      <c r="F16" s="89"/>
      <c r="G16" s="89"/>
      <c r="H16" s="89"/>
      <c r="I16" s="89"/>
      <c r="J16" s="89"/>
      <c r="K16" s="90"/>
      <c r="L16" s="79"/>
      <c r="M16" s="80"/>
    </row>
    <row r="17">
      <c r="A17" s="52" t="s">
        <v>2352</v>
      </c>
      <c r="B17" s="93"/>
      <c r="C17" s="93"/>
      <c r="D17" s="94">
        <v>30.0</v>
      </c>
      <c r="E17" s="93"/>
      <c r="F17" s="93"/>
      <c r="G17" s="93"/>
      <c r="H17" s="93"/>
      <c r="I17" s="93"/>
      <c r="J17" s="93"/>
      <c r="K17" s="95" t="s">
        <v>30</v>
      </c>
      <c r="L17" s="79"/>
      <c r="M17" s="80"/>
    </row>
    <row r="18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79"/>
      <c r="M18" s="80"/>
    </row>
    <row r="19">
      <c r="A19" s="148" t="s">
        <v>226</v>
      </c>
      <c r="B19" s="89"/>
      <c r="C19" s="89"/>
      <c r="D19" s="89"/>
      <c r="E19" s="89"/>
      <c r="F19" s="89"/>
      <c r="G19" s="89"/>
      <c r="H19" s="89"/>
      <c r="I19" s="89"/>
      <c r="J19" s="89"/>
      <c r="K19" s="90"/>
      <c r="L19" s="79"/>
      <c r="M19" s="80"/>
    </row>
    <row r="20">
      <c r="A20" s="52" t="s">
        <v>2309</v>
      </c>
      <c r="B20" s="93"/>
      <c r="C20" s="93"/>
      <c r="D20" s="94">
        <v>25.0</v>
      </c>
      <c r="E20" s="93"/>
      <c r="F20" s="94">
        <v>25.0</v>
      </c>
      <c r="G20" s="93"/>
      <c r="H20" s="93"/>
      <c r="I20" s="93"/>
      <c r="J20" s="93"/>
      <c r="K20" s="95" t="s">
        <v>2189</v>
      </c>
      <c r="L20" s="434"/>
      <c r="M20" s="80"/>
    </row>
    <row r="21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79"/>
      <c r="M21" s="80"/>
    </row>
    <row r="22">
      <c r="A22" s="413" t="s">
        <v>2122</v>
      </c>
      <c r="B22" s="395"/>
      <c r="C22" s="395"/>
      <c r="D22" s="395"/>
      <c r="E22" s="395"/>
      <c r="F22" s="395"/>
      <c r="G22" s="395"/>
      <c r="H22" s="395"/>
      <c r="I22" s="395"/>
      <c r="J22" s="395"/>
      <c r="K22" s="405"/>
      <c r="L22" s="79"/>
      <c r="M22" s="80"/>
    </row>
    <row r="23">
      <c r="A23" s="409" t="s">
        <v>2353</v>
      </c>
      <c r="B23" s="60"/>
      <c r="C23" s="60"/>
      <c r="D23" s="410">
        <v>3.0</v>
      </c>
      <c r="E23" s="60"/>
      <c r="F23" s="60"/>
      <c r="G23" s="60"/>
      <c r="H23" s="60"/>
      <c r="I23" s="60"/>
      <c r="J23" s="60"/>
      <c r="K23" s="414" t="s">
        <v>2124</v>
      </c>
      <c r="L23" s="79"/>
      <c r="M23" s="80"/>
    </row>
    <row r="24">
      <c r="A24" s="398"/>
      <c r="B24" s="57"/>
      <c r="C24" s="57"/>
      <c r="D24" s="57"/>
      <c r="E24" s="57"/>
      <c r="F24" s="57"/>
      <c r="G24" s="57"/>
      <c r="H24" s="57"/>
      <c r="I24" s="57"/>
      <c r="J24" s="57"/>
      <c r="K24" s="400"/>
      <c r="L24" s="79"/>
      <c r="M24" s="80"/>
    </row>
    <row r="25">
      <c r="A25" s="148" t="s">
        <v>2112</v>
      </c>
      <c r="B25" s="89"/>
      <c r="C25" s="89"/>
      <c r="D25" s="89"/>
      <c r="E25" s="89"/>
      <c r="F25" s="89"/>
      <c r="G25" s="89"/>
      <c r="H25" s="89"/>
      <c r="I25" s="89"/>
      <c r="J25" s="89"/>
      <c r="K25" s="90"/>
      <c r="L25" s="79"/>
      <c r="M25" s="80"/>
    </row>
    <row r="26">
      <c r="A26" s="144" t="s">
        <v>2113</v>
      </c>
      <c r="B26" s="87"/>
      <c r="C26" s="87"/>
      <c r="D26" s="91">
        <v>10.0</v>
      </c>
      <c r="E26" s="87"/>
      <c r="F26" s="91">
        <v>10.0</v>
      </c>
      <c r="G26" s="87"/>
      <c r="H26" s="87"/>
      <c r="I26" s="87"/>
      <c r="J26" s="87"/>
      <c r="K26" s="92" t="s">
        <v>2114</v>
      </c>
      <c r="L26" s="79"/>
      <c r="M26" s="80"/>
    </row>
    <row r="27">
      <c r="A27" s="52" t="s">
        <v>479</v>
      </c>
      <c r="B27" s="93"/>
      <c r="C27" s="93"/>
      <c r="D27" s="94">
        <v>20.0</v>
      </c>
      <c r="E27" s="93"/>
      <c r="F27" s="94">
        <v>20.0</v>
      </c>
      <c r="G27" s="93"/>
      <c r="H27" s="93"/>
      <c r="I27" s="93"/>
      <c r="J27" s="93"/>
      <c r="K27" s="95" t="s">
        <v>2115</v>
      </c>
      <c r="L27" s="79"/>
      <c r="M27" s="80"/>
    </row>
    <row r="28">
      <c r="A28" s="144" t="s">
        <v>2116</v>
      </c>
      <c r="B28" s="87"/>
      <c r="C28" s="87"/>
      <c r="D28" s="87">
        <f>sum(D26:D27)</f>
        <v>30</v>
      </c>
      <c r="E28" s="87"/>
      <c r="F28" s="87">
        <f>sum(F26:F27)</f>
        <v>30</v>
      </c>
      <c r="G28" s="87"/>
      <c r="H28" s="87">
        <f>sum(H26:H27)</f>
        <v>0</v>
      </c>
      <c r="I28" s="87"/>
      <c r="J28" s="87"/>
      <c r="K28" s="87"/>
      <c r="L28" s="79"/>
      <c r="M28" s="80"/>
    </row>
    <row r="29">
      <c r="A29" s="86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79"/>
      <c r="M29" s="80"/>
    </row>
    <row r="30">
      <c r="A30" s="148" t="s">
        <v>31</v>
      </c>
      <c r="B30" s="89"/>
      <c r="C30" s="89"/>
      <c r="D30" s="89"/>
      <c r="E30" s="89"/>
      <c r="F30" s="89"/>
      <c r="G30" s="89"/>
      <c r="H30" s="89"/>
      <c r="I30" s="89"/>
      <c r="J30" s="89"/>
      <c r="K30" s="90"/>
      <c r="L30" s="79"/>
      <c r="M30" s="80"/>
    </row>
    <row r="31">
      <c r="A31" s="52" t="s">
        <v>2256</v>
      </c>
      <c r="B31" s="93"/>
      <c r="C31" s="93"/>
      <c r="D31" s="94">
        <v>10.0</v>
      </c>
      <c r="E31" s="93"/>
      <c r="F31" s="93"/>
      <c r="G31" s="93"/>
      <c r="H31" s="93"/>
      <c r="I31" s="93"/>
      <c r="J31" s="93"/>
      <c r="K31" s="97"/>
      <c r="L31" s="79"/>
      <c r="M31" s="80"/>
    </row>
    <row r="32">
      <c r="A32" s="86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79"/>
      <c r="M32" s="80"/>
    </row>
    <row r="33">
      <c r="A33" s="413" t="s">
        <v>35</v>
      </c>
      <c r="B33" s="395"/>
      <c r="C33" s="395"/>
      <c r="D33" s="395"/>
      <c r="E33" s="395"/>
      <c r="F33" s="395"/>
      <c r="G33" s="395"/>
      <c r="H33" s="395"/>
      <c r="I33" s="395"/>
      <c r="J33" s="395"/>
      <c r="K33" s="405"/>
      <c r="L33" s="79"/>
      <c r="M33" s="80"/>
    </row>
    <row r="34">
      <c r="A34" s="409" t="s">
        <v>482</v>
      </c>
      <c r="B34" s="60"/>
      <c r="C34" s="60"/>
      <c r="D34" s="410">
        <v>10.0</v>
      </c>
      <c r="E34" s="60"/>
      <c r="F34" s="410">
        <v>10.0</v>
      </c>
      <c r="G34" s="60"/>
      <c r="H34" s="60"/>
      <c r="I34" s="60"/>
      <c r="J34" s="60"/>
      <c r="K34" s="414" t="s">
        <v>2125</v>
      </c>
      <c r="L34" s="79"/>
      <c r="M34" s="80"/>
    </row>
    <row r="35">
      <c r="A35" s="398"/>
      <c r="B35" s="57"/>
      <c r="C35" s="57"/>
      <c r="D35" s="57"/>
      <c r="E35" s="57"/>
      <c r="F35" s="57"/>
      <c r="G35" s="57"/>
      <c r="H35" s="57"/>
      <c r="I35" s="57"/>
      <c r="J35" s="57"/>
      <c r="K35" s="400"/>
      <c r="L35" s="79"/>
      <c r="M35" s="80"/>
    </row>
    <row r="36">
      <c r="A36" s="148" t="s">
        <v>2126</v>
      </c>
      <c r="B36" s="89"/>
      <c r="C36" s="89"/>
      <c r="D36" s="89"/>
      <c r="E36" s="89"/>
      <c r="F36" s="89"/>
      <c r="G36" s="89"/>
      <c r="H36" s="89"/>
      <c r="I36" s="89"/>
      <c r="J36" s="89"/>
      <c r="K36" s="90"/>
      <c r="L36" s="79"/>
      <c r="M36" s="80"/>
    </row>
    <row r="37">
      <c r="A37" s="52" t="s">
        <v>2127</v>
      </c>
      <c r="B37" s="93"/>
      <c r="C37" s="93"/>
      <c r="D37" s="94">
        <v>20.0</v>
      </c>
      <c r="E37" s="93"/>
      <c r="F37" s="94">
        <v>40.0</v>
      </c>
      <c r="G37" s="93"/>
      <c r="H37" s="93"/>
      <c r="I37" s="93"/>
      <c r="J37" s="93"/>
      <c r="K37" s="97"/>
      <c r="L37" s="79"/>
      <c r="M37" s="80"/>
    </row>
    <row r="38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79"/>
      <c r="M38" s="80"/>
    </row>
    <row r="39">
      <c r="A39" s="148" t="s">
        <v>2128</v>
      </c>
      <c r="B39" s="89"/>
      <c r="C39" s="89"/>
      <c r="D39" s="89"/>
      <c r="E39" s="89"/>
      <c r="F39" s="89"/>
      <c r="G39" s="89"/>
      <c r="H39" s="89"/>
      <c r="I39" s="89"/>
      <c r="J39" s="89"/>
      <c r="K39" s="90"/>
      <c r="L39" s="79"/>
      <c r="M39" s="80"/>
    </row>
    <row r="40">
      <c r="A40" s="147" t="s">
        <v>2354</v>
      </c>
      <c r="B40" s="8" t="s">
        <v>8</v>
      </c>
      <c r="C40" s="8" t="s">
        <v>20</v>
      </c>
      <c r="D40" s="91">
        <v>30.0</v>
      </c>
      <c r="E40" s="87"/>
      <c r="F40" s="91">
        <v>30.0</v>
      </c>
      <c r="G40" s="87"/>
      <c r="H40" s="91">
        <v>30.0</v>
      </c>
      <c r="I40" s="87"/>
      <c r="J40" s="87"/>
      <c r="K40" s="92" t="s">
        <v>2355</v>
      </c>
      <c r="L40" s="434"/>
      <c r="M40" s="146"/>
    </row>
    <row r="41">
      <c r="A41" s="147" t="s">
        <v>2356</v>
      </c>
      <c r="B41" s="8" t="s">
        <v>54</v>
      </c>
      <c r="C41" s="8" t="s">
        <v>20</v>
      </c>
      <c r="D41" s="91">
        <v>30.0</v>
      </c>
      <c r="E41" s="87"/>
      <c r="F41" s="87"/>
      <c r="G41" s="87"/>
      <c r="H41" s="87"/>
      <c r="I41" s="87"/>
      <c r="J41" s="91">
        <v>15.0</v>
      </c>
      <c r="K41" s="92" t="s">
        <v>2357</v>
      </c>
      <c r="L41" s="434"/>
      <c r="M41" s="146"/>
    </row>
    <row r="42">
      <c r="A42" s="147" t="s">
        <v>2358</v>
      </c>
      <c r="B42" s="8" t="s">
        <v>8</v>
      </c>
      <c r="C42" s="8" t="s">
        <v>20</v>
      </c>
      <c r="D42" s="87"/>
      <c r="E42" s="87"/>
      <c r="F42" s="91">
        <v>30.0</v>
      </c>
      <c r="G42" s="87"/>
      <c r="H42" s="91">
        <v>30.0</v>
      </c>
      <c r="I42" s="87"/>
      <c r="J42" s="91">
        <v>15.0</v>
      </c>
      <c r="K42" s="92" t="s">
        <v>2359</v>
      </c>
      <c r="L42" s="434"/>
      <c r="M42" s="146"/>
    </row>
    <row r="43">
      <c r="A43" s="147" t="s">
        <v>2360</v>
      </c>
      <c r="B43" s="8" t="s">
        <v>8</v>
      </c>
      <c r="C43" s="8" t="s">
        <v>20</v>
      </c>
      <c r="D43" s="87"/>
      <c r="E43" s="87"/>
      <c r="F43" s="91">
        <v>30.0</v>
      </c>
      <c r="G43" s="87"/>
      <c r="H43" s="91">
        <v>30.0</v>
      </c>
      <c r="I43" s="87"/>
      <c r="J43" s="91">
        <v>15.0</v>
      </c>
      <c r="K43" s="92" t="s">
        <v>2361</v>
      </c>
      <c r="L43" s="434"/>
      <c r="M43" s="146"/>
    </row>
    <row r="44">
      <c r="A44" s="144" t="s">
        <v>619</v>
      </c>
      <c r="B44" s="8" t="s">
        <v>96</v>
      </c>
      <c r="C44" s="8" t="s">
        <v>20</v>
      </c>
      <c r="D44" s="91">
        <v>30.0</v>
      </c>
      <c r="E44" s="87"/>
      <c r="F44" s="87"/>
      <c r="G44" s="87"/>
      <c r="H44" s="87"/>
      <c r="I44" s="87"/>
      <c r="J44" s="87"/>
      <c r="K44" s="92" t="s">
        <v>2362</v>
      </c>
      <c r="L44" s="434"/>
      <c r="M44" s="146"/>
    </row>
    <row r="45">
      <c r="A45" s="144" t="s">
        <v>95</v>
      </c>
      <c r="B45" s="8" t="s">
        <v>96</v>
      </c>
      <c r="C45" s="8" t="s">
        <v>20</v>
      </c>
      <c r="D45" s="87"/>
      <c r="E45" s="87"/>
      <c r="F45" s="87"/>
      <c r="G45" s="87"/>
      <c r="H45" s="91">
        <v>30.0</v>
      </c>
      <c r="I45" s="87"/>
      <c r="J45" s="87"/>
      <c r="K45" s="92" t="s">
        <v>2363</v>
      </c>
      <c r="L45" s="434"/>
      <c r="M45" s="146"/>
    </row>
    <row r="46">
      <c r="A46" s="144" t="s">
        <v>2318</v>
      </c>
      <c r="B46" s="8" t="s">
        <v>96</v>
      </c>
      <c r="C46" s="8" t="s">
        <v>20</v>
      </c>
      <c r="D46" s="87"/>
      <c r="E46" s="87"/>
      <c r="F46" s="87"/>
      <c r="G46" s="87"/>
      <c r="H46" s="91">
        <v>30.0</v>
      </c>
      <c r="I46" s="87"/>
      <c r="J46" s="87"/>
      <c r="K46" s="92" t="s">
        <v>2363</v>
      </c>
      <c r="L46" s="434"/>
      <c r="M46" s="146"/>
    </row>
    <row r="47">
      <c r="A47" s="144" t="s">
        <v>271</v>
      </c>
      <c r="B47" s="8" t="s">
        <v>96</v>
      </c>
      <c r="C47" s="8" t="s">
        <v>20</v>
      </c>
      <c r="D47" s="87"/>
      <c r="E47" s="87"/>
      <c r="F47" s="87"/>
      <c r="G47" s="87"/>
      <c r="H47" s="87"/>
      <c r="I47" s="87"/>
      <c r="J47" s="91">
        <v>15.0</v>
      </c>
      <c r="K47" s="92" t="s">
        <v>2364</v>
      </c>
      <c r="L47" s="434"/>
      <c r="M47" s="146"/>
    </row>
    <row r="48">
      <c r="A48" s="144" t="s">
        <v>2204</v>
      </c>
      <c r="B48" s="8" t="s">
        <v>54</v>
      </c>
      <c r="C48" s="8" t="s">
        <v>20</v>
      </c>
      <c r="D48" s="87"/>
      <c r="E48" s="87"/>
      <c r="F48" s="91">
        <v>30.0</v>
      </c>
      <c r="G48" s="87"/>
      <c r="H48" s="87"/>
      <c r="I48" s="87"/>
      <c r="J48" s="91">
        <v>15.0</v>
      </c>
      <c r="K48" s="92" t="s">
        <v>2365</v>
      </c>
      <c r="L48" s="434"/>
      <c r="M48" s="146"/>
    </row>
    <row r="49">
      <c r="A49" s="144" t="s">
        <v>2264</v>
      </c>
      <c r="B49" s="8" t="s">
        <v>96</v>
      </c>
      <c r="C49" s="8" t="s">
        <v>40</v>
      </c>
      <c r="D49" s="91">
        <v>30.0</v>
      </c>
      <c r="E49" s="87"/>
      <c r="F49" s="87"/>
      <c r="G49" s="87"/>
      <c r="H49" s="87"/>
      <c r="I49" s="87"/>
      <c r="J49" s="87"/>
      <c r="K49" s="92" t="s">
        <v>2265</v>
      </c>
      <c r="L49" s="434"/>
      <c r="M49" s="146"/>
    </row>
    <row r="50">
      <c r="A50" s="144" t="s">
        <v>2366</v>
      </c>
      <c r="B50" s="8" t="s">
        <v>54</v>
      </c>
      <c r="C50" s="8" t="s">
        <v>16</v>
      </c>
      <c r="D50" s="91">
        <v>30.0</v>
      </c>
      <c r="E50" s="87"/>
      <c r="F50" s="87"/>
      <c r="G50" s="87"/>
      <c r="H50" s="87"/>
      <c r="I50" s="87"/>
      <c r="J50" s="87"/>
      <c r="K50" s="92" t="s">
        <v>2367</v>
      </c>
      <c r="L50" s="434"/>
      <c r="M50" s="146"/>
    </row>
    <row r="51">
      <c r="A51" s="144" t="s">
        <v>2317</v>
      </c>
      <c r="B51" s="8" t="s">
        <v>96</v>
      </c>
      <c r="C51" s="8" t="s">
        <v>12</v>
      </c>
      <c r="D51" s="87"/>
      <c r="E51" s="87"/>
      <c r="F51" s="87"/>
      <c r="G51" s="87"/>
      <c r="H51" s="91">
        <v>30.0</v>
      </c>
      <c r="I51" s="87"/>
      <c r="J51" s="87"/>
      <c r="K51" s="92" t="s">
        <v>2368</v>
      </c>
      <c r="L51" s="434"/>
      <c r="M51" s="146"/>
    </row>
    <row r="52">
      <c r="A52" s="144" t="s">
        <v>2369</v>
      </c>
      <c r="B52" s="8" t="s">
        <v>54</v>
      </c>
      <c r="C52" s="8" t="s">
        <v>12</v>
      </c>
      <c r="D52" s="87"/>
      <c r="E52" s="87"/>
      <c r="F52" s="87"/>
      <c r="G52" s="87"/>
      <c r="H52" s="87"/>
      <c r="I52" s="87"/>
      <c r="J52" s="91">
        <v>15.0</v>
      </c>
      <c r="K52" s="92" t="s">
        <v>2370</v>
      </c>
      <c r="L52" s="434"/>
      <c r="M52" s="146"/>
    </row>
    <row r="53">
      <c r="A53" s="144" t="s">
        <v>574</v>
      </c>
      <c r="B53" s="8" t="s">
        <v>96</v>
      </c>
      <c r="C53" s="8" t="s">
        <v>40</v>
      </c>
      <c r="D53" s="87"/>
      <c r="E53" s="87"/>
      <c r="F53" s="87"/>
      <c r="G53" s="87"/>
      <c r="H53" s="87"/>
      <c r="I53" s="87"/>
      <c r="J53" s="91">
        <v>15.0</v>
      </c>
      <c r="K53" s="92" t="s">
        <v>367</v>
      </c>
      <c r="L53" s="434"/>
      <c r="M53" s="146"/>
    </row>
    <row r="54">
      <c r="A54" s="144" t="s">
        <v>2142</v>
      </c>
      <c r="B54" s="8" t="s">
        <v>96</v>
      </c>
      <c r="C54" s="415" t="s">
        <v>9</v>
      </c>
      <c r="D54" s="87"/>
      <c r="E54" s="87"/>
      <c r="F54" s="87"/>
      <c r="G54" s="87"/>
      <c r="H54" s="87"/>
      <c r="I54" s="87"/>
      <c r="J54" s="91">
        <v>15.0</v>
      </c>
      <c r="K54" s="92" t="s">
        <v>2371</v>
      </c>
      <c r="L54" s="434"/>
      <c r="M54" s="146"/>
    </row>
    <row r="55">
      <c r="A55" s="144" t="s">
        <v>2372</v>
      </c>
      <c r="B55" s="8" t="s">
        <v>96</v>
      </c>
      <c r="C55" s="8" t="s">
        <v>40</v>
      </c>
      <c r="D55" s="87"/>
      <c r="E55" s="87"/>
      <c r="F55" s="87"/>
      <c r="G55" s="87"/>
      <c r="H55" s="87"/>
      <c r="I55" s="87"/>
      <c r="J55" s="91">
        <v>15.0</v>
      </c>
      <c r="K55" s="92" t="s">
        <v>2373</v>
      </c>
      <c r="L55" s="434"/>
      <c r="M55" s="146"/>
    </row>
    <row r="56">
      <c r="A56" s="144" t="s">
        <v>2374</v>
      </c>
      <c r="B56" s="8" t="s">
        <v>54</v>
      </c>
      <c r="C56" s="8" t="s">
        <v>16</v>
      </c>
      <c r="D56" s="87"/>
      <c r="E56" s="87"/>
      <c r="F56" s="87"/>
      <c r="G56" s="87"/>
      <c r="H56" s="87"/>
      <c r="I56" s="87"/>
      <c r="J56" s="91">
        <v>15.0</v>
      </c>
      <c r="K56" s="92" t="s">
        <v>2375</v>
      </c>
      <c r="L56" s="434"/>
      <c r="M56" s="146"/>
    </row>
    <row r="57">
      <c r="A57" s="144" t="s">
        <v>2376</v>
      </c>
      <c r="B57" s="8" t="s">
        <v>54</v>
      </c>
      <c r="C57" s="8" t="s">
        <v>40</v>
      </c>
      <c r="D57" s="87"/>
      <c r="E57" s="87"/>
      <c r="F57" s="91">
        <v>30.0</v>
      </c>
      <c r="G57" s="87"/>
      <c r="H57" s="87"/>
      <c r="I57" s="87"/>
      <c r="J57" s="87"/>
      <c r="K57" s="92" t="s">
        <v>2377</v>
      </c>
      <c r="L57" s="434"/>
      <c r="M57" s="146"/>
    </row>
    <row r="58">
      <c r="A58" s="144" t="s">
        <v>2195</v>
      </c>
      <c r="B58" s="8" t="s">
        <v>54</v>
      </c>
      <c r="C58" s="8" t="s">
        <v>12</v>
      </c>
      <c r="D58" s="87"/>
      <c r="E58" s="87"/>
      <c r="F58" s="91">
        <v>30.0</v>
      </c>
      <c r="G58" s="87"/>
      <c r="H58" s="87"/>
      <c r="I58" s="87"/>
      <c r="J58" s="87"/>
      <c r="K58" s="92" t="s">
        <v>2339</v>
      </c>
      <c r="L58" s="434"/>
      <c r="M58" s="146"/>
    </row>
    <row r="59">
      <c r="A59" s="144" t="s">
        <v>630</v>
      </c>
      <c r="B59" s="8" t="s">
        <v>96</v>
      </c>
      <c r="C59" s="8" t="s">
        <v>12</v>
      </c>
      <c r="D59" s="87"/>
      <c r="E59" s="87"/>
      <c r="F59" s="91">
        <v>30.0</v>
      </c>
      <c r="G59" s="87"/>
      <c r="H59" s="87"/>
      <c r="I59" s="87"/>
      <c r="J59" s="87"/>
      <c r="K59" s="92" t="s">
        <v>2378</v>
      </c>
      <c r="L59" s="434"/>
      <c r="M59" s="146"/>
    </row>
    <row r="60">
      <c r="A60" s="52" t="s">
        <v>2379</v>
      </c>
      <c r="B60" s="93"/>
      <c r="C60" s="93"/>
      <c r="D60" s="94">
        <f>D40+D42+D41</f>
        <v>60</v>
      </c>
      <c r="E60" s="93"/>
      <c r="F60" s="94">
        <f>F40+F42+F41</f>
        <v>60</v>
      </c>
      <c r="G60" s="93"/>
      <c r="H60" s="94">
        <f>H40+H42+H41</f>
        <v>60</v>
      </c>
      <c r="I60" s="93"/>
      <c r="J60" s="94">
        <v>30.0</v>
      </c>
      <c r="K60" s="97"/>
      <c r="L60" s="79"/>
      <c r="M60" s="80"/>
    </row>
    <row r="61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79"/>
      <c r="M61" s="80"/>
    </row>
    <row r="62">
      <c r="A62" s="424" t="s">
        <v>37</v>
      </c>
      <c r="B62" s="89"/>
      <c r="C62" s="89"/>
      <c r="D62" s="89"/>
      <c r="E62" s="89"/>
      <c r="F62" s="89"/>
      <c r="G62" s="89"/>
      <c r="H62" s="89"/>
      <c r="I62" s="89"/>
      <c r="J62" s="89"/>
      <c r="K62" s="90"/>
      <c r="L62" s="79"/>
      <c r="M62" s="80"/>
    </row>
    <row r="63">
      <c r="A63" s="144" t="s">
        <v>241</v>
      </c>
      <c r="B63" s="87"/>
      <c r="C63" s="87"/>
      <c r="D63" s="87"/>
      <c r="E63" s="87"/>
      <c r="F63" s="87"/>
      <c r="G63" s="87"/>
      <c r="H63" s="87"/>
      <c r="I63" s="87"/>
      <c r="J63" s="87"/>
      <c r="K63" s="88"/>
      <c r="L63" s="79"/>
      <c r="M63" s="80"/>
    </row>
    <row r="64">
      <c r="A64" s="144" t="s">
        <v>2152</v>
      </c>
      <c r="B64" s="87"/>
      <c r="C64" s="87"/>
      <c r="D64" s="91">
        <v>12.0</v>
      </c>
      <c r="E64" s="87"/>
      <c r="F64" s="87"/>
      <c r="G64" s="87"/>
      <c r="H64" s="87"/>
      <c r="I64" s="87"/>
      <c r="J64" s="87"/>
      <c r="K64" s="88"/>
      <c r="L64" s="79"/>
      <c r="M64" s="80"/>
    </row>
    <row r="65">
      <c r="A65" s="144" t="s">
        <v>2380</v>
      </c>
      <c r="B65" s="8" t="s">
        <v>19</v>
      </c>
      <c r="C65" s="8" t="s">
        <v>20</v>
      </c>
      <c r="D65" s="87"/>
      <c r="E65" s="87"/>
      <c r="F65" s="87"/>
      <c r="G65" s="87"/>
      <c r="H65" s="87"/>
      <c r="I65" s="87"/>
      <c r="J65" s="87"/>
      <c r="K65" s="92" t="s">
        <v>2381</v>
      </c>
      <c r="L65" s="434"/>
      <c r="M65" s="146"/>
    </row>
    <row r="66">
      <c r="A66" s="144" t="s">
        <v>2382</v>
      </c>
      <c r="B66" s="8" t="s">
        <v>19</v>
      </c>
      <c r="C66" s="8" t="s">
        <v>20</v>
      </c>
      <c r="D66" s="87"/>
      <c r="E66" s="87"/>
      <c r="F66" s="87"/>
      <c r="G66" s="87"/>
      <c r="H66" s="87"/>
      <c r="I66" s="87"/>
      <c r="J66" s="87"/>
      <c r="K66" s="92" t="s">
        <v>2383</v>
      </c>
      <c r="L66" s="434"/>
      <c r="M66" s="146"/>
    </row>
    <row r="67">
      <c r="A67" s="144" t="s">
        <v>2384</v>
      </c>
      <c r="B67" s="8" t="s">
        <v>19</v>
      </c>
      <c r="C67" s="8" t="s">
        <v>20</v>
      </c>
      <c r="D67" s="87"/>
      <c r="E67" s="87"/>
      <c r="F67" s="87"/>
      <c r="G67" s="87"/>
      <c r="H67" s="87"/>
      <c r="I67" s="87"/>
      <c r="J67" s="87"/>
      <c r="K67" s="92" t="s">
        <v>2381</v>
      </c>
      <c r="L67" s="434"/>
      <c r="M67" s="146"/>
    </row>
    <row r="68">
      <c r="A68" s="144" t="s">
        <v>2385</v>
      </c>
      <c r="B68" s="87"/>
      <c r="C68" s="87"/>
      <c r="D68" s="87"/>
      <c r="E68" s="87"/>
      <c r="F68" s="87"/>
      <c r="G68" s="87"/>
      <c r="H68" s="91">
        <v>12.0</v>
      </c>
      <c r="I68" s="87"/>
      <c r="J68" s="87"/>
      <c r="K68" s="88"/>
      <c r="L68" s="79"/>
      <c r="M68" s="80"/>
    </row>
    <row r="69">
      <c r="A69" s="144" t="s">
        <v>2386</v>
      </c>
      <c r="B69" s="8" t="s">
        <v>19</v>
      </c>
      <c r="C69" s="415" t="s">
        <v>9</v>
      </c>
      <c r="D69" s="87"/>
      <c r="E69" s="87"/>
      <c r="F69" s="87"/>
      <c r="G69" s="87"/>
      <c r="H69" s="87"/>
      <c r="I69" s="87"/>
      <c r="J69" s="87"/>
      <c r="K69" s="92" t="s">
        <v>2387</v>
      </c>
      <c r="L69" s="434"/>
      <c r="M69" s="146"/>
    </row>
    <row r="70">
      <c r="A70" s="144" t="s">
        <v>2388</v>
      </c>
      <c r="B70" s="8" t="s">
        <v>19</v>
      </c>
      <c r="C70" s="8" t="s">
        <v>40</v>
      </c>
      <c r="D70" s="87"/>
      <c r="E70" s="87"/>
      <c r="F70" s="87"/>
      <c r="G70" s="87"/>
      <c r="H70" s="87"/>
      <c r="I70" s="87"/>
      <c r="J70" s="87"/>
      <c r="K70" s="92" t="s">
        <v>2389</v>
      </c>
      <c r="L70" s="434"/>
      <c r="M70" s="146"/>
    </row>
    <row r="71">
      <c r="A71" s="144" t="s">
        <v>2390</v>
      </c>
      <c r="B71" s="8" t="s">
        <v>19</v>
      </c>
      <c r="C71" s="8" t="s">
        <v>16</v>
      </c>
      <c r="D71" s="87"/>
      <c r="E71" s="87"/>
      <c r="F71" s="87"/>
      <c r="G71" s="87"/>
      <c r="H71" s="87"/>
      <c r="I71" s="87"/>
      <c r="J71" s="87"/>
      <c r="K71" s="92" t="s">
        <v>2391</v>
      </c>
      <c r="L71" s="434"/>
      <c r="M71" s="146"/>
    </row>
    <row r="72">
      <c r="A72" s="144" t="s">
        <v>254</v>
      </c>
      <c r="B72" s="87"/>
      <c r="C72" s="87"/>
      <c r="D72" s="87"/>
      <c r="E72" s="87"/>
      <c r="F72" s="87"/>
      <c r="G72" s="87"/>
      <c r="H72" s="87"/>
      <c r="I72" s="87"/>
      <c r="J72" s="87"/>
      <c r="K72" s="88"/>
      <c r="L72" s="79"/>
      <c r="M72" s="80"/>
    </row>
    <row r="73">
      <c r="A73" s="144" t="s">
        <v>2152</v>
      </c>
      <c r="B73" s="87"/>
      <c r="C73" s="87"/>
      <c r="D73" s="91">
        <v>12.0</v>
      </c>
      <c r="E73" s="87"/>
      <c r="F73" s="87"/>
      <c r="G73" s="87"/>
      <c r="H73" s="87"/>
      <c r="I73" s="87"/>
      <c r="J73" s="87"/>
      <c r="K73" s="88"/>
      <c r="L73" s="79"/>
      <c r="M73" s="80"/>
    </row>
    <row r="74">
      <c r="A74" s="144" t="s">
        <v>325</v>
      </c>
      <c r="B74" s="8" t="s">
        <v>141</v>
      </c>
      <c r="C74" s="8" t="s">
        <v>16</v>
      </c>
      <c r="D74" s="87"/>
      <c r="E74" s="87"/>
      <c r="F74" s="87"/>
      <c r="G74" s="87"/>
      <c r="H74" s="87"/>
      <c r="I74" s="87"/>
      <c r="J74" s="87"/>
      <c r="K74" s="92" t="s">
        <v>2392</v>
      </c>
      <c r="L74" s="434"/>
      <c r="M74" s="146"/>
    </row>
    <row r="75">
      <c r="A75" s="144" t="s">
        <v>354</v>
      </c>
      <c r="B75" s="8" t="s">
        <v>141</v>
      </c>
      <c r="C75" s="8" t="s">
        <v>20</v>
      </c>
      <c r="D75" s="87"/>
      <c r="E75" s="87"/>
      <c r="F75" s="87"/>
      <c r="G75" s="87"/>
      <c r="H75" s="87"/>
      <c r="I75" s="87"/>
      <c r="J75" s="87"/>
      <c r="K75" s="92" t="s">
        <v>2393</v>
      </c>
      <c r="L75" s="434"/>
      <c r="M75" s="146"/>
    </row>
    <row r="76">
      <c r="A76" s="144" t="s">
        <v>2324</v>
      </c>
      <c r="B76" s="8" t="s">
        <v>417</v>
      </c>
      <c r="C76" s="8" t="s">
        <v>12</v>
      </c>
      <c r="D76" s="87"/>
      <c r="E76" s="87"/>
      <c r="F76" s="87"/>
      <c r="G76" s="87"/>
      <c r="H76" s="87"/>
      <c r="I76" s="87"/>
      <c r="J76" s="87"/>
      <c r="K76" s="92" t="s">
        <v>2394</v>
      </c>
      <c r="L76" s="434"/>
      <c r="M76" s="146"/>
    </row>
    <row r="77">
      <c r="A77" s="144" t="s">
        <v>2385</v>
      </c>
      <c r="B77" s="87"/>
      <c r="C77" s="87"/>
      <c r="D77" s="87"/>
      <c r="E77" s="87"/>
      <c r="F77" s="87"/>
      <c r="G77" s="87"/>
      <c r="H77" s="91">
        <v>12.0</v>
      </c>
      <c r="I77" s="87"/>
      <c r="J77" s="87"/>
      <c r="K77" s="88"/>
      <c r="L77" s="79"/>
      <c r="M77" s="80"/>
    </row>
    <row r="78">
      <c r="A78" s="144" t="s">
        <v>2395</v>
      </c>
      <c r="B78" s="8" t="s">
        <v>15</v>
      </c>
      <c r="C78" s="8" t="s">
        <v>16</v>
      </c>
      <c r="D78" s="87"/>
      <c r="E78" s="87"/>
      <c r="F78" s="87"/>
      <c r="G78" s="87"/>
      <c r="H78" s="87"/>
      <c r="I78" s="87"/>
      <c r="J78" s="87"/>
      <c r="K78" s="92" t="s">
        <v>2342</v>
      </c>
      <c r="L78" s="434"/>
      <c r="M78" s="146"/>
    </row>
    <row r="79">
      <c r="A79" s="144" t="s">
        <v>2396</v>
      </c>
      <c r="B79" s="8" t="s">
        <v>15</v>
      </c>
      <c r="C79" s="8" t="s">
        <v>16</v>
      </c>
      <c r="D79" s="87"/>
      <c r="E79" s="87"/>
      <c r="F79" s="87"/>
      <c r="G79" s="87"/>
      <c r="H79" s="87"/>
      <c r="I79" s="87"/>
      <c r="J79" s="87"/>
      <c r="K79" s="92" t="s">
        <v>2397</v>
      </c>
      <c r="L79" s="434"/>
      <c r="M79" s="146"/>
    </row>
    <row r="80">
      <c r="A80" s="144" t="s">
        <v>298</v>
      </c>
      <c r="B80" s="87"/>
      <c r="C80" s="87"/>
      <c r="D80" s="87"/>
      <c r="E80" s="87"/>
      <c r="F80" s="87"/>
      <c r="G80" s="87"/>
      <c r="H80" s="87"/>
      <c r="I80" s="87"/>
      <c r="J80" s="87"/>
      <c r="K80" s="88"/>
      <c r="L80" s="79"/>
      <c r="M80" s="80"/>
    </row>
    <row r="81">
      <c r="A81" s="144" t="s">
        <v>2152</v>
      </c>
      <c r="B81" s="87"/>
      <c r="C81" s="87"/>
      <c r="D81" s="91">
        <v>14.0</v>
      </c>
      <c r="E81" s="87"/>
      <c r="F81" s="87"/>
      <c r="G81" s="87"/>
      <c r="H81" s="87"/>
      <c r="I81" s="87"/>
      <c r="J81" s="87"/>
      <c r="K81" s="88"/>
      <c r="L81" s="79"/>
      <c r="M81" s="80"/>
    </row>
    <row r="82">
      <c r="A82" s="144" t="s">
        <v>2398</v>
      </c>
      <c r="B82" s="8" t="s">
        <v>8</v>
      </c>
      <c r="C82" s="8" t="s">
        <v>20</v>
      </c>
      <c r="D82" s="87"/>
      <c r="E82" s="87"/>
      <c r="F82" s="87"/>
      <c r="G82" s="87"/>
      <c r="H82" s="87"/>
      <c r="I82" s="87"/>
      <c r="J82" s="87"/>
      <c r="K82" s="92" t="s">
        <v>2355</v>
      </c>
      <c r="L82" s="434"/>
      <c r="M82" s="146"/>
    </row>
    <row r="83">
      <c r="A83" s="144" t="s">
        <v>2399</v>
      </c>
      <c r="B83" s="8" t="s">
        <v>8</v>
      </c>
      <c r="C83" s="8" t="s">
        <v>40</v>
      </c>
      <c r="D83" s="87"/>
      <c r="E83" s="87"/>
      <c r="F83" s="87"/>
      <c r="G83" s="87"/>
      <c r="H83" s="87"/>
      <c r="I83" s="87"/>
      <c r="J83" s="87"/>
      <c r="K83" s="92" t="s">
        <v>2400</v>
      </c>
      <c r="L83" s="434"/>
      <c r="M83" s="146"/>
    </row>
    <row r="84">
      <c r="A84" s="144" t="s">
        <v>2385</v>
      </c>
      <c r="B84" s="87"/>
      <c r="C84" s="87"/>
      <c r="D84" s="87"/>
      <c r="E84" s="87"/>
      <c r="F84" s="87"/>
      <c r="G84" s="87"/>
      <c r="H84" s="91">
        <v>14.0</v>
      </c>
      <c r="I84" s="87"/>
      <c r="J84" s="87"/>
      <c r="K84" s="88"/>
      <c r="L84" s="79"/>
      <c r="M84" s="80"/>
    </row>
    <row r="85">
      <c r="A85" s="144" t="s">
        <v>2401</v>
      </c>
      <c r="B85" s="8" t="s">
        <v>8</v>
      </c>
      <c r="C85" s="8" t="s">
        <v>12</v>
      </c>
      <c r="D85" s="87"/>
      <c r="E85" s="87"/>
      <c r="F85" s="87"/>
      <c r="G85" s="87"/>
      <c r="H85" s="87"/>
      <c r="I85" s="87"/>
      <c r="J85" s="87"/>
      <c r="K85" s="92" t="s">
        <v>2402</v>
      </c>
      <c r="L85" s="79"/>
      <c r="M85" s="80"/>
    </row>
    <row r="86">
      <c r="A86" s="144" t="s">
        <v>2403</v>
      </c>
      <c r="B86" s="8" t="s">
        <v>8</v>
      </c>
      <c r="C86" s="8" t="s">
        <v>12</v>
      </c>
      <c r="D86" s="87"/>
      <c r="E86" s="87"/>
      <c r="F86" s="87"/>
      <c r="G86" s="87"/>
      <c r="H86" s="87"/>
      <c r="I86" s="87"/>
      <c r="J86" s="87"/>
      <c r="K86" s="92" t="s">
        <v>785</v>
      </c>
      <c r="L86" s="79"/>
      <c r="M86" s="80"/>
    </row>
    <row r="87">
      <c r="A87" s="52" t="s">
        <v>64</v>
      </c>
      <c r="B87" s="93"/>
      <c r="C87" s="93"/>
      <c r="D87" s="94">
        <f>sum(D64:D86)</f>
        <v>38</v>
      </c>
      <c r="E87" s="93"/>
      <c r="F87" s="94">
        <f>sum(F64:F86)</f>
        <v>0</v>
      </c>
      <c r="G87" s="93"/>
      <c r="H87" s="94">
        <f>sum(H64:H86)</f>
        <v>38</v>
      </c>
      <c r="I87" s="93"/>
      <c r="J87" s="93"/>
      <c r="K87" s="97"/>
      <c r="L87" s="79"/>
      <c r="M87" s="80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80"/>
      <c r="M88" s="80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80"/>
      <c r="M89" s="80"/>
    </row>
    <row r="90">
      <c r="A90" s="100" t="s">
        <v>2404</v>
      </c>
      <c r="B90" s="101">
        <f>D14+D17+D20+D28+D31+D37+D60+D87+D34+D23</f>
        <v>418</v>
      </c>
      <c r="C90" s="104"/>
      <c r="D90" s="104"/>
      <c r="E90" s="104"/>
      <c r="F90" s="104"/>
      <c r="G90" s="104"/>
      <c r="H90" s="104"/>
      <c r="I90" s="104"/>
      <c r="J90" s="104"/>
      <c r="K90" s="104"/>
      <c r="L90" s="80"/>
      <c r="M90" s="80"/>
    </row>
    <row r="91">
      <c r="A91" s="102" t="s">
        <v>2405</v>
      </c>
      <c r="B91" s="103">
        <f>F14+F17+F20+F28+F31+F37+F60+F87+F34</f>
        <v>245</v>
      </c>
      <c r="C91" s="104"/>
      <c r="D91" s="104"/>
      <c r="E91" s="104"/>
      <c r="F91" s="104"/>
      <c r="G91" s="104"/>
      <c r="H91" s="104"/>
      <c r="I91" s="104"/>
      <c r="J91" s="104"/>
      <c r="K91" s="104"/>
      <c r="L91" s="80"/>
      <c r="M91" s="80"/>
    </row>
    <row r="92">
      <c r="A92" s="102" t="s">
        <v>2406</v>
      </c>
      <c r="B92" s="103">
        <f>H14+H17+H20+H28+H31+H37+H60+H87</f>
        <v>178</v>
      </c>
      <c r="C92" s="104"/>
      <c r="D92" s="104"/>
      <c r="E92" s="104"/>
      <c r="F92" s="104"/>
      <c r="G92" s="104"/>
      <c r="H92" s="104"/>
      <c r="I92" s="104"/>
      <c r="J92" s="104"/>
      <c r="K92" s="104"/>
      <c r="L92" s="80"/>
      <c r="M92" s="80"/>
    </row>
  </sheetData>
  <dataValidations>
    <dataValidation type="list" allowBlank="1" showErrorMessage="1" sqref="B3:B13 B40:B59 B65:B67 B69:B71 B74:B76 B78:B79 B82:B83 B85:B86">
      <formula1>"SSS,SS,S,AAA,AA,A,Blue,Green"</formula1>
    </dataValidation>
    <dataValidation type="list" allowBlank="1" showErrorMessage="1" sqref="C40:C59">
      <formula1>"FAME,ART,FTH,CIV,TECH"</formula1>
    </dataValidation>
    <dataValidation type="list" allowBlank="1" showErrorMessage="1" sqref="C3:C13 C65:C67 C69:C71 C74:C76 C78:C79 C82:C83 C85:C86">
      <formula1>"FAME,ART,FTH,CIV,TECH"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5.18"/>
    <col customWidth="1" min="5" max="5" width="11.73"/>
    <col customWidth="1" min="7" max="7" width="9.73"/>
    <col customWidth="1" min="8" max="8" width="10.09"/>
    <col customWidth="1" min="9" max="9" width="16.91"/>
    <col customWidth="1" min="11" max="11" width="121.0"/>
  </cols>
  <sheetData>
    <row r="1">
      <c r="A1" s="148" t="s">
        <v>0</v>
      </c>
      <c r="B1" s="124" t="s">
        <v>1</v>
      </c>
      <c r="C1" s="124" t="s">
        <v>2</v>
      </c>
      <c r="D1" s="124" t="s">
        <v>2082</v>
      </c>
      <c r="E1" s="124" t="s">
        <v>2083</v>
      </c>
      <c r="F1" s="124" t="s">
        <v>2084</v>
      </c>
      <c r="G1" s="124" t="s">
        <v>2085</v>
      </c>
      <c r="H1" s="124" t="s">
        <v>2407</v>
      </c>
      <c r="I1" s="124" t="s">
        <v>2408</v>
      </c>
      <c r="J1" s="124" t="s">
        <v>2088</v>
      </c>
      <c r="K1" s="129" t="s">
        <v>5</v>
      </c>
    </row>
    <row r="2">
      <c r="A2" s="144" t="s">
        <v>6</v>
      </c>
      <c r="B2" s="87"/>
      <c r="C2" s="87"/>
      <c r="D2" s="87"/>
      <c r="E2" s="87"/>
      <c r="F2" s="87"/>
      <c r="G2" s="87"/>
      <c r="H2" s="87"/>
      <c r="I2" s="87"/>
      <c r="J2" s="87"/>
      <c r="K2" s="88"/>
    </row>
    <row r="3">
      <c r="A3" s="147" t="s">
        <v>2409</v>
      </c>
      <c r="B3" s="8" t="s">
        <v>8</v>
      </c>
      <c r="C3" s="415" t="s">
        <v>9</v>
      </c>
      <c r="D3" s="91">
        <v>7.2</v>
      </c>
      <c r="E3" s="8">
        <v>6.0</v>
      </c>
      <c r="F3" s="91"/>
      <c r="G3" s="87"/>
      <c r="H3" s="91"/>
      <c r="I3" s="91"/>
      <c r="J3" s="87"/>
      <c r="K3" s="207" t="s">
        <v>1299</v>
      </c>
    </row>
    <row r="4">
      <c r="A4" s="147" t="s">
        <v>2410</v>
      </c>
      <c r="B4" s="8" t="s">
        <v>8</v>
      </c>
      <c r="C4" s="8" t="s">
        <v>9</v>
      </c>
      <c r="D4" s="91">
        <v>7.2</v>
      </c>
      <c r="E4" s="91">
        <v>6.0</v>
      </c>
      <c r="F4" s="91"/>
      <c r="G4" s="87"/>
      <c r="H4" s="87"/>
      <c r="I4" s="87"/>
      <c r="J4" s="87"/>
      <c r="K4" s="92" t="s">
        <v>558</v>
      </c>
    </row>
    <row r="5">
      <c r="A5" s="147" t="s">
        <v>2411</v>
      </c>
      <c r="B5" s="8" t="s">
        <v>8</v>
      </c>
      <c r="C5" s="8" t="s">
        <v>16</v>
      </c>
      <c r="D5" s="91">
        <v>7.2</v>
      </c>
      <c r="E5" s="91">
        <v>6.0</v>
      </c>
      <c r="F5" s="91"/>
      <c r="G5" s="87"/>
      <c r="H5" s="87"/>
      <c r="I5" s="87"/>
      <c r="J5" s="87"/>
      <c r="K5" s="92" t="s">
        <v>770</v>
      </c>
    </row>
    <row r="6">
      <c r="A6" s="147" t="s">
        <v>2412</v>
      </c>
      <c r="B6" s="8" t="s">
        <v>8</v>
      </c>
      <c r="C6" s="8" t="s">
        <v>12</v>
      </c>
      <c r="D6" s="91"/>
      <c r="E6" s="91"/>
      <c r="F6" s="87"/>
      <c r="G6" s="87"/>
      <c r="H6" s="8">
        <v>7.2</v>
      </c>
      <c r="I6" s="8">
        <v>6.0</v>
      </c>
      <c r="J6" s="87"/>
      <c r="K6" s="74" t="s">
        <v>2413</v>
      </c>
    </row>
    <row r="7">
      <c r="A7" s="147" t="s">
        <v>2414</v>
      </c>
      <c r="B7" s="8" t="s">
        <v>8</v>
      </c>
      <c r="C7" s="8" t="s">
        <v>20</v>
      </c>
      <c r="D7" s="91"/>
      <c r="E7" s="87"/>
      <c r="F7" s="8">
        <v>12.0</v>
      </c>
      <c r="G7" s="8">
        <v>10.0</v>
      </c>
      <c r="H7" s="87"/>
      <c r="I7" s="87"/>
      <c r="J7" s="87"/>
      <c r="K7" s="92" t="s">
        <v>558</v>
      </c>
    </row>
    <row r="8">
      <c r="A8" s="147" t="s">
        <v>2415</v>
      </c>
      <c r="B8" s="8" t="s">
        <v>15</v>
      </c>
      <c r="C8" s="8" t="s">
        <v>12</v>
      </c>
      <c r="D8" s="87"/>
      <c r="E8" s="87"/>
      <c r="F8" s="8">
        <v>9.0</v>
      </c>
      <c r="G8" s="8">
        <v>7.0</v>
      </c>
      <c r="H8" s="91">
        <v>5.4</v>
      </c>
      <c r="I8" s="91"/>
      <c r="J8" s="87"/>
      <c r="K8" s="137" t="s">
        <v>971</v>
      </c>
    </row>
    <row r="9">
      <c r="A9" s="147" t="s">
        <v>2416</v>
      </c>
      <c r="B9" s="8" t="s">
        <v>15</v>
      </c>
      <c r="C9" s="8" t="s">
        <v>12</v>
      </c>
      <c r="D9" s="91"/>
      <c r="E9" s="91"/>
      <c r="F9" s="91">
        <v>9.0</v>
      </c>
      <c r="G9" s="8">
        <v>7.0</v>
      </c>
      <c r="H9" s="87"/>
      <c r="I9" s="87"/>
      <c r="J9" s="87"/>
      <c r="K9" s="207" t="s">
        <v>2417</v>
      </c>
    </row>
    <row r="10">
      <c r="A10" s="147" t="s">
        <v>2418</v>
      </c>
      <c r="B10" s="8" t="s">
        <v>15</v>
      </c>
      <c r="C10" s="8" t="s">
        <v>9</v>
      </c>
      <c r="D10" s="91">
        <v>5.4</v>
      </c>
      <c r="E10" s="91"/>
      <c r="F10" s="91"/>
      <c r="G10" s="87"/>
      <c r="H10" s="87"/>
      <c r="I10" s="87"/>
      <c r="J10" s="87"/>
      <c r="K10" s="207" t="s">
        <v>2419</v>
      </c>
    </row>
    <row r="11">
      <c r="A11" s="147" t="s">
        <v>2420</v>
      </c>
      <c r="B11" s="8" t="s">
        <v>15</v>
      </c>
      <c r="C11" s="8" t="s">
        <v>9</v>
      </c>
      <c r="D11" s="91">
        <v>5.4</v>
      </c>
      <c r="E11" s="91">
        <v>4.2</v>
      </c>
      <c r="F11" s="91"/>
      <c r="G11" s="87"/>
      <c r="H11" s="87"/>
      <c r="I11" s="87"/>
      <c r="J11" s="87"/>
      <c r="K11" s="207" t="s">
        <v>2421</v>
      </c>
    </row>
    <row r="12">
      <c r="A12" s="147" t="s">
        <v>607</v>
      </c>
      <c r="B12" s="8" t="s">
        <v>15</v>
      </c>
      <c r="C12" s="8" t="s">
        <v>16</v>
      </c>
      <c r="D12" s="91">
        <v>5.4</v>
      </c>
      <c r="E12" s="91">
        <v>4.2</v>
      </c>
      <c r="F12" s="91"/>
      <c r="G12" s="87"/>
      <c r="H12" s="87"/>
      <c r="I12" s="87"/>
      <c r="J12" s="87"/>
      <c r="K12" s="207" t="s">
        <v>608</v>
      </c>
    </row>
    <row r="13">
      <c r="A13" s="147" t="s">
        <v>2101</v>
      </c>
      <c r="B13" s="8" t="s">
        <v>15</v>
      </c>
      <c r="C13" s="8" t="s">
        <v>16</v>
      </c>
      <c r="D13" s="91">
        <v>5.0</v>
      </c>
      <c r="E13" s="91">
        <v>5.0</v>
      </c>
      <c r="F13" s="87"/>
      <c r="G13" s="87"/>
      <c r="H13" s="91"/>
      <c r="I13" s="91"/>
      <c r="J13" s="87"/>
      <c r="K13" s="92" t="s">
        <v>2422</v>
      </c>
    </row>
    <row r="14">
      <c r="A14" s="147" t="s">
        <v>2423</v>
      </c>
      <c r="B14" s="8" t="s">
        <v>15</v>
      </c>
      <c r="C14" s="8" t="s">
        <v>40</v>
      </c>
      <c r="D14" s="8">
        <v>3.6</v>
      </c>
      <c r="E14" s="8">
        <v>2.8</v>
      </c>
      <c r="F14" s="91"/>
      <c r="G14" s="91"/>
      <c r="H14" s="87"/>
      <c r="I14" s="87"/>
      <c r="J14" s="87"/>
      <c r="K14" s="207" t="s">
        <v>1162</v>
      </c>
    </row>
    <row r="15">
      <c r="A15" s="144" t="s">
        <v>2424</v>
      </c>
      <c r="B15" s="8" t="s">
        <v>15</v>
      </c>
      <c r="C15" s="8" t="s">
        <v>16</v>
      </c>
      <c r="D15" s="91"/>
      <c r="E15" s="91"/>
      <c r="F15" s="8">
        <v>9.0</v>
      </c>
      <c r="G15" s="8">
        <v>7.0</v>
      </c>
      <c r="H15" s="87"/>
      <c r="I15" s="87"/>
      <c r="J15" s="87"/>
      <c r="K15" s="207" t="s">
        <v>2425</v>
      </c>
    </row>
    <row r="16">
      <c r="A16" s="52" t="s">
        <v>27</v>
      </c>
      <c r="B16" s="93"/>
      <c r="C16" s="93"/>
      <c r="D16" s="94">
        <f>sum(D3:E15)</f>
        <v>80.6</v>
      </c>
      <c r="E16" s="93"/>
      <c r="F16" s="94">
        <f>sum(F3:G15)</f>
        <v>70</v>
      </c>
      <c r="G16" s="93"/>
      <c r="H16" s="94">
        <f>sum(H3:I15)</f>
        <v>18.6</v>
      </c>
      <c r="I16" s="93"/>
      <c r="J16" s="93"/>
      <c r="K16" s="97"/>
    </row>
    <row r="17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>
      <c r="A18" s="148" t="s">
        <v>2112</v>
      </c>
      <c r="B18" s="89"/>
      <c r="C18" s="89"/>
      <c r="D18" s="89"/>
      <c r="E18" s="89"/>
      <c r="F18" s="89"/>
      <c r="G18" s="89"/>
      <c r="H18" s="89"/>
      <c r="I18" s="89"/>
      <c r="J18" s="89"/>
      <c r="K18" s="90"/>
    </row>
    <row r="19">
      <c r="A19" s="144" t="s">
        <v>2113</v>
      </c>
      <c r="B19" s="87"/>
      <c r="C19" s="87"/>
      <c r="D19" s="91">
        <v>10.0</v>
      </c>
      <c r="E19" s="87"/>
      <c r="F19" s="91">
        <v>10.0</v>
      </c>
      <c r="G19" s="87"/>
      <c r="H19" s="87"/>
      <c r="I19" s="87"/>
      <c r="J19" s="87"/>
      <c r="K19" s="92" t="s">
        <v>2114</v>
      </c>
    </row>
    <row r="20">
      <c r="A20" s="52" t="s">
        <v>479</v>
      </c>
      <c r="B20" s="93"/>
      <c r="C20" s="93"/>
      <c r="D20" s="94">
        <v>20.0</v>
      </c>
      <c r="E20" s="93"/>
      <c r="F20" s="94">
        <v>20.0</v>
      </c>
      <c r="G20" s="93"/>
      <c r="H20" s="93"/>
      <c r="I20" s="93"/>
      <c r="J20" s="93"/>
      <c r="K20" s="95" t="s">
        <v>2115</v>
      </c>
    </row>
    <row r="21">
      <c r="A21" s="144" t="s">
        <v>2116</v>
      </c>
      <c r="B21" s="87"/>
      <c r="C21" s="87"/>
      <c r="D21" s="87">
        <f>sum(D19:D20)</f>
        <v>30</v>
      </c>
      <c r="E21" s="87"/>
      <c r="F21" s="87">
        <f>sum(F19:F20)</f>
        <v>30</v>
      </c>
      <c r="G21" s="87"/>
      <c r="H21" s="87">
        <f>sum(H19:H20)</f>
        <v>0</v>
      </c>
      <c r="I21" s="87"/>
      <c r="J21" s="87"/>
      <c r="K21" s="87"/>
    </row>
    <row r="22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</row>
    <row r="23">
      <c r="A23" s="413" t="s">
        <v>35</v>
      </c>
      <c r="B23" s="395"/>
      <c r="C23" s="395"/>
      <c r="D23" s="395"/>
      <c r="E23" s="395"/>
      <c r="F23" s="395"/>
      <c r="G23" s="395"/>
      <c r="H23" s="395"/>
      <c r="I23" s="395"/>
      <c r="J23" s="395"/>
      <c r="K23" s="405"/>
    </row>
    <row r="24">
      <c r="A24" s="409" t="s">
        <v>482</v>
      </c>
      <c r="B24" s="60"/>
      <c r="C24" s="60"/>
      <c r="D24" s="410">
        <v>10.0</v>
      </c>
      <c r="E24" s="60"/>
      <c r="F24" s="410">
        <v>10.0</v>
      </c>
      <c r="G24" s="60"/>
      <c r="H24" s="60"/>
      <c r="I24" s="60"/>
      <c r="J24" s="60"/>
      <c r="K24" s="414" t="s">
        <v>2125</v>
      </c>
    </row>
    <row r="25">
      <c r="A25" s="398"/>
      <c r="B25" s="57"/>
      <c r="C25" s="57"/>
      <c r="D25" s="57"/>
      <c r="E25" s="57"/>
      <c r="F25" s="57"/>
      <c r="G25" s="57"/>
      <c r="H25" s="57"/>
      <c r="I25" s="57"/>
      <c r="J25" s="57"/>
      <c r="K25" s="400"/>
    </row>
    <row r="26">
      <c r="A26" s="148" t="s">
        <v>2126</v>
      </c>
      <c r="B26" s="89"/>
      <c r="C26" s="89"/>
      <c r="D26" s="89"/>
      <c r="E26" s="89"/>
      <c r="F26" s="89"/>
      <c r="G26" s="89"/>
      <c r="H26" s="89"/>
      <c r="I26" s="89"/>
      <c r="J26" s="89"/>
      <c r="K26" s="90"/>
    </row>
    <row r="27">
      <c r="A27" s="52" t="s">
        <v>2127</v>
      </c>
      <c r="B27" s="93"/>
      <c r="C27" s="93"/>
      <c r="D27" s="94">
        <v>20.0</v>
      </c>
      <c r="E27" s="93"/>
      <c r="F27" s="94">
        <v>40.0</v>
      </c>
      <c r="G27" s="93"/>
      <c r="H27" s="93"/>
      <c r="I27" s="93"/>
      <c r="J27" s="93"/>
      <c r="K27" s="97"/>
    </row>
    <row r="28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>
      <c r="A29" s="148" t="s">
        <v>2128</v>
      </c>
      <c r="B29" s="89"/>
      <c r="C29" s="89"/>
      <c r="D29" s="89"/>
      <c r="E29" s="89"/>
      <c r="F29" s="89"/>
      <c r="G29" s="89"/>
      <c r="H29" s="89"/>
      <c r="I29" s="89"/>
      <c r="J29" s="89"/>
      <c r="K29" s="90"/>
    </row>
    <row r="30">
      <c r="A30" s="147" t="s">
        <v>2426</v>
      </c>
      <c r="B30" s="8" t="s">
        <v>8</v>
      </c>
      <c r="C30" s="8" t="s">
        <v>9</v>
      </c>
      <c r="D30" s="91">
        <v>15.0</v>
      </c>
      <c r="E30" s="87"/>
      <c r="F30" s="8"/>
      <c r="G30" s="87"/>
      <c r="H30" s="8">
        <v>15.0</v>
      </c>
      <c r="I30" s="87"/>
      <c r="J30" s="8">
        <v>15.0</v>
      </c>
      <c r="K30" s="207" t="s">
        <v>1322</v>
      </c>
    </row>
    <row r="31">
      <c r="A31" s="144" t="s">
        <v>2410</v>
      </c>
      <c r="B31" s="8" t="s">
        <v>8</v>
      </c>
      <c r="C31" s="8" t="s">
        <v>9</v>
      </c>
      <c r="D31" s="91">
        <v>15.0</v>
      </c>
      <c r="E31" s="87"/>
      <c r="F31" s="8">
        <v>30.0</v>
      </c>
      <c r="G31" s="87"/>
      <c r="H31" s="87"/>
      <c r="I31" s="87"/>
      <c r="J31" s="8">
        <v>15.0</v>
      </c>
      <c r="K31" s="92" t="s">
        <v>558</v>
      </c>
    </row>
    <row r="32">
      <c r="A32" s="147" t="s">
        <v>2427</v>
      </c>
      <c r="B32" s="8" t="s">
        <v>8</v>
      </c>
      <c r="C32" s="8" t="s">
        <v>16</v>
      </c>
      <c r="D32" s="91">
        <v>15.0</v>
      </c>
      <c r="E32" s="87"/>
      <c r="F32" s="91">
        <v>30.0</v>
      </c>
      <c r="G32" s="87"/>
      <c r="H32" s="91"/>
      <c r="I32" s="87"/>
      <c r="J32" s="8">
        <v>15.0</v>
      </c>
      <c r="K32" s="207" t="s">
        <v>2428</v>
      </c>
    </row>
    <row r="33">
      <c r="A33" s="144" t="s">
        <v>2429</v>
      </c>
      <c r="B33" s="8" t="s">
        <v>8</v>
      </c>
      <c r="C33" s="8" t="s">
        <v>16</v>
      </c>
      <c r="D33" s="91"/>
      <c r="E33" s="87"/>
      <c r="F33" s="91">
        <v>30.0</v>
      </c>
      <c r="G33" s="87"/>
      <c r="H33" s="91">
        <v>15.0</v>
      </c>
      <c r="I33" s="87"/>
      <c r="J33" s="8">
        <v>15.0</v>
      </c>
      <c r="K33" s="92" t="s">
        <v>558</v>
      </c>
    </row>
    <row r="34">
      <c r="A34" s="147" t="s">
        <v>2414</v>
      </c>
      <c r="B34" s="8" t="s">
        <v>8</v>
      </c>
      <c r="C34" s="8" t="s">
        <v>20</v>
      </c>
      <c r="D34" s="8">
        <v>15.0</v>
      </c>
      <c r="E34" s="87"/>
      <c r="F34" s="91"/>
      <c r="G34" s="87"/>
      <c r="H34" s="91">
        <v>15.0</v>
      </c>
      <c r="I34" s="87"/>
      <c r="J34" s="91">
        <v>15.0</v>
      </c>
      <c r="K34" s="92" t="s">
        <v>558</v>
      </c>
    </row>
    <row r="35">
      <c r="A35" s="144" t="s">
        <v>2430</v>
      </c>
      <c r="B35" s="8" t="s">
        <v>8</v>
      </c>
      <c r="C35" s="8" t="s">
        <v>20</v>
      </c>
      <c r="D35" s="91">
        <v>15.0</v>
      </c>
      <c r="E35" s="87"/>
      <c r="F35" s="8">
        <v>30.0</v>
      </c>
      <c r="G35" s="87"/>
      <c r="H35" s="8"/>
      <c r="I35" s="87"/>
      <c r="J35" s="91">
        <v>15.0</v>
      </c>
      <c r="K35" s="207" t="s">
        <v>2431</v>
      </c>
    </row>
    <row r="36">
      <c r="A36" s="147" t="s">
        <v>2432</v>
      </c>
      <c r="B36" s="8" t="s">
        <v>8</v>
      </c>
      <c r="C36" s="8" t="s">
        <v>12</v>
      </c>
      <c r="D36" s="91">
        <v>15.0</v>
      </c>
      <c r="E36" s="87"/>
      <c r="F36" s="8"/>
      <c r="G36" s="87"/>
      <c r="H36" s="8">
        <v>15.0</v>
      </c>
      <c r="I36" s="87"/>
      <c r="J36" s="91">
        <v>15.0</v>
      </c>
      <c r="K36" s="207" t="s">
        <v>2433</v>
      </c>
    </row>
    <row r="37">
      <c r="A37" s="144" t="s">
        <v>2434</v>
      </c>
      <c r="B37" s="8" t="s">
        <v>8</v>
      </c>
      <c r="C37" s="8" t="s">
        <v>12</v>
      </c>
      <c r="D37" s="91">
        <v>15.0</v>
      </c>
      <c r="E37" s="87"/>
      <c r="F37" s="8">
        <v>30.0</v>
      </c>
      <c r="G37" s="87"/>
      <c r="H37" s="87"/>
      <c r="I37" s="87"/>
      <c r="J37" s="91">
        <v>15.0</v>
      </c>
      <c r="K37" s="92" t="s">
        <v>558</v>
      </c>
    </row>
    <row r="38">
      <c r="A38" s="147" t="s">
        <v>2435</v>
      </c>
      <c r="B38" s="8" t="s">
        <v>8</v>
      </c>
      <c r="C38" s="8" t="s">
        <v>40</v>
      </c>
      <c r="D38" s="8">
        <v>15.0</v>
      </c>
      <c r="E38" s="87"/>
      <c r="F38" s="91">
        <v>30.0</v>
      </c>
      <c r="G38" s="87"/>
      <c r="H38" s="91">
        <v>15.0</v>
      </c>
      <c r="I38" s="87"/>
      <c r="J38" s="91"/>
      <c r="K38" s="92" t="s">
        <v>558</v>
      </c>
    </row>
    <row r="39">
      <c r="A39" s="144" t="s">
        <v>2436</v>
      </c>
      <c r="B39" s="8" t="s">
        <v>8</v>
      </c>
      <c r="C39" s="8" t="s">
        <v>40</v>
      </c>
      <c r="D39" s="8">
        <v>15.0</v>
      </c>
      <c r="E39" s="87"/>
      <c r="F39" s="91">
        <v>30.0</v>
      </c>
      <c r="G39" s="87"/>
      <c r="H39" s="91"/>
      <c r="I39" s="87"/>
      <c r="J39" s="91">
        <v>15.0</v>
      </c>
      <c r="K39" s="207" t="s">
        <v>1192</v>
      </c>
    </row>
    <row r="40">
      <c r="A40" s="52" t="s">
        <v>2437</v>
      </c>
      <c r="B40" s="93"/>
      <c r="C40" s="93"/>
      <c r="D40" s="94">
        <f>D30+D32+D34+D36+D38</f>
        <v>75</v>
      </c>
      <c r="E40" s="93"/>
      <c r="F40" s="94">
        <f>F30+F32+F34+F36+F38</f>
        <v>60</v>
      </c>
      <c r="G40" s="93"/>
      <c r="H40" s="94">
        <f>H30+H32+H34+H36+H38</f>
        <v>60</v>
      </c>
      <c r="I40" s="93"/>
      <c r="J40" s="94">
        <f>J30+J32+J34+J36+J38</f>
        <v>60</v>
      </c>
      <c r="K40" s="97"/>
    </row>
    <row r="41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</row>
    <row r="42">
      <c r="A42" s="424" t="s">
        <v>37</v>
      </c>
      <c r="B42" s="89"/>
      <c r="C42" s="89"/>
      <c r="D42" s="89"/>
      <c r="E42" s="89"/>
      <c r="F42" s="89"/>
      <c r="G42" s="89"/>
      <c r="H42" s="89"/>
      <c r="I42" s="89"/>
      <c r="J42" s="89"/>
      <c r="K42" s="90"/>
    </row>
    <row r="43">
      <c r="A43" s="144" t="s">
        <v>298</v>
      </c>
      <c r="B43" s="87"/>
      <c r="C43" s="87"/>
      <c r="D43" s="87"/>
      <c r="E43" s="87"/>
      <c r="F43" s="87"/>
      <c r="G43" s="87"/>
      <c r="H43" s="87"/>
      <c r="I43" s="87"/>
      <c r="J43" s="87"/>
      <c r="K43" s="88"/>
    </row>
    <row r="44">
      <c r="A44" s="144" t="s">
        <v>2152</v>
      </c>
      <c r="B44" s="87"/>
      <c r="C44" s="87"/>
      <c r="D44" s="91">
        <v>7.0</v>
      </c>
      <c r="E44" s="87"/>
      <c r="F44" s="87"/>
      <c r="G44" s="87"/>
      <c r="H44" s="87"/>
      <c r="I44" s="87"/>
      <c r="J44" s="87"/>
      <c r="K44" s="88"/>
    </row>
    <row r="45">
      <c r="A45" s="144" t="s">
        <v>2438</v>
      </c>
      <c r="B45" s="8" t="s">
        <v>8</v>
      </c>
      <c r="C45" s="8" t="s">
        <v>12</v>
      </c>
      <c r="D45" s="87"/>
      <c r="E45" s="87"/>
      <c r="F45" s="87"/>
      <c r="G45" s="87"/>
      <c r="H45" s="87"/>
      <c r="I45" s="87"/>
      <c r="J45" s="87"/>
      <c r="K45" s="92" t="s">
        <v>558</v>
      </c>
    </row>
    <row r="46">
      <c r="A46" s="144" t="s">
        <v>2439</v>
      </c>
      <c r="B46" s="8" t="s">
        <v>8</v>
      </c>
      <c r="C46" s="8"/>
      <c r="D46" s="87"/>
      <c r="E46" s="87"/>
      <c r="F46" s="87"/>
      <c r="G46" s="87"/>
      <c r="H46" s="87"/>
      <c r="I46" s="87"/>
      <c r="J46" s="87"/>
      <c r="K46" s="92"/>
    </row>
    <row r="47">
      <c r="A47" s="144" t="s">
        <v>2440</v>
      </c>
      <c r="B47" s="87"/>
      <c r="C47" s="87"/>
      <c r="D47" s="87"/>
      <c r="E47" s="87"/>
      <c r="F47" s="8">
        <v>7.0</v>
      </c>
      <c r="G47" s="87"/>
      <c r="H47" s="91"/>
      <c r="I47" s="87"/>
      <c r="J47" s="87"/>
      <c r="K47" s="88"/>
    </row>
    <row r="48">
      <c r="A48" s="144" t="s">
        <v>2441</v>
      </c>
      <c r="B48" s="8" t="s">
        <v>8</v>
      </c>
      <c r="C48" s="8" t="s">
        <v>16</v>
      </c>
      <c r="D48" s="87"/>
      <c r="E48" s="87"/>
      <c r="F48" s="87"/>
      <c r="G48" s="87"/>
      <c r="H48" s="87"/>
      <c r="I48" s="87"/>
      <c r="J48" s="87"/>
      <c r="K48" s="92" t="s">
        <v>558</v>
      </c>
    </row>
    <row r="49">
      <c r="A49" s="144" t="s">
        <v>2442</v>
      </c>
      <c r="B49" s="8" t="s">
        <v>8</v>
      </c>
      <c r="C49" s="8" t="s">
        <v>9</v>
      </c>
      <c r="D49" s="87"/>
      <c r="E49" s="87"/>
      <c r="F49" s="87"/>
      <c r="G49" s="87"/>
      <c r="H49" s="87"/>
      <c r="I49" s="87"/>
      <c r="J49" s="87"/>
      <c r="K49" s="201" t="s">
        <v>813</v>
      </c>
    </row>
    <row r="50">
      <c r="A50" s="144" t="s">
        <v>2443</v>
      </c>
      <c r="B50" s="87"/>
      <c r="C50" s="87"/>
      <c r="D50" s="91"/>
      <c r="E50" s="87"/>
      <c r="F50" s="91">
        <v>7.0</v>
      </c>
      <c r="G50" s="87"/>
      <c r="H50" s="91"/>
      <c r="I50" s="87"/>
      <c r="J50" s="87"/>
      <c r="K50" s="88"/>
    </row>
    <row r="51">
      <c r="A51" s="144" t="s">
        <v>2444</v>
      </c>
      <c r="B51" s="8" t="s">
        <v>8</v>
      </c>
      <c r="C51" s="8" t="s">
        <v>40</v>
      </c>
      <c r="D51" s="87"/>
      <c r="E51" s="87"/>
      <c r="F51" s="87"/>
      <c r="G51" s="87"/>
      <c r="H51" s="87"/>
      <c r="I51" s="87"/>
      <c r="J51" s="87"/>
      <c r="K51" s="92" t="s">
        <v>1209</v>
      </c>
    </row>
    <row r="52">
      <c r="A52" s="144" t="s">
        <v>2445</v>
      </c>
      <c r="B52" s="8" t="s">
        <v>8</v>
      </c>
      <c r="C52" s="8" t="s">
        <v>40</v>
      </c>
      <c r="D52" s="87"/>
      <c r="E52" s="87"/>
      <c r="F52" s="87"/>
      <c r="G52" s="87"/>
      <c r="H52" s="87"/>
      <c r="I52" s="87"/>
      <c r="J52" s="87"/>
      <c r="K52" s="92" t="s">
        <v>1298</v>
      </c>
    </row>
    <row r="53">
      <c r="A53" s="144" t="s">
        <v>2446</v>
      </c>
      <c r="B53" s="8" t="s">
        <v>8</v>
      </c>
      <c r="C53" s="8" t="s">
        <v>40</v>
      </c>
      <c r="D53" s="91"/>
      <c r="E53" s="87"/>
      <c r="F53" s="91"/>
      <c r="G53" s="87"/>
      <c r="H53" s="91"/>
      <c r="I53" s="87"/>
      <c r="J53" s="87"/>
      <c r="K53" s="92" t="s">
        <v>1271</v>
      </c>
    </row>
    <row r="54">
      <c r="A54" s="52" t="s">
        <v>64</v>
      </c>
      <c r="B54" s="93"/>
      <c r="C54" s="93"/>
      <c r="D54" s="94">
        <f>sum(D43:D53)</f>
        <v>7</v>
      </c>
      <c r="E54" s="93"/>
      <c r="F54" s="94">
        <f>sum(F43:F53)</f>
        <v>14</v>
      </c>
      <c r="G54" s="93"/>
      <c r="H54" s="94">
        <f>sum(H43:H53)</f>
        <v>0</v>
      </c>
      <c r="I54" s="93"/>
      <c r="J54" s="93"/>
      <c r="K54" s="97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</row>
    <row r="57">
      <c r="A57" s="100" t="s">
        <v>2447</v>
      </c>
      <c r="B57" s="101">
        <f>D16+D21+D27+D40+D54+D24</f>
        <v>222.6</v>
      </c>
      <c r="C57" s="104"/>
      <c r="D57" s="104"/>
      <c r="E57" s="104"/>
      <c r="F57" s="104"/>
      <c r="G57" s="104"/>
      <c r="H57" s="104"/>
      <c r="I57" s="104"/>
      <c r="J57" s="104"/>
      <c r="K57" s="104"/>
    </row>
    <row r="58">
      <c r="A58" s="102" t="s">
        <v>2448</v>
      </c>
      <c r="B58" s="103">
        <f>F16+F21+F27+F40+F54+F24</f>
        <v>224</v>
      </c>
      <c r="C58" s="104"/>
      <c r="D58" s="104"/>
      <c r="E58" s="104"/>
      <c r="F58" s="104"/>
      <c r="G58" s="104"/>
      <c r="H58" s="104"/>
      <c r="I58" s="104"/>
      <c r="J58" s="104"/>
      <c r="K58" s="104"/>
    </row>
    <row r="59">
      <c r="A59" s="102" t="s">
        <v>2449</v>
      </c>
      <c r="B59" s="103">
        <f>H16+H21+H27+H40+H54</f>
        <v>78.6</v>
      </c>
      <c r="C59" s="104"/>
      <c r="D59" s="104"/>
      <c r="E59" s="146"/>
      <c r="F59" s="104"/>
      <c r="G59" s="104"/>
      <c r="H59" s="104"/>
      <c r="I59" s="104"/>
      <c r="J59" s="104"/>
      <c r="K59" s="104"/>
    </row>
  </sheetData>
  <dataValidations>
    <dataValidation type="list" allowBlank="1" showErrorMessage="1" sqref="B3:B15 B30:B39 B45:B46 B48:B49 B51:B53">
      <formula1>"SSS,SS,S,AAA,AA,A,Blue,Green"</formula1>
    </dataValidation>
    <dataValidation type="list" allowBlank="1" showErrorMessage="1" sqref="C3:C15 C30:C39 C45 C48:C49 C51:C53">
      <formula1>"FAME,ART,FTH,CIV,TECH"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9.91"/>
    <col customWidth="1" min="4" max="4" width="7.73"/>
    <col customWidth="1" min="5" max="6" width="11.82"/>
    <col customWidth="1" min="7" max="7" width="11.73"/>
    <col customWidth="1" min="8" max="8" width="4.09"/>
    <col customWidth="1" min="9" max="9" width="3.27"/>
    <col customWidth="1" min="10" max="10" width="4.0"/>
    <col customWidth="1" min="11" max="11" width="3.0"/>
    <col customWidth="1" min="12" max="12" width="3.36"/>
    <col customWidth="1" min="13" max="13" width="6.73"/>
    <col customWidth="1" min="14" max="14" width="3.82"/>
    <col customWidth="1" min="15" max="15" width="7.73"/>
    <col customWidth="1" min="16" max="16" width="7.0"/>
    <col customWidth="1" min="17" max="17" width="7.36"/>
    <col customWidth="1" min="18" max="18" width="4.36"/>
    <col customWidth="1" min="20" max="20" width="7.82"/>
    <col customWidth="1" min="21" max="21" width="5.55"/>
    <col customWidth="1" min="22" max="22" width="8.45"/>
  </cols>
  <sheetData>
    <row r="1">
      <c r="A1" s="130" t="s">
        <v>1737</v>
      </c>
      <c r="B1" s="89"/>
      <c r="C1" s="89"/>
      <c r="D1" s="435" t="s">
        <v>537</v>
      </c>
      <c r="E1" s="435" t="s">
        <v>2450</v>
      </c>
      <c r="F1" s="435" t="s">
        <v>2451</v>
      </c>
      <c r="G1" s="435" t="s">
        <v>2452</v>
      </c>
      <c r="H1" s="436" t="s">
        <v>1140</v>
      </c>
      <c r="I1" s="436" t="s">
        <v>1188</v>
      </c>
      <c r="J1" s="436" t="s">
        <v>1237</v>
      </c>
      <c r="K1" s="436" t="s">
        <v>1266</v>
      </c>
      <c r="L1" s="436" t="s">
        <v>2453</v>
      </c>
      <c r="M1" s="436" t="s">
        <v>2454</v>
      </c>
      <c r="N1" s="436" t="s">
        <v>2455</v>
      </c>
      <c r="O1" s="436" t="s">
        <v>2456</v>
      </c>
      <c r="P1" s="436" t="s">
        <v>2457</v>
      </c>
      <c r="Q1" s="436" t="s">
        <v>2458</v>
      </c>
      <c r="R1" s="436" t="s">
        <v>536</v>
      </c>
      <c r="S1" s="437" t="s">
        <v>5</v>
      </c>
      <c r="Y1" s="438" t="s">
        <v>536</v>
      </c>
      <c r="Z1" s="438" t="s">
        <v>9</v>
      </c>
      <c r="AA1" s="438" t="s">
        <v>2459</v>
      </c>
      <c r="AB1" s="439"/>
    </row>
    <row r="2">
      <c r="A2" s="70" t="s">
        <v>6</v>
      </c>
      <c r="B2" s="71"/>
      <c r="C2" s="71"/>
      <c r="D2" s="71"/>
      <c r="E2" s="71"/>
      <c r="F2" s="71"/>
      <c r="G2" s="71"/>
      <c r="S2" s="72"/>
      <c r="Y2" s="440">
        <v>49.0</v>
      </c>
      <c r="Z2" s="441">
        <v>0.5</v>
      </c>
      <c r="AA2" s="440">
        <v>2.4</v>
      </c>
      <c r="AB2" s="442"/>
    </row>
    <row r="3">
      <c r="A3" s="427" t="s">
        <v>2460</v>
      </c>
      <c r="B3" s="427" t="s">
        <v>8</v>
      </c>
      <c r="C3" s="427" t="s">
        <v>9</v>
      </c>
      <c r="D3" s="443">
        <v>109.0</v>
      </c>
      <c r="E3" s="443" t="s">
        <v>2461</v>
      </c>
      <c r="F3" s="427" t="s">
        <v>2462</v>
      </c>
      <c r="G3" s="427" t="s">
        <v>2463</v>
      </c>
      <c r="H3" s="32"/>
      <c r="I3" s="32"/>
      <c r="J3" s="444">
        <v>9.0</v>
      </c>
      <c r="K3" s="32"/>
      <c r="L3" s="32"/>
      <c r="M3" s="444">
        <v>9.0</v>
      </c>
      <c r="N3" s="32"/>
      <c r="O3" s="32"/>
      <c r="P3" s="32"/>
      <c r="Q3" s="444">
        <v>75.0</v>
      </c>
      <c r="R3" s="32"/>
      <c r="S3" s="105" t="s">
        <v>2464</v>
      </c>
      <c r="Y3" s="440">
        <v>57.0</v>
      </c>
      <c r="Z3" s="441">
        <v>0.6</v>
      </c>
      <c r="AA3" s="440">
        <v>2.8</v>
      </c>
      <c r="AB3" s="442"/>
    </row>
    <row r="4">
      <c r="A4" s="427" t="s">
        <v>1541</v>
      </c>
      <c r="B4" s="427" t="s">
        <v>8</v>
      </c>
      <c r="C4" s="427" t="s">
        <v>9</v>
      </c>
      <c r="D4" s="443">
        <v>108.0</v>
      </c>
      <c r="E4" s="443" t="s">
        <v>2465</v>
      </c>
      <c r="F4" s="443" t="s">
        <v>2466</v>
      </c>
      <c r="G4" s="427" t="s">
        <v>2463</v>
      </c>
      <c r="H4" s="32"/>
      <c r="I4" s="32"/>
      <c r="J4" s="32"/>
      <c r="K4" s="32"/>
      <c r="L4" s="32"/>
      <c r="M4" s="444">
        <v>9.0</v>
      </c>
      <c r="N4" s="32"/>
      <c r="O4" s="32"/>
      <c r="P4" s="32"/>
      <c r="Q4" s="444">
        <v>60.0</v>
      </c>
      <c r="R4" s="444">
        <v>15.0</v>
      </c>
      <c r="S4" s="105" t="s">
        <v>2467</v>
      </c>
      <c r="Y4" s="440">
        <v>66.0</v>
      </c>
      <c r="Z4" s="441">
        <v>0.7</v>
      </c>
      <c r="AA4" s="440">
        <v>3.3</v>
      </c>
      <c r="AB4" s="138"/>
    </row>
    <row r="5">
      <c r="A5" s="102" t="s">
        <v>1345</v>
      </c>
      <c r="B5" s="429" t="s">
        <v>8</v>
      </c>
      <c r="C5" s="429" t="s">
        <v>9</v>
      </c>
      <c r="D5" s="445">
        <v>106.0</v>
      </c>
      <c r="E5" s="445" t="s">
        <v>2468</v>
      </c>
      <c r="F5" s="102" t="s">
        <v>2466</v>
      </c>
      <c r="G5" s="102" t="s">
        <v>2469</v>
      </c>
      <c r="H5" s="446"/>
      <c r="I5" s="102">
        <v>6.0</v>
      </c>
      <c r="J5" s="102"/>
      <c r="K5" s="447"/>
      <c r="L5" s="447"/>
      <c r="M5" s="102">
        <v>6.0</v>
      </c>
      <c r="N5" s="102"/>
      <c r="O5" s="447"/>
      <c r="P5" s="447"/>
      <c r="Q5" s="447"/>
      <c r="R5" s="102">
        <v>15.0</v>
      </c>
      <c r="S5" s="105" t="s">
        <v>2467</v>
      </c>
      <c r="Y5" s="440">
        <v>83.0</v>
      </c>
      <c r="Z5" s="440">
        <v>1.0</v>
      </c>
      <c r="AA5" s="441">
        <v>4.1</v>
      </c>
      <c r="AB5" s="138"/>
    </row>
    <row r="6">
      <c r="A6" s="100" t="s">
        <v>651</v>
      </c>
      <c r="B6" s="427" t="s">
        <v>54</v>
      </c>
      <c r="C6" s="427" t="s">
        <v>9</v>
      </c>
      <c r="D6" s="448">
        <v>104.0</v>
      </c>
      <c r="E6" s="448" t="s">
        <v>2466</v>
      </c>
      <c r="F6" s="448" t="s">
        <v>2468</v>
      </c>
      <c r="G6" s="100"/>
      <c r="H6" s="449"/>
      <c r="I6" s="100">
        <v>6.0</v>
      </c>
      <c r="J6" s="100"/>
      <c r="K6" s="450"/>
      <c r="L6" s="450"/>
      <c r="M6" s="450"/>
      <c r="N6" s="450"/>
      <c r="O6" s="450"/>
      <c r="P6" s="450"/>
      <c r="Q6" s="450"/>
      <c r="R6" s="100">
        <v>15.0</v>
      </c>
      <c r="S6" s="105" t="s">
        <v>2470</v>
      </c>
      <c r="Y6" s="440">
        <v>84.0</v>
      </c>
      <c r="Z6" s="440">
        <v>1.0</v>
      </c>
      <c r="AA6" s="441">
        <v>4.2</v>
      </c>
      <c r="AB6" s="442"/>
    </row>
    <row r="7">
      <c r="A7" s="427" t="s">
        <v>1120</v>
      </c>
      <c r="B7" s="427" t="s">
        <v>8</v>
      </c>
      <c r="C7" s="427" t="s">
        <v>16</v>
      </c>
      <c r="D7" s="443">
        <v>106.0</v>
      </c>
      <c r="E7" s="443" t="s">
        <v>2471</v>
      </c>
      <c r="F7" s="427" t="s">
        <v>2472</v>
      </c>
      <c r="G7" s="427" t="s">
        <v>2473</v>
      </c>
      <c r="H7" s="32"/>
      <c r="I7" s="444">
        <v>9.0</v>
      </c>
      <c r="J7" s="32"/>
      <c r="K7" s="32"/>
      <c r="L7" s="32"/>
      <c r="M7" s="32"/>
      <c r="N7" s="32"/>
      <c r="O7" s="32"/>
      <c r="P7" s="444">
        <v>6.0</v>
      </c>
      <c r="Q7" s="444">
        <v>30.0</v>
      </c>
      <c r="R7" s="32"/>
      <c r="S7" s="105" t="s">
        <v>2474</v>
      </c>
      <c r="Y7" s="440">
        <v>85.0</v>
      </c>
      <c r="Z7" s="440">
        <v>1.0</v>
      </c>
      <c r="AA7" s="440">
        <v>4.2</v>
      </c>
      <c r="AB7" s="442"/>
    </row>
    <row r="8">
      <c r="A8" s="427" t="s">
        <v>2475</v>
      </c>
      <c r="B8" s="427" t="s">
        <v>8</v>
      </c>
      <c r="C8" s="427" t="s">
        <v>16</v>
      </c>
      <c r="D8" s="443">
        <v>109.0</v>
      </c>
      <c r="E8" s="443" t="s">
        <v>2476</v>
      </c>
      <c r="F8" s="427" t="s">
        <v>2477</v>
      </c>
      <c r="G8" s="427" t="s">
        <v>2462</v>
      </c>
      <c r="H8" s="32"/>
      <c r="I8" s="32"/>
      <c r="J8" s="444">
        <v>9.0</v>
      </c>
      <c r="K8" s="444">
        <v>9.0</v>
      </c>
      <c r="L8" s="32"/>
      <c r="M8" s="32"/>
      <c r="N8" s="32"/>
      <c r="O8" s="32"/>
      <c r="P8" s="32"/>
      <c r="Q8" s="444">
        <v>60.0</v>
      </c>
      <c r="R8" s="32"/>
      <c r="S8" s="105" t="s">
        <v>2464</v>
      </c>
      <c r="Y8" s="440">
        <v>86.0</v>
      </c>
      <c r="Z8" s="440">
        <v>1.0</v>
      </c>
      <c r="AA8" s="440">
        <v>4.3</v>
      </c>
      <c r="AB8" s="442"/>
    </row>
    <row r="9">
      <c r="A9" s="100" t="s">
        <v>1663</v>
      </c>
      <c r="B9" s="427" t="s">
        <v>8</v>
      </c>
      <c r="C9" s="427" t="s">
        <v>16</v>
      </c>
      <c r="D9" s="448">
        <v>106.0</v>
      </c>
      <c r="E9" s="448" t="s">
        <v>2478</v>
      </c>
      <c r="F9" s="100" t="s">
        <v>2479</v>
      </c>
      <c r="G9" s="100" t="s">
        <v>2472</v>
      </c>
      <c r="H9" s="449"/>
      <c r="I9" s="450"/>
      <c r="J9" s="450"/>
      <c r="K9" s="100">
        <v>6.0</v>
      </c>
      <c r="L9" s="450"/>
      <c r="M9" s="450"/>
      <c r="N9" s="450"/>
      <c r="O9" s="450"/>
      <c r="P9" s="450"/>
      <c r="Q9" s="100">
        <v>30.0</v>
      </c>
      <c r="R9" s="100">
        <v>15.0</v>
      </c>
      <c r="S9" s="105" t="s">
        <v>2480</v>
      </c>
      <c r="Y9" s="440">
        <v>87.0</v>
      </c>
      <c r="Z9" s="440">
        <v>1.0</v>
      </c>
      <c r="AA9" s="441">
        <v>4.3</v>
      </c>
      <c r="AB9" s="138"/>
    </row>
    <row r="10">
      <c r="A10" s="427" t="s">
        <v>1659</v>
      </c>
      <c r="B10" s="427" t="s">
        <v>8</v>
      </c>
      <c r="C10" s="427" t="s">
        <v>16</v>
      </c>
      <c r="D10" s="443">
        <v>109.0</v>
      </c>
      <c r="E10" s="443" t="s">
        <v>2468</v>
      </c>
      <c r="F10" s="427" t="s">
        <v>2481</v>
      </c>
      <c r="G10" s="427" t="s">
        <v>2479</v>
      </c>
      <c r="H10" s="32"/>
      <c r="I10" s="444">
        <v>6.0</v>
      </c>
      <c r="J10" s="444">
        <v>6.0</v>
      </c>
      <c r="K10" s="444"/>
      <c r="L10" s="444"/>
      <c r="M10" s="32"/>
      <c r="N10" s="32"/>
      <c r="O10" s="32"/>
      <c r="P10" s="32"/>
      <c r="Q10" s="32"/>
      <c r="R10" s="444">
        <v>15.0</v>
      </c>
      <c r="S10" s="74" t="s">
        <v>1660</v>
      </c>
      <c r="Y10" s="440">
        <v>88.0</v>
      </c>
      <c r="Z10" s="441">
        <v>1.1</v>
      </c>
      <c r="AA10" s="441">
        <v>4.4</v>
      </c>
      <c r="AB10" s="138"/>
    </row>
    <row r="11">
      <c r="A11" s="427" t="s">
        <v>1420</v>
      </c>
      <c r="B11" s="427" t="s">
        <v>8</v>
      </c>
      <c r="C11" s="427" t="s">
        <v>20</v>
      </c>
      <c r="D11" s="443">
        <v>108.0</v>
      </c>
      <c r="E11" s="443" t="s">
        <v>2477</v>
      </c>
      <c r="F11" s="427" t="s">
        <v>2482</v>
      </c>
      <c r="G11" s="427" t="s">
        <v>2483</v>
      </c>
      <c r="H11" s="32"/>
      <c r="I11" s="32"/>
      <c r="J11" s="32"/>
      <c r="K11" s="444">
        <v>9.0</v>
      </c>
      <c r="L11" s="444">
        <v>9.0</v>
      </c>
      <c r="M11" s="32"/>
      <c r="N11" s="32"/>
      <c r="O11" s="32"/>
      <c r="P11" s="32"/>
      <c r="Q11" s="32"/>
      <c r="R11" s="444">
        <v>15.0</v>
      </c>
      <c r="S11" s="74" t="s">
        <v>2467</v>
      </c>
      <c r="Y11" s="440">
        <v>89.0</v>
      </c>
      <c r="Z11" s="441">
        <v>1.1</v>
      </c>
      <c r="AA11" s="441">
        <v>4.4</v>
      </c>
      <c r="AB11" s="138"/>
    </row>
    <row r="12">
      <c r="A12" s="427" t="s">
        <v>2484</v>
      </c>
      <c r="B12" s="427" t="s">
        <v>8</v>
      </c>
      <c r="C12" s="427" t="s">
        <v>20</v>
      </c>
      <c r="D12" s="443">
        <v>106.0</v>
      </c>
      <c r="E12" s="443" t="s">
        <v>2482</v>
      </c>
      <c r="F12" s="443" t="s">
        <v>2485</v>
      </c>
      <c r="G12" s="427" t="s">
        <v>2486</v>
      </c>
      <c r="H12" s="444">
        <v>9.0</v>
      </c>
      <c r="I12" s="32"/>
      <c r="J12" s="32"/>
      <c r="K12" s="32"/>
      <c r="L12" s="32"/>
      <c r="M12" s="32"/>
      <c r="N12" s="32"/>
      <c r="O12" s="444">
        <v>6.0</v>
      </c>
      <c r="P12" s="32"/>
      <c r="Q12" s="32"/>
      <c r="R12" s="444">
        <v>15.0</v>
      </c>
      <c r="S12" s="105" t="s">
        <v>2464</v>
      </c>
      <c r="Y12" s="440">
        <v>90.0</v>
      </c>
      <c r="Z12" s="441">
        <v>1.1</v>
      </c>
      <c r="AA12" s="440">
        <v>4.5</v>
      </c>
      <c r="AB12" s="138"/>
    </row>
    <row r="13">
      <c r="A13" s="427" t="s">
        <v>2487</v>
      </c>
      <c r="B13" s="427" t="s">
        <v>96</v>
      </c>
      <c r="C13" s="427" t="s">
        <v>20</v>
      </c>
      <c r="D13" s="443">
        <v>100.0</v>
      </c>
      <c r="E13" s="443" t="s">
        <v>2483</v>
      </c>
      <c r="F13" s="443"/>
      <c r="G13" s="427"/>
      <c r="H13" s="32"/>
      <c r="I13" s="32"/>
      <c r="J13" s="32"/>
      <c r="K13" s="32"/>
      <c r="L13" s="444">
        <v>9.0</v>
      </c>
      <c r="M13" s="32"/>
      <c r="N13" s="32"/>
      <c r="O13" s="32"/>
      <c r="P13" s="32"/>
      <c r="Q13" s="32"/>
      <c r="R13" s="32"/>
      <c r="S13" s="105" t="s">
        <v>2488</v>
      </c>
      <c r="Y13" s="440">
        <v>91.0</v>
      </c>
      <c r="Z13" s="441">
        <v>1.1</v>
      </c>
      <c r="AA13" s="440">
        <v>4.5</v>
      </c>
      <c r="AB13" s="138"/>
    </row>
    <row r="14">
      <c r="A14" s="100" t="s">
        <v>1090</v>
      </c>
      <c r="B14" s="427" t="s">
        <v>8</v>
      </c>
      <c r="C14" s="100" t="s">
        <v>20</v>
      </c>
      <c r="D14" s="448">
        <v>107.0</v>
      </c>
      <c r="E14" s="443" t="s">
        <v>2482</v>
      </c>
      <c r="F14" s="100" t="s">
        <v>2468</v>
      </c>
      <c r="G14" s="100" t="s">
        <v>2481</v>
      </c>
      <c r="H14" s="440"/>
      <c r="I14" s="100">
        <v>6.0</v>
      </c>
      <c r="J14" s="100">
        <v>6.0</v>
      </c>
      <c r="K14" s="450"/>
      <c r="L14" s="450"/>
      <c r="M14" s="450"/>
      <c r="N14" s="450"/>
      <c r="O14" s="450"/>
      <c r="P14" s="450"/>
      <c r="Q14" s="450"/>
      <c r="R14" s="100">
        <v>15.0</v>
      </c>
      <c r="S14" s="74" t="s">
        <v>2467</v>
      </c>
      <c r="Y14" s="440">
        <v>92.0</v>
      </c>
      <c r="Z14" s="440">
        <v>1.1</v>
      </c>
      <c r="AA14" s="440">
        <v>4.6</v>
      </c>
      <c r="AB14" s="138"/>
    </row>
    <row r="15">
      <c r="A15" s="427" t="s">
        <v>1206</v>
      </c>
      <c r="B15" s="427" t="s">
        <v>8</v>
      </c>
      <c r="C15" s="427" t="s">
        <v>12</v>
      </c>
      <c r="D15" s="443">
        <v>107.0</v>
      </c>
      <c r="E15" s="443" t="s">
        <v>2489</v>
      </c>
      <c r="F15" s="443" t="s">
        <v>2490</v>
      </c>
      <c r="G15" s="427" t="s">
        <v>2491</v>
      </c>
      <c r="H15" s="32"/>
      <c r="I15" s="32"/>
      <c r="J15" s="32"/>
      <c r="K15" s="32"/>
      <c r="L15" s="32"/>
      <c r="M15" s="32"/>
      <c r="N15" s="32"/>
      <c r="O15" s="32"/>
      <c r="P15" s="32"/>
      <c r="Q15" s="444">
        <v>90.0</v>
      </c>
      <c r="R15" s="444">
        <v>15.0</v>
      </c>
      <c r="S15" s="74" t="s">
        <v>2467</v>
      </c>
      <c r="Y15" s="440">
        <v>93.0</v>
      </c>
      <c r="Z15" s="440">
        <v>1.1</v>
      </c>
      <c r="AA15" s="440">
        <v>4.6</v>
      </c>
      <c r="AB15" s="138"/>
    </row>
    <row r="16">
      <c r="A16" s="427" t="s">
        <v>2492</v>
      </c>
      <c r="B16" s="427" t="s">
        <v>8</v>
      </c>
      <c r="C16" s="427" t="s">
        <v>12</v>
      </c>
      <c r="D16" s="443">
        <v>109.0</v>
      </c>
      <c r="E16" s="443" t="s">
        <v>2483</v>
      </c>
      <c r="F16" s="443" t="s">
        <v>2471</v>
      </c>
      <c r="G16" s="427" t="s">
        <v>2493</v>
      </c>
      <c r="H16" s="444"/>
      <c r="I16" s="444"/>
      <c r="J16" s="444"/>
      <c r="K16" s="32"/>
      <c r="L16" s="444">
        <v>9.0</v>
      </c>
      <c r="M16" s="32"/>
      <c r="N16" s="32"/>
      <c r="O16" s="32"/>
      <c r="P16" s="444">
        <v>6.0</v>
      </c>
      <c r="Q16" s="444"/>
      <c r="R16" s="444"/>
      <c r="S16" s="109" t="s">
        <v>2494</v>
      </c>
      <c r="Y16" s="440"/>
      <c r="Z16" s="440"/>
      <c r="AA16" s="440"/>
      <c r="AB16" s="138"/>
    </row>
    <row r="17">
      <c r="A17" s="427" t="s">
        <v>2495</v>
      </c>
      <c r="B17" s="427" t="s">
        <v>8</v>
      </c>
      <c r="C17" s="427" t="s">
        <v>12</v>
      </c>
      <c r="D17" s="443">
        <v>106.0</v>
      </c>
      <c r="E17" s="443" t="s">
        <v>2489</v>
      </c>
      <c r="F17" s="443" t="s">
        <v>2485</v>
      </c>
      <c r="G17" s="427" t="s">
        <v>2473</v>
      </c>
      <c r="H17" s="444">
        <v>9.0</v>
      </c>
      <c r="I17" s="444">
        <v>9.0</v>
      </c>
      <c r="J17" s="444"/>
      <c r="K17" s="32"/>
      <c r="L17" s="32"/>
      <c r="M17" s="32"/>
      <c r="N17" s="32"/>
      <c r="O17" s="32"/>
      <c r="P17" s="32"/>
      <c r="Q17" s="444"/>
      <c r="R17" s="444">
        <v>15.0</v>
      </c>
      <c r="S17" s="109" t="s">
        <v>2496</v>
      </c>
      <c r="Y17" s="440">
        <v>94.0</v>
      </c>
      <c r="Z17" s="440">
        <v>1.1</v>
      </c>
      <c r="AA17" s="440">
        <v>4.7</v>
      </c>
      <c r="AB17" s="138"/>
    </row>
    <row r="18">
      <c r="A18" s="427" t="s">
        <v>2497</v>
      </c>
      <c r="B18" s="427" t="s">
        <v>8</v>
      </c>
      <c r="C18" s="427" t="s">
        <v>12</v>
      </c>
      <c r="D18" s="443">
        <v>106.0</v>
      </c>
      <c r="E18" s="443" t="s">
        <v>2485</v>
      </c>
      <c r="F18" s="443" t="s">
        <v>2462</v>
      </c>
      <c r="G18" s="427" t="s">
        <v>2465</v>
      </c>
      <c r="H18" s="444">
        <v>9.0</v>
      </c>
      <c r="I18" s="32"/>
      <c r="J18" s="444">
        <v>9.0</v>
      </c>
      <c r="K18" s="32"/>
      <c r="L18" s="32"/>
      <c r="M18" s="32"/>
      <c r="N18" s="32"/>
      <c r="O18" s="32"/>
      <c r="P18" s="32"/>
      <c r="Q18" s="444">
        <v>60.0</v>
      </c>
      <c r="R18" s="32"/>
      <c r="S18" s="109" t="s">
        <v>785</v>
      </c>
      <c r="Y18" s="440">
        <v>95.0</v>
      </c>
      <c r="Z18" s="441">
        <v>1.1</v>
      </c>
      <c r="AA18" s="440">
        <v>4.7</v>
      </c>
      <c r="AB18" s="138"/>
    </row>
    <row r="19">
      <c r="A19" s="100" t="s">
        <v>2498</v>
      </c>
      <c r="B19" s="427" t="s">
        <v>54</v>
      </c>
      <c r="C19" s="100" t="s">
        <v>12</v>
      </c>
      <c r="D19" s="448">
        <v>106.0</v>
      </c>
      <c r="E19" s="448" t="s">
        <v>2489</v>
      </c>
      <c r="F19" s="448" t="s">
        <v>2481</v>
      </c>
      <c r="G19" s="100"/>
      <c r="H19" s="449"/>
      <c r="I19" s="450"/>
      <c r="J19" s="100">
        <v>6.0</v>
      </c>
      <c r="K19" s="450"/>
      <c r="L19" s="450"/>
      <c r="M19" s="450"/>
      <c r="N19" s="450"/>
      <c r="O19" s="450"/>
      <c r="P19" s="450"/>
      <c r="Q19" s="450"/>
      <c r="R19" s="100">
        <v>15.0</v>
      </c>
      <c r="S19" s="74" t="s">
        <v>2470</v>
      </c>
      <c r="Y19" s="440">
        <v>96.0</v>
      </c>
      <c r="Z19" s="440">
        <v>1.2</v>
      </c>
      <c r="AA19" s="440">
        <v>4.8</v>
      </c>
      <c r="AB19" s="138"/>
    </row>
    <row r="20">
      <c r="A20" s="427" t="s">
        <v>1690</v>
      </c>
      <c r="B20" s="427" t="s">
        <v>8</v>
      </c>
      <c r="C20" s="427" t="s">
        <v>12</v>
      </c>
      <c r="D20" s="443">
        <v>109.0</v>
      </c>
      <c r="E20" s="443" t="s">
        <v>2489</v>
      </c>
      <c r="F20" s="443" t="s">
        <v>2473</v>
      </c>
      <c r="G20" s="427" t="s">
        <v>2477</v>
      </c>
      <c r="H20" s="32"/>
      <c r="I20" s="444">
        <v>9.0</v>
      </c>
      <c r="J20" s="32"/>
      <c r="K20" s="444">
        <v>9.0</v>
      </c>
      <c r="L20" s="32"/>
      <c r="M20" s="32"/>
      <c r="N20" s="32"/>
      <c r="O20" s="444"/>
      <c r="P20" s="32"/>
      <c r="Q20" s="32"/>
      <c r="R20" s="444">
        <v>15.0</v>
      </c>
      <c r="S20" s="109" t="s">
        <v>2499</v>
      </c>
      <c r="Y20" s="440">
        <v>97.0</v>
      </c>
      <c r="Z20" s="440">
        <v>1.2</v>
      </c>
      <c r="AA20" s="440">
        <v>4.8</v>
      </c>
      <c r="AB20" s="138"/>
    </row>
    <row r="21">
      <c r="A21" s="427" t="s">
        <v>2500</v>
      </c>
      <c r="B21" s="427" t="s">
        <v>8</v>
      </c>
      <c r="C21" s="427" t="s">
        <v>40</v>
      </c>
      <c r="D21" s="443">
        <v>109.0</v>
      </c>
      <c r="E21" s="443" t="s">
        <v>2501</v>
      </c>
      <c r="F21" s="443" t="s">
        <v>2483</v>
      </c>
      <c r="G21" s="427" t="s">
        <v>2463</v>
      </c>
      <c r="H21" s="32"/>
      <c r="I21" s="444"/>
      <c r="J21" s="32"/>
      <c r="K21" s="32"/>
      <c r="L21" s="444">
        <v>9.0</v>
      </c>
      <c r="M21" s="444">
        <v>9.0</v>
      </c>
      <c r="N21" s="32"/>
      <c r="O21" s="444"/>
      <c r="P21" s="32"/>
      <c r="Q21" s="32"/>
      <c r="R21" s="444">
        <v>15.0</v>
      </c>
      <c r="S21" s="109" t="s">
        <v>2502</v>
      </c>
      <c r="Y21" s="440">
        <v>98.0</v>
      </c>
      <c r="Z21" s="440">
        <v>1.2</v>
      </c>
      <c r="AA21" s="440">
        <v>4.9</v>
      </c>
      <c r="AB21" s="138"/>
    </row>
    <row r="22">
      <c r="A22" s="427" t="s">
        <v>2503</v>
      </c>
      <c r="B22" s="427" t="s">
        <v>8</v>
      </c>
      <c r="C22" s="427" t="s">
        <v>40</v>
      </c>
      <c r="D22" s="443">
        <v>108.0</v>
      </c>
      <c r="E22" s="443" t="s">
        <v>2473</v>
      </c>
      <c r="F22" s="443" t="s">
        <v>2486</v>
      </c>
      <c r="G22" s="427" t="s">
        <v>2501</v>
      </c>
      <c r="H22" s="32"/>
      <c r="I22" s="444">
        <v>9.0</v>
      </c>
      <c r="J22" s="32"/>
      <c r="K22" s="32"/>
      <c r="L22" s="32"/>
      <c r="M22" s="32"/>
      <c r="N22" s="32"/>
      <c r="O22" s="444">
        <v>6.0</v>
      </c>
      <c r="P22" s="32"/>
      <c r="Q22" s="32"/>
      <c r="R22" s="444">
        <v>15.0</v>
      </c>
      <c r="S22" s="74" t="s">
        <v>2504</v>
      </c>
      <c r="Y22" s="440">
        <v>99.0</v>
      </c>
      <c r="Z22" s="440">
        <v>1.2</v>
      </c>
      <c r="AA22" s="440">
        <v>4.9</v>
      </c>
      <c r="AB22" s="138"/>
    </row>
    <row r="23">
      <c r="A23" s="427" t="s">
        <v>2505</v>
      </c>
      <c r="B23" s="427" t="s">
        <v>8</v>
      </c>
      <c r="C23" s="427" t="s">
        <v>40</v>
      </c>
      <c r="D23" s="443">
        <v>109.0</v>
      </c>
      <c r="E23" s="443" t="s">
        <v>2462</v>
      </c>
      <c r="F23" s="443" t="s">
        <v>2477</v>
      </c>
      <c r="G23" s="427" t="s">
        <v>2506</v>
      </c>
      <c r="H23" s="32"/>
      <c r="I23" s="32"/>
      <c r="J23" s="444">
        <v>9.0</v>
      </c>
      <c r="K23" s="444">
        <v>9.0</v>
      </c>
      <c r="L23" s="32"/>
      <c r="M23" s="32"/>
      <c r="N23" s="32"/>
      <c r="O23" s="32"/>
      <c r="P23" s="32"/>
      <c r="Q23" s="444">
        <v>60.0</v>
      </c>
      <c r="R23" s="32"/>
      <c r="S23" s="109" t="s">
        <v>573</v>
      </c>
      <c r="Y23" s="440">
        <v>100.0</v>
      </c>
      <c r="Z23" s="440">
        <v>1.2</v>
      </c>
      <c r="AA23" s="440">
        <v>5.0</v>
      </c>
      <c r="AB23" s="138"/>
    </row>
    <row r="24">
      <c r="A24" s="427" t="s">
        <v>2507</v>
      </c>
      <c r="B24" s="427" t="s">
        <v>96</v>
      </c>
      <c r="C24" s="427" t="s">
        <v>40</v>
      </c>
      <c r="D24" s="443">
        <v>100.0</v>
      </c>
      <c r="E24" s="443" t="s">
        <v>2506</v>
      </c>
      <c r="F24" s="443"/>
      <c r="G24" s="427"/>
      <c r="H24" s="32"/>
      <c r="I24" s="32"/>
      <c r="J24" s="32"/>
      <c r="K24" s="32"/>
      <c r="L24" s="32"/>
      <c r="M24" s="32"/>
      <c r="N24" s="32"/>
      <c r="O24" s="32"/>
      <c r="P24" s="32"/>
      <c r="Q24" s="444">
        <v>60.0</v>
      </c>
      <c r="R24" s="32"/>
      <c r="S24" s="105" t="s">
        <v>2488</v>
      </c>
      <c r="Y24" s="440">
        <v>101.0</v>
      </c>
      <c r="Z24" s="440">
        <v>1.2</v>
      </c>
      <c r="AA24" s="440">
        <v>5.0</v>
      </c>
      <c r="AB24" s="138"/>
    </row>
    <row r="25">
      <c r="A25" s="427" t="s">
        <v>2508</v>
      </c>
      <c r="B25" s="427" t="s">
        <v>96</v>
      </c>
      <c r="C25" s="427" t="s">
        <v>40</v>
      </c>
      <c r="D25" s="443">
        <v>98.0</v>
      </c>
      <c r="E25" s="443" t="s">
        <v>2477</v>
      </c>
      <c r="F25" s="443"/>
      <c r="G25" s="427"/>
      <c r="H25" s="32"/>
      <c r="I25" s="32"/>
      <c r="J25" s="32"/>
      <c r="K25" s="444">
        <v>9.0</v>
      </c>
      <c r="L25" s="32"/>
      <c r="M25" s="32"/>
      <c r="N25" s="32"/>
      <c r="O25" s="32"/>
      <c r="P25" s="32"/>
      <c r="Q25" s="32"/>
      <c r="R25" s="32"/>
      <c r="S25" s="84" t="s">
        <v>2470</v>
      </c>
      <c r="Y25" s="440">
        <v>102.0</v>
      </c>
      <c r="Z25" s="440">
        <v>1.2</v>
      </c>
      <c r="AA25" s="440">
        <v>5.1</v>
      </c>
      <c r="AB25" s="138"/>
    </row>
    <row r="26">
      <c r="A26" s="80"/>
      <c r="B26" s="80"/>
      <c r="C26" s="80"/>
      <c r="D26" s="80"/>
      <c r="E26" s="80"/>
      <c r="F26" s="80"/>
      <c r="G26" s="80"/>
      <c r="H26" s="80"/>
      <c r="Y26" s="440">
        <v>103.0</v>
      </c>
      <c r="Z26" s="440">
        <v>1.2</v>
      </c>
      <c r="AA26" s="440">
        <v>5.1</v>
      </c>
      <c r="AB26" s="138"/>
    </row>
    <row r="27">
      <c r="A27" s="80"/>
      <c r="B27" s="80"/>
      <c r="C27" s="80"/>
      <c r="D27" s="80"/>
      <c r="E27" s="80"/>
      <c r="F27" s="80"/>
      <c r="G27" s="80"/>
      <c r="H27" s="80"/>
      <c r="Y27" s="440">
        <v>104.0</v>
      </c>
      <c r="Z27" s="440">
        <v>1.3</v>
      </c>
      <c r="AA27" s="440">
        <v>5.2</v>
      </c>
      <c r="AB27" s="138"/>
    </row>
    <row r="28">
      <c r="A28" s="80"/>
      <c r="B28" s="80"/>
      <c r="C28" s="80"/>
      <c r="D28" s="80"/>
      <c r="E28" s="80"/>
      <c r="F28" s="80"/>
      <c r="G28" s="80"/>
      <c r="H28" s="80"/>
      <c r="Y28" s="440">
        <v>105.0</v>
      </c>
      <c r="Z28" s="440">
        <v>1.3</v>
      </c>
      <c r="AA28" s="440">
        <v>5.2</v>
      </c>
      <c r="AB28" s="138"/>
    </row>
    <row r="29">
      <c r="A29" s="104"/>
      <c r="B29" s="104"/>
      <c r="C29" s="104"/>
      <c r="D29" s="104"/>
      <c r="E29" s="80"/>
      <c r="F29" s="80"/>
      <c r="G29" s="80"/>
      <c r="H29" s="104"/>
      <c r="Y29" s="440">
        <v>106.0</v>
      </c>
      <c r="Z29" s="440">
        <v>1.3</v>
      </c>
      <c r="AA29" s="440">
        <v>5.3</v>
      </c>
      <c r="AB29" s="138"/>
    </row>
    <row r="30">
      <c r="A30" s="104"/>
      <c r="B30" s="80"/>
      <c r="C30" s="80"/>
      <c r="D30" s="80"/>
      <c r="E30" s="80"/>
      <c r="F30" s="80"/>
      <c r="G30" s="80"/>
      <c r="H30" s="80"/>
      <c r="Y30" s="440">
        <v>107.0</v>
      </c>
      <c r="Z30" s="440">
        <v>1.3</v>
      </c>
      <c r="AA30" s="440">
        <v>5.3</v>
      </c>
      <c r="AB30" s="138"/>
    </row>
    <row r="31">
      <c r="C31" s="451" t="s">
        <v>2509</v>
      </c>
      <c r="D31" s="452"/>
      <c r="E31" s="453" t="s">
        <v>2510</v>
      </c>
      <c r="F31" s="453" t="s">
        <v>2511</v>
      </c>
      <c r="G31" s="453" t="str">
        <f>D1</f>
        <v>Main AFFCT</v>
      </c>
      <c r="H31" s="454" t="s">
        <v>1140</v>
      </c>
      <c r="I31" s="454" t="s">
        <v>1188</v>
      </c>
      <c r="J31" s="454" t="s">
        <v>1237</v>
      </c>
      <c r="K31" s="454" t="s">
        <v>1266</v>
      </c>
      <c r="L31" s="454" t="s">
        <v>2453</v>
      </c>
      <c r="M31" s="454" t="s">
        <v>2454</v>
      </c>
      <c r="N31" s="454" t="s">
        <v>2455</v>
      </c>
      <c r="O31" s="454" t="s">
        <v>2456</v>
      </c>
      <c r="P31" s="454" t="s">
        <v>2457</v>
      </c>
      <c r="Q31" s="454" t="s">
        <v>2458</v>
      </c>
      <c r="R31" s="451" t="s">
        <v>2512</v>
      </c>
      <c r="S31" s="455"/>
      <c r="U31" s="31"/>
      <c r="V31" s="54" t="s">
        <v>2513</v>
      </c>
      <c r="W31" s="54" t="s">
        <v>2514</v>
      </c>
      <c r="Y31" s="440">
        <v>108.0</v>
      </c>
      <c r="Z31" s="440">
        <v>1.3</v>
      </c>
      <c r="AA31" s="440">
        <v>5.4</v>
      </c>
      <c r="AB31" s="138"/>
    </row>
    <row r="32">
      <c r="C32" s="456" t="str">
        <f>A3</f>
        <v>Celestial Mechanics</v>
      </c>
      <c r="D32" s="457"/>
      <c r="E32" s="458" t="s">
        <v>9</v>
      </c>
      <c r="F32" s="458" t="s">
        <v>1288</v>
      </c>
      <c r="G32" s="459">
        <f t="shared" ref="G32:G36" si="1">VLOOKUP($C32,$A$3:$R$25,4,FALSE)+VLOOKUP($C32,$A$3:$R$25,18,FALSE)</f>
        <v>109</v>
      </c>
      <c r="H32" s="460">
        <f>VLOOKUP($C32,$A$3:$R$25,8,FALSE)+VLOOKUP($G32,$Y$2:$AA$50,2)</f>
        <v>1.3</v>
      </c>
      <c r="I32" s="460">
        <f>VLOOKUP($C32,$A$3:$R$25,9,FALSE)+VLOOKUP($G32,$Y$2:$AA$50,2)</f>
        <v>1.3</v>
      </c>
      <c r="J32" s="460">
        <f>VLOOKUP($C32,$A$3:$R$25,10,FALSE)+VLOOKUP($G32,$Y$2:$AA$50,2)</f>
        <v>10.3</v>
      </c>
      <c r="K32" s="460">
        <f>VLOOKUP($C32,$A$3:$R$25,11,FALSE)+VLOOKUP($G32,$Y$2:$AA$50,2)</f>
        <v>1.3</v>
      </c>
      <c r="L32" s="460" t="str">
        <f t="shared" ref="L32:L36" si="2">VLOOKUP($C32,$A$3:$R$25,12,FALSE)</f>
        <v/>
      </c>
      <c r="M32" s="460">
        <f t="shared" ref="M32:M36" si="3">VLOOKUP($C32,$A$3:$R$25,13,FALSE)</f>
        <v>9</v>
      </c>
      <c r="N32" s="460" t="str">
        <f t="shared" ref="N32:N36" si="4">VLOOKUP($C32,$A$3:$R$25,14,FALSE)</f>
        <v/>
      </c>
      <c r="O32" s="460" t="str">
        <f t="shared" ref="O32:O36" si="5">VLOOKUP($C32,$A$3:$R$25,15,FALSE)</f>
        <v/>
      </c>
      <c r="P32" s="460" t="str">
        <f t="shared" ref="P32:P36" si="6">VLOOKUP($C32,$A$3:$R$25,16,FALSE)</f>
        <v/>
      </c>
      <c r="Q32" s="460">
        <f t="shared" ref="Q32:Q36" si="7">VLOOKUP($C32,$A$3:$R$25,17,FALSE)</f>
        <v>75</v>
      </c>
      <c r="R32" s="461" t="str">
        <f>A5</f>
        <v>The Prince</v>
      </c>
      <c r="S32" s="462"/>
      <c r="U32" s="54" t="s">
        <v>2515</v>
      </c>
      <c r="V32" s="31"/>
      <c r="W32" s="31"/>
      <c r="Y32" s="440">
        <v>109.0</v>
      </c>
      <c r="Z32" s="440">
        <v>1.3</v>
      </c>
      <c r="AA32" s="440">
        <v>5.4</v>
      </c>
      <c r="AB32" s="138"/>
    </row>
    <row r="33">
      <c r="C33" s="463" t="str">
        <f>A7</f>
        <v>Two-headed Serpent</v>
      </c>
      <c r="D33" s="464"/>
      <c r="E33" s="465" t="s">
        <v>16</v>
      </c>
      <c r="F33" s="465" t="s">
        <v>1140</v>
      </c>
      <c r="G33" s="466">
        <f t="shared" si="1"/>
        <v>106</v>
      </c>
      <c r="H33" s="467">
        <f>VLOOKUP($C33,$A$3:$R$25,8,FALSE)+VLOOKUP($G33,$Y$2:$AA$50,3)</f>
        <v>5.3</v>
      </c>
      <c r="I33" s="467">
        <f t="shared" ref="I33:I34" si="8">VLOOKUP($C33,$A$3:$R$25,9,FALSE)</f>
        <v>9</v>
      </c>
      <c r="J33" s="467" t="str">
        <f>VLOOKUP($C33,$A$3:$R$25,10,FALSE)</f>
        <v/>
      </c>
      <c r="K33" s="467" t="str">
        <f t="shared" ref="K33:K35" si="9">VLOOKUP($C33,$A$3:$R$25,11,FALSE)</f>
        <v/>
      </c>
      <c r="L33" s="467" t="str">
        <f t="shared" si="2"/>
        <v/>
      </c>
      <c r="M33" s="467" t="str">
        <f t="shared" si="3"/>
        <v/>
      </c>
      <c r="N33" s="467" t="str">
        <f t="shared" si="4"/>
        <v/>
      </c>
      <c r="O33" s="467" t="str">
        <f t="shared" si="5"/>
        <v/>
      </c>
      <c r="P33" s="467">
        <f t="shared" si="6"/>
        <v>6</v>
      </c>
      <c r="Q33" s="467">
        <f t="shared" si="7"/>
        <v>30</v>
      </c>
      <c r="R33" s="468" t="str">
        <f t="shared" ref="R33:R34" si="10">A10</f>
        <v>Woman at Her Toilette</v>
      </c>
      <c r="S33" s="469"/>
      <c r="U33" s="54" t="s">
        <v>1188</v>
      </c>
      <c r="V33" s="31">
        <f>$Z$66*(1+I37/100)</f>
        <v>1275962</v>
      </c>
      <c r="W33" s="31">
        <f>((V33-$Z$73)*(V35+P37/100)*((V36/100)*V37 + (1-V36/100)*1)) + LOG(V33,5)*Q37*(V35+P37/100)</f>
        <v>661272.7841</v>
      </c>
      <c r="Y33" s="440">
        <v>110.0</v>
      </c>
      <c r="Z33" s="441">
        <v>1.3</v>
      </c>
      <c r="AA33" s="440">
        <v>5.5</v>
      </c>
      <c r="AB33" s="138"/>
    </row>
    <row r="34">
      <c r="C34" s="456" t="str">
        <f>A14</f>
        <v>Enuma Elish</v>
      </c>
      <c r="D34" s="457"/>
      <c r="E34" s="458" t="s">
        <v>20</v>
      </c>
      <c r="F34" s="458" t="s">
        <v>1237</v>
      </c>
      <c r="G34" s="459">
        <f t="shared" si="1"/>
        <v>122</v>
      </c>
      <c r="H34" s="460" t="str">
        <f t="shared" ref="H34:H36" si="11">VLOOKUP($C34,$A$3:$R$25,8,FALSE)</f>
        <v/>
      </c>
      <c r="I34" s="460">
        <f t="shared" si="8"/>
        <v>6</v>
      </c>
      <c r="J34" s="460">
        <f>VLOOKUP($C34,$A$3:$R$25,10,FALSE)+VLOOKUP(G34,$Y$2:$AA$50,3)</f>
        <v>12.1</v>
      </c>
      <c r="K34" s="460" t="str">
        <f t="shared" si="9"/>
        <v/>
      </c>
      <c r="L34" s="460" t="str">
        <f t="shared" si="2"/>
        <v/>
      </c>
      <c r="M34" s="460" t="str">
        <f t="shared" si="3"/>
        <v/>
      </c>
      <c r="N34" s="460" t="str">
        <f t="shared" si="4"/>
        <v/>
      </c>
      <c r="O34" s="460" t="str">
        <f t="shared" si="5"/>
        <v/>
      </c>
      <c r="P34" s="460" t="str">
        <f t="shared" si="6"/>
        <v/>
      </c>
      <c r="Q34" s="460" t="str">
        <f t="shared" si="7"/>
        <v/>
      </c>
      <c r="R34" s="470" t="str">
        <f t="shared" si="10"/>
        <v>Vedas</v>
      </c>
      <c r="S34" s="462"/>
      <c r="U34" s="54" t="s">
        <v>1237</v>
      </c>
      <c r="V34" s="31">
        <f>$Z$67*(1+J37/100)</f>
        <v>1327140</v>
      </c>
      <c r="W34" s="31">
        <f>(V34-$Z$73)*(V35+P37/100)*((V36/100)*V37 + (1-V36/100)*1) + LOG(V34,5)*Q37*(V35+P37/100)</f>
        <v>727209.8922</v>
      </c>
      <c r="Y34" s="440">
        <v>111.0</v>
      </c>
      <c r="Z34" s="441">
        <v>1.3</v>
      </c>
      <c r="AA34" s="440">
        <v>5.5</v>
      </c>
      <c r="AB34" s="138"/>
    </row>
    <row r="35">
      <c r="C35" s="463" t="str">
        <f>A18</f>
        <v>Frederick Portrait</v>
      </c>
      <c r="D35" s="464"/>
      <c r="E35" s="465" t="s">
        <v>12</v>
      </c>
      <c r="F35" s="465" t="s">
        <v>1188</v>
      </c>
      <c r="G35" s="466">
        <f t="shared" si="1"/>
        <v>106</v>
      </c>
      <c r="H35" s="467">
        <f t="shared" si="11"/>
        <v>9</v>
      </c>
      <c r="I35" s="467">
        <f>VLOOKUP($C35,$A$3:$R$25,9,FALSE)+VLOOKUP(G35,$Y$2:$AA$50,3)</f>
        <v>5.3</v>
      </c>
      <c r="J35" s="467">
        <f t="shared" ref="J35:J36" si="12">VLOOKUP($C35,$A$3:$R$25,10,FALSE)</f>
        <v>9</v>
      </c>
      <c r="K35" s="467" t="str">
        <f t="shared" si="9"/>
        <v/>
      </c>
      <c r="L35" s="467" t="str">
        <f t="shared" si="2"/>
        <v/>
      </c>
      <c r="M35" s="467" t="str">
        <f t="shared" si="3"/>
        <v/>
      </c>
      <c r="N35" s="467" t="str">
        <f t="shared" si="4"/>
        <v/>
      </c>
      <c r="O35" s="467" t="str">
        <f t="shared" si="5"/>
        <v/>
      </c>
      <c r="P35" s="467" t="str">
        <f t="shared" si="6"/>
        <v/>
      </c>
      <c r="Q35" s="467">
        <f t="shared" si="7"/>
        <v>60</v>
      </c>
      <c r="R35" s="468" t="str">
        <f>A19</f>
        <v>Harem Wall Painting</v>
      </c>
      <c r="S35" s="469"/>
      <c r="U35" s="54" t="s">
        <v>2516</v>
      </c>
      <c r="V35" s="31">
        <f>(1+($Z$68+N37)/100)</f>
        <v>1.13</v>
      </c>
      <c r="W35" s="31"/>
      <c r="Y35" s="440">
        <v>112.0</v>
      </c>
      <c r="Z35" s="441">
        <v>1.4</v>
      </c>
      <c r="AA35" s="440">
        <v>5.6</v>
      </c>
      <c r="AB35" s="138"/>
    </row>
    <row r="36">
      <c r="C36" s="456" t="str">
        <f>A22</f>
        <v>Goldbach Conjecture</v>
      </c>
      <c r="D36" s="457"/>
      <c r="E36" s="458" t="s">
        <v>40</v>
      </c>
      <c r="F36" s="458" t="s">
        <v>1266</v>
      </c>
      <c r="G36" s="459">
        <f t="shared" si="1"/>
        <v>123</v>
      </c>
      <c r="H36" s="460" t="str">
        <f t="shared" si="11"/>
        <v/>
      </c>
      <c r="I36" s="460">
        <f>VLOOKUP($C36,$A$3:$R$25,9,FALSE)</f>
        <v>9</v>
      </c>
      <c r="J36" s="460" t="str">
        <f t="shared" si="12"/>
        <v/>
      </c>
      <c r="K36" s="460">
        <f>VLOOKUP($C36,$A$3:$R$25,11,FALSE)+VLOOKUP(G36,$Y$2:$AA$50,3)</f>
        <v>6.1</v>
      </c>
      <c r="L36" s="460" t="str">
        <f t="shared" si="2"/>
        <v/>
      </c>
      <c r="M36" s="460" t="str">
        <f t="shared" si="3"/>
        <v/>
      </c>
      <c r="N36" s="460" t="str">
        <f t="shared" si="4"/>
        <v/>
      </c>
      <c r="O36" s="460">
        <f t="shared" si="5"/>
        <v>6</v>
      </c>
      <c r="P36" s="460" t="str">
        <f t="shared" si="6"/>
        <v/>
      </c>
      <c r="Q36" s="460" t="str">
        <f t="shared" si="7"/>
        <v/>
      </c>
      <c r="R36" s="461" t="s">
        <v>1345</v>
      </c>
      <c r="S36" s="462"/>
      <c r="U36" s="54" t="s">
        <v>2517</v>
      </c>
      <c r="V36" s="31">
        <f>$Z$69+L37</f>
        <v>14</v>
      </c>
      <c r="W36" s="31"/>
      <c r="Y36" s="440">
        <v>113.0</v>
      </c>
      <c r="Z36" s="441">
        <v>1.4</v>
      </c>
      <c r="AA36" s="440">
        <v>5.6</v>
      </c>
      <c r="AB36" s="138"/>
    </row>
    <row r="37">
      <c r="C37" s="471" t="s">
        <v>2518</v>
      </c>
      <c r="D37" s="464"/>
      <c r="E37" s="472"/>
      <c r="F37" s="472"/>
      <c r="G37" s="473"/>
      <c r="H37" s="474">
        <f t="shared" ref="H37:Q37" si="13">sum(H32:H36)</f>
        <v>15.6</v>
      </c>
      <c r="I37" s="474">
        <f t="shared" si="13"/>
        <v>30.6</v>
      </c>
      <c r="J37" s="474">
        <f t="shared" si="13"/>
        <v>31.4</v>
      </c>
      <c r="K37" s="474">
        <f t="shared" si="13"/>
        <v>7.4</v>
      </c>
      <c r="L37" s="474">
        <f t="shared" si="13"/>
        <v>0</v>
      </c>
      <c r="M37" s="474">
        <f t="shared" si="13"/>
        <v>9</v>
      </c>
      <c r="N37" s="474">
        <f t="shared" si="13"/>
        <v>0</v>
      </c>
      <c r="O37" s="474">
        <f t="shared" si="13"/>
        <v>6</v>
      </c>
      <c r="P37" s="474">
        <f t="shared" si="13"/>
        <v>6</v>
      </c>
      <c r="Q37" s="474">
        <f t="shared" si="13"/>
        <v>165</v>
      </c>
      <c r="R37" s="468"/>
      <c r="S37" s="469"/>
      <c r="U37" s="54" t="s">
        <v>2519</v>
      </c>
      <c r="V37" s="31">
        <f>1.5+($Z$70+M37)/100</f>
        <v>1.59</v>
      </c>
      <c r="W37" s="31"/>
      <c r="Y37" s="440">
        <v>114.0</v>
      </c>
      <c r="Z37" s="440">
        <v>1.4</v>
      </c>
      <c r="AA37" s="441">
        <v>5.7</v>
      </c>
      <c r="AB37" s="138"/>
    </row>
    <row r="38">
      <c r="C38" s="475" t="s">
        <v>2520</v>
      </c>
      <c r="D38" s="457"/>
      <c r="E38" s="476">
        <f>W33+W34</f>
        <v>1388482.676</v>
      </c>
      <c r="F38" s="477"/>
      <c r="G38" s="478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Y38" s="440">
        <v>115.0</v>
      </c>
      <c r="Z38" s="440">
        <v>1.4</v>
      </c>
      <c r="AA38" s="441">
        <v>5.7</v>
      </c>
      <c r="AB38" s="138"/>
    </row>
    <row r="39">
      <c r="Y39" s="440">
        <v>116.0</v>
      </c>
      <c r="Z39" s="440">
        <v>1.4</v>
      </c>
      <c r="AA39" s="440">
        <v>5.8</v>
      </c>
      <c r="AB39" s="442"/>
    </row>
    <row r="40">
      <c r="Y40" s="440">
        <v>117.0</v>
      </c>
      <c r="Z40" s="440">
        <v>1.4</v>
      </c>
      <c r="AA40" s="440">
        <v>5.8</v>
      </c>
      <c r="AB40" s="442"/>
    </row>
    <row r="41">
      <c r="A41" s="130" t="s">
        <v>1752</v>
      </c>
      <c r="B41" s="89"/>
      <c r="C41" s="89"/>
      <c r="D41" s="435" t="s">
        <v>537</v>
      </c>
      <c r="E41" s="435" t="s">
        <v>2450</v>
      </c>
      <c r="F41" s="435" t="s">
        <v>2451</v>
      </c>
      <c r="G41" s="435" t="s">
        <v>2452</v>
      </c>
      <c r="H41" s="436" t="s">
        <v>1140</v>
      </c>
      <c r="I41" s="436" t="s">
        <v>1188</v>
      </c>
      <c r="J41" s="436" t="s">
        <v>1237</v>
      </c>
      <c r="K41" s="436" t="s">
        <v>1266</v>
      </c>
      <c r="L41" s="436" t="s">
        <v>2453</v>
      </c>
      <c r="M41" s="436" t="s">
        <v>2454</v>
      </c>
      <c r="N41" s="436" t="s">
        <v>2455</v>
      </c>
      <c r="O41" s="436" t="s">
        <v>2456</v>
      </c>
      <c r="P41" s="436" t="s">
        <v>2457</v>
      </c>
      <c r="Q41" s="436" t="s">
        <v>2458</v>
      </c>
      <c r="R41" s="436" t="s">
        <v>536</v>
      </c>
      <c r="S41" s="437" t="s">
        <v>5</v>
      </c>
      <c r="Y41" s="440">
        <v>118.0</v>
      </c>
      <c r="Z41" s="440">
        <v>1.4</v>
      </c>
      <c r="AA41" s="441">
        <v>5.9</v>
      </c>
      <c r="AB41" s="138"/>
    </row>
    <row r="42">
      <c r="A42" s="70" t="s">
        <v>6</v>
      </c>
      <c r="B42" s="71"/>
      <c r="C42" s="71"/>
      <c r="D42" s="71"/>
      <c r="E42" s="71"/>
      <c r="F42" s="71"/>
      <c r="G42" s="71"/>
      <c r="S42" s="72"/>
      <c r="Y42" s="440">
        <v>119.0</v>
      </c>
      <c r="Z42" s="440">
        <v>1.4</v>
      </c>
      <c r="AA42" s="441">
        <v>5.9</v>
      </c>
      <c r="AB42" s="138"/>
    </row>
    <row r="43">
      <c r="A43" s="427" t="s">
        <v>1437</v>
      </c>
      <c r="B43" s="427" t="s">
        <v>8</v>
      </c>
      <c r="C43" s="427" t="s">
        <v>9</v>
      </c>
      <c r="D43" s="443">
        <v>109.0</v>
      </c>
      <c r="E43" s="443" t="s">
        <v>2466</v>
      </c>
      <c r="F43" s="427" t="s">
        <v>2461</v>
      </c>
      <c r="G43" s="427" t="s">
        <v>2485</v>
      </c>
      <c r="H43" s="444">
        <v>9.0</v>
      </c>
      <c r="I43" s="32"/>
      <c r="J43" s="32"/>
      <c r="K43" s="32"/>
      <c r="L43" s="32"/>
      <c r="M43" s="32"/>
      <c r="N43" s="32"/>
      <c r="O43" s="32"/>
      <c r="P43" s="32"/>
      <c r="Q43" s="444">
        <v>75.0</v>
      </c>
      <c r="R43" s="444">
        <v>15.0</v>
      </c>
      <c r="S43" s="74" t="s">
        <v>2467</v>
      </c>
      <c r="Y43" s="440">
        <v>120.0</v>
      </c>
      <c r="Z43" s="441">
        <v>1.5</v>
      </c>
      <c r="AA43" s="441">
        <v>6.0</v>
      </c>
      <c r="AB43" s="442"/>
    </row>
    <row r="44">
      <c r="A44" s="427" t="s">
        <v>2521</v>
      </c>
      <c r="B44" s="427" t="s">
        <v>8</v>
      </c>
      <c r="C44" s="427" t="s">
        <v>9</v>
      </c>
      <c r="D44" s="443">
        <v>107.0</v>
      </c>
      <c r="E44" s="443" t="s">
        <v>2522</v>
      </c>
      <c r="F44" s="427" t="s">
        <v>2471</v>
      </c>
      <c r="G44" s="427" t="s">
        <v>2477</v>
      </c>
      <c r="H44" s="32"/>
      <c r="I44" s="32"/>
      <c r="J44" s="32"/>
      <c r="K44" s="444">
        <v>9.0</v>
      </c>
      <c r="L44" s="32"/>
      <c r="M44" s="32"/>
      <c r="N44" s="32"/>
      <c r="O44" s="32"/>
      <c r="P44" s="444">
        <v>6.0</v>
      </c>
      <c r="Q44" s="32"/>
      <c r="R44" s="32"/>
      <c r="S44" s="74" t="s">
        <v>2474</v>
      </c>
      <c r="Y44" s="440">
        <v>121.0</v>
      </c>
      <c r="Z44" s="441">
        <v>1.5</v>
      </c>
      <c r="AA44" s="441">
        <v>6.0</v>
      </c>
      <c r="AB44" s="442"/>
    </row>
    <row r="45">
      <c r="A45" s="102" t="s">
        <v>1345</v>
      </c>
      <c r="B45" s="429" t="s">
        <v>8</v>
      </c>
      <c r="C45" s="429" t="s">
        <v>9</v>
      </c>
      <c r="D45" s="445">
        <v>106.0</v>
      </c>
      <c r="E45" s="445" t="s">
        <v>2468</v>
      </c>
      <c r="F45" s="102" t="s">
        <v>2466</v>
      </c>
      <c r="G45" s="102" t="s">
        <v>2469</v>
      </c>
      <c r="H45" s="446"/>
      <c r="I45" s="102">
        <v>6.0</v>
      </c>
      <c r="J45" s="102"/>
      <c r="K45" s="447"/>
      <c r="L45" s="447"/>
      <c r="M45" s="102">
        <v>6.0</v>
      </c>
      <c r="N45" s="102"/>
      <c r="O45" s="447"/>
      <c r="P45" s="447"/>
      <c r="Q45" s="447"/>
      <c r="R45" s="102">
        <v>15.0</v>
      </c>
      <c r="S45" s="74" t="s">
        <v>2467</v>
      </c>
      <c r="Y45" s="440">
        <v>122.0</v>
      </c>
      <c r="Z45" s="440">
        <v>1.5</v>
      </c>
      <c r="AA45" s="440">
        <v>6.1</v>
      </c>
      <c r="AB45" s="442"/>
    </row>
    <row r="46">
      <c r="A46" s="100" t="s">
        <v>651</v>
      </c>
      <c r="B46" s="427" t="s">
        <v>54</v>
      </c>
      <c r="C46" s="427" t="s">
        <v>9</v>
      </c>
      <c r="D46" s="448">
        <v>104.0</v>
      </c>
      <c r="E46" s="448" t="s">
        <v>2466</v>
      </c>
      <c r="F46" s="448" t="s">
        <v>2468</v>
      </c>
      <c r="G46" s="100"/>
      <c r="H46" s="449"/>
      <c r="I46" s="100">
        <v>6.0</v>
      </c>
      <c r="J46" s="100"/>
      <c r="K46" s="450"/>
      <c r="L46" s="450"/>
      <c r="M46" s="450"/>
      <c r="N46" s="450"/>
      <c r="O46" s="450"/>
      <c r="P46" s="450"/>
      <c r="Q46" s="450"/>
      <c r="R46" s="100">
        <v>15.0</v>
      </c>
      <c r="S46" s="74" t="s">
        <v>2470</v>
      </c>
      <c r="Y46" s="440">
        <v>123.0</v>
      </c>
      <c r="Z46" s="441">
        <v>1.5</v>
      </c>
      <c r="AA46" s="440">
        <v>6.1</v>
      </c>
      <c r="AB46" s="442"/>
    </row>
    <row r="47">
      <c r="A47" s="427" t="s">
        <v>739</v>
      </c>
      <c r="B47" s="427" t="s">
        <v>8</v>
      </c>
      <c r="C47" s="427" t="s">
        <v>16</v>
      </c>
      <c r="D47" s="443">
        <v>108.0</v>
      </c>
      <c r="E47" s="443" t="s">
        <v>2483</v>
      </c>
      <c r="F47" s="427" t="s">
        <v>2471</v>
      </c>
      <c r="G47" s="427" t="s">
        <v>2523</v>
      </c>
      <c r="H47" s="444"/>
      <c r="I47" s="32"/>
      <c r="J47" s="444"/>
      <c r="K47" s="32"/>
      <c r="L47" s="444">
        <v>9.0</v>
      </c>
      <c r="M47" s="32"/>
      <c r="N47" s="32"/>
      <c r="O47" s="32"/>
      <c r="P47" s="444">
        <v>6.0</v>
      </c>
      <c r="Q47" s="32"/>
      <c r="R47" s="444"/>
      <c r="S47" s="109" t="s">
        <v>2524</v>
      </c>
      <c r="Y47" s="440"/>
      <c r="Z47" s="441"/>
      <c r="AA47" s="440"/>
      <c r="AB47" s="138"/>
    </row>
    <row r="48">
      <c r="A48" s="427" t="s">
        <v>1364</v>
      </c>
      <c r="B48" s="427" t="s">
        <v>8</v>
      </c>
      <c r="C48" s="427" t="s">
        <v>16</v>
      </c>
      <c r="D48" s="443">
        <v>108.0</v>
      </c>
      <c r="E48" s="443" t="s">
        <v>2479</v>
      </c>
      <c r="F48" s="427" t="s">
        <v>2485</v>
      </c>
      <c r="G48" s="427" t="s">
        <v>2462</v>
      </c>
      <c r="H48" s="444">
        <v>9.0</v>
      </c>
      <c r="I48" s="32"/>
      <c r="J48" s="444">
        <v>9.0</v>
      </c>
      <c r="K48" s="32"/>
      <c r="L48" s="32"/>
      <c r="M48" s="32"/>
      <c r="N48" s="32"/>
      <c r="O48" s="32"/>
      <c r="P48" s="32"/>
      <c r="Q48" s="32"/>
      <c r="R48" s="444">
        <v>15.0</v>
      </c>
      <c r="S48" s="74" t="s">
        <v>2467</v>
      </c>
      <c r="Y48" s="440">
        <v>124.0</v>
      </c>
      <c r="Z48" s="441">
        <v>1.5</v>
      </c>
      <c r="AA48" s="440">
        <v>6.2</v>
      </c>
      <c r="AB48" s="138"/>
    </row>
    <row r="49">
      <c r="A49" s="427" t="s">
        <v>2525</v>
      </c>
      <c r="B49" s="427" t="s">
        <v>8</v>
      </c>
      <c r="C49" s="427" t="s">
        <v>16</v>
      </c>
      <c r="D49" s="443">
        <v>107.0</v>
      </c>
      <c r="E49" s="443" t="s">
        <v>2479</v>
      </c>
      <c r="F49" s="427" t="s">
        <v>2477</v>
      </c>
      <c r="G49" s="427" t="s">
        <v>2473</v>
      </c>
      <c r="H49" s="32"/>
      <c r="I49" s="444">
        <v>9.0</v>
      </c>
      <c r="J49" s="444"/>
      <c r="K49" s="444">
        <v>9.0</v>
      </c>
      <c r="L49" s="444"/>
      <c r="M49" s="32"/>
      <c r="N49" s="32"/>
      <c r="O49" s="32"/>
      <c r="P49" s="32"/>
      <c r="Q49" s="32"/>
      <c r="R49" s="444">
        <v>15.0</v>
      </c>
      <c r="S49" s="74" t="s">
        <v>2526</v>
      </c>
      <c r="Y49" s="440">
        <v>125.0</v>
      </c>
      <c r="Z49" s="441">
        <v>1.5</v>
      </c>
      <c r="AA49" s="440">
        <v>6.2</v>
      </c>
      <c r="AB49" s="138"/>
    </row>
    <row r="50">
      <c r="A50" s="427" t="s">
        <v>1659</v>
      </c>
      <c r="B50" s="427" t="s">
        <v>8</v>
      </c>
      <c r="C50" s="427" t="s">
        <v>16</v>
      </c>
      <c r="D50" s="443">
        <v>109.0</v>
      </c>
      <c r="E50" s="443" t="s">
        <v>2468</v>
      </c>
      <c r="F50" s="427" t="s">
        <v>2481</v>
      </c>
      <c r="G50" s="427" t="s">
        <v>2479</v>
      </c>
      <c r="H50" s="32"/>
      <c r="I50" s="444">
        <v>6.0</v>
      </c>
      <c r="J50" s="444">
        <v>6.0</v>
      </c>
      <c r="K50" s="444"/>
      <c r="L50" s="444"/>
      <c r="M50" s="32"/>
      <c r="N50" s="32"/>
      <c r="O50" s="32"/>
      <c r="P50" s="32"/>
      <c r="Q50" s="32"/>
      <c r="R50" s="444">
        <v>15.0</v>
      </c>
      <c r="S50" s="74" t="s">
        <v>1660</v>
      </c>
      <c r="Y50" s="440">
        <v>125.0</v>
      </c>
      <c r="Z50" s="441">
        <v>1.5</v>
      </c>
      <c r="AA50" s="440">
        <v>6.2</v>
      </c>
      <c r="AB50" s="138"/>
    </row>
    <row r="51">
      <c r="A51" s="100" t="s">
        <v>1663</v>
      </c>
      <c r="B51" s="427" t="s">
        <v>8</v>
      </c>
      <c r="C51" s="427" t="s">
        <v>16</v>
      </c>
      <c r="D51" s="448">
        <v>106.0</v>
      </c>
      <c r="E51" s="448" t="s">
        <v>2478</v>
      </c>
      <c r="F51" s="100" t="s">
        <v>2479</v>
      </c>
      <c r="G51" s="100" t="s">
        <v>2472</v>
      </c>
      <c r="H51" s="449"/>
      <c r="I51" s="450"/>
      <c r="J51" s="450"/>
      <c r="K51" s="100">
        <v>6.0</v>
      </c>
      <c r="L51" s="450"/>
      <c r="M51" s="450"/>
      <c r="N51" s="450"/>
      <c r="O51" s="450"/>
      <c r="P51" s="450"/>
      <c r="Q51" s="100">
        <v>30.0</v>
      </c>
      <c r="R51" s="100">
        <v>15.0</v>
      </c>
      <c r="S51" s="74" t="s">
        <v>2480</v>
      </c>
      <c r="AB51" s="138"/>
    </row>
    <row r="52">
      <c r="A52" s="427" t="s">
        <v>1068</v>
      </c>
      <c r="B52" s="427" t="s">
        <v>8</v>
      </c>
      <c r="C52" s="427" t="s">
        <v>20</v>
      </c>
      <c r="D52" s="443">
        <v>108.0</v>
      </c>
      <c r="E52" s="443" t="s">
        <v>2473</v>
      </c>
      <c r="F52" s="427" t="s">
        <v>2527</v>
      </c>
      <c r="G52" s="427" t="s">
        <v>2465</v>
      </c>
      <c r="H52" s="32"/>
      <c r="I52" s="444">
        <v>9.0</v>
      </c>
      <c r="J52" s="32"/>
      <c r="K52" s="32"/>
      <c r="L52" s="32"/>
      <c r="M52" s="32"/>
      <c r="N52" s="32"/>
      <c r="O52" s="32"/>
      <c r="P52" s="32"/>
      <c r="Q52" s="444">
        <v>60.0</v>
      </c>
      <c r="R52" s="32"/>
      <c r="S52" s="74" t="s">
        <v>2528</v>
      </c>
      <c r="AB52" s="138"/>
    </row>
    <row r="53">
      <c r="A53" s="427" t="s">
        <v>2529</v>
      </c>
      <c r="B53" s="427" t="s">
        <v>8</v>
      </c>
      <c r="C53" s="427" t="s">
        <v>20</v>
      </c>
      <c r="D53" s="443">
        <v>109.0</v>
      </c>
      <c r="E53" s="443" t="s">
        <v>2482</v>
      </c>
      <c r="F53" s="443" t="s">
        <v>2471</v>
      </c>
      <c r="G53" s="427" t="s">
        <v>2486</v>
      </c>
      <c r="H53" s="32"/>
      <c r="I53" s="32"/>
      <c r="J53" s="32"/>
      <c r="K53" s="32"/>
      <c r="L53" s="32"/>
      <c r="M53" s="444"/>
      <c r="N53" s="32"/>
      <c r="O53" s="444">
        <v>6.0</v>
      </c>
      <c r="P53" s="444">
        <v>6.0</v>
      </c>
      <c r="Q53" s="444"/>
      <c r="R53" s="444">
        <v>15.0</v>
      </c>
      <c r="S53" s="105" t="s">
        <v>2530</v>
      </c>
      <c r="AB53" s="138"/>
    </row>
    <row r="54">
      <c r="A54" s="427" t="s">
        <v>2531</v>
      </c>
      <c r="B54" s="427" t="s">
        <v>54</v>
      </c>
      <c r="C54" s="427" t="s">
        <v>20</v>
      </c>
      <c r="D54" s="443">
        <v>104.0</v>
      </c>
      <c r="E54" s="443" t="s">
        <v>2463</v>
      </c>
      <c r="F54" s="443" t="s">
        <v>2490</v>
      </c>
      <c r="G54" s="427"/>
      <c r="H54" s="32"/>
      <c r="I54" s="32"/>
      <c r="J54" s="32"/>
      <c r="K54" s="32"/>
      <c r="L54" s="32"/>
      <c r="M54" s="444">
        <v>9.0</v>
      </c>
      <c r="N54" s="32"/>
      <c r="O54" s="32"/>
      <c r="P54" s="32"/>
      <c r="Q54" s="444">
        <v>60.0</v>
      </c>
      <c r="R54" s="32"/>
      <c r="S54" s="105" t="s">
        <v>2532</v>
      </c>
      <c r="AB54" s="138"/>
    </row>
    <row r="55">
      <c r="A55" s="100" t="s">
        <v>1090</v>
      </c>
      <c r="B55" s="427" t="s">
        <v>8</v>
      </c>
      <c r="C55" s="100" t="s">
        <v>20</v>
      </c>
      <c r="D55" s="448">
        <v>107.0</v>
      </c>
      <c r="E55" s="443" t="s">
        <v>2482</v>
      </c>
      <c r="F55" s="100" t="s">
        <v>2468</v>
      </c>
      <c r="G55" s="100" t="s">
        <v>2481</v>
      </c>
      <c r="H55" s="449"/>
      <c r="I55" s="100">
        <v>6.0</v>
      </c>
      <c r="J55" s="100">
        <v>6.0</v>
      </c>
      <c r="K55" s="450"/>
      <c r="L55" s="450"/>
      <c r="M55" s="450"/>
      <c r="N55" s="450"/>
      <c r="O55" s="450"/>
      <c r="P55" s="450"/>
      <c r="Q55" s="450"/>
      <c r="R55" s="100">
        <v>15.0</v>
      </c>
      <c r="S55" s="74" t="s">
        <v>2467</v>
      </c>
    </row>
    <row r="56">
      <c r="A56" s="100" t="s">
        <v>2533</v>
      </c>
      <c r="B56" s="427" t="s">
        <v>8</v>
      </c>
      <c r="C56" s="427" t="s">
        <v>12</v>
      </c>
      <c r="D56" s="443">
        <v>107.0</v>
      </c>
      <c r="E56" s="443" t="s">
        <v>2473</v>
      </c>
      <c r="F56" s="443" t="s">
        <v>2465</v>
      </c>
      <c r="G56" s="427" t="s">
        <v>2471</v>
      </c>
      <c r="H56" s="32"/>
      <c r="I56" s="444">
        <v>9.0</v>
      </c>
      <c r="J56" s="32"/>
      <c r="K56" s="32"/>
      <c r="L56" s="32"/>
      <c r="M56" s="32"/>
      <c r="N56" s="32"/>
      <c r="O56" s="32"/>
      <c r="P56" s="444">
        <v>6.0</v>
      </c>
      <c r="Q56" s="444">
        <v>60.0</v>
      </c>
      <c r="R56" s="32"/>
      <c r="S56" s="109" t="s">
        <v>2470</v>
      </c>
    </row>
    <row r="57">
      <c r="A57" s="427" t="s">
        <v>2534</v>
      </c>
      <c r="B57" s="427" t="s">
        <v>8</v>
      </c>
      <c r="C57" s="427" t="s">
        <v>12</v>
      </c>
      <c r="D57" s="443">
        <v>109.0</v>
      </c>
      <c r="E57" s="443" t="s">
        <v>2489</v>
      </c>
      <c r="F57" s="443" t="s">
        <v>2486</v>
      </c>
      <c r="G57" s="427" t="s">
        <v>2485</v>
      </c>
      <c r="H57" s="444">
        <v>9.0</v>
      </c>
      <c r="I57" s="32"/>
      <c r="J57" s="32"/>
      <c r="K57" s="32"/>
      <c r="L57" s="32"/>
      <c r="M57" s="32"/>
      <c r="N57" s="32"/>
      <c r="O57" s="444">
        <v>6.0</v>
      </c>
      <c r="P57" s="32"/>
      <c r="Q57" s="32"/>
      <c r="R57" s="444">
        <v>15.0</v>
      </c>
      <c r="S57" s="105" t="s">
        <v>2535</v>
      </c>
    </row>
    <row r="58">
      <c r="A58" s="100" t="s">
        <v>2498</v>
      </c>
      <c r="B58" s="427" t="s">
        <v>54</v>
      </c>
      <c r="C58" s="100" t="s">
        <v>12</v>
      </c>
      <c r="D58" s="448">
        <v>102.0</v>
      </c>
      <c r="E58" s="448" t="s">
        <v>2489</v>
      </c>
      <c r="F58" s="448" t="s">
        <v>2481</v>
      </c>
      <c r="G58" s="100"/>
      <c r="H58" s="449"/>
      <c r="I58" s="450"/>
      <c r="J58" s="100">
        <v>6.0</v>
      </c>
      <c r="K58" s="450"/>
      <c r="L58" s="450"/>
      <c r="M58" s="450"/>
      <c r="N58" s="450"/>
      <c r="O58" s="450"/>
      <c r="P58" s="450"/>
      <c r="Q58" s="450"/>
      <c r="R58" s="100">
        <v>15.0</v>
      </c>
      <c r="S58" s="74" t="s">
        <v>2470</v>
      </c>
    </row>
    <row r="59">
      <c r="A59" s="427" t="s">
        <v>1690</v>
      </c>
      <c r="B59" s="427" t="s">
        <v>8</v>
      </c>
      <c r="C59" s="427" t="s">
        <v>12</v>
      </c>
      <c r="D59" s="443">
        <v>109.0</v>
      </c>
      <c r="E59" s="443" t="s">
        <v>2489</v>
      </c>
      <c r="F59" s="443" t="s">
        <v>2473</v>
      </c>
      <c r="G59" s="427" t="s">
        <v>2477</v>
      </c>
      <c r="H59" s="32"/>
      <c r="I59" s="444">
        <v>9.0</v>
      </c>
      <c r="J59" s="32"/>
      <c r="K59" s="444">
        <v>9.0</v>
      </c>
      <c r="L59" s="32"/>
      <c r="M59" s="32"/>
      <c r="N59" s="32"/>
      <c r="O59" s="444"/>
      <c r="P59" s="32"/>
      <c r="Q59" s="32"/>
      <c r="R59" s="444">
        <v>15.0</v>
      </c>
      <c r="S59" s="109" t="s">
        <v>2499</v>
      </c>
    </row>
    <row r="60">
      <c r="A60" s="427" t="s">
        <v>2500</v>
      </c>
      <c r="B60" s="427" t="s">
        <v>8</v>
      </c>
      <c r="C60" s="427" t="s">
        <v>40</v>
      </c>
      <c r="D60" s="443">
        <v>109.0</v>
      </c>
      <c r="E60" s="443" t="s">
        <v>2501</v>
      </c>
      <c r="F60" s="443" t="s">
        <v>2483</v>
      </c>
      <c r="G60" s="427" t="s">
        <v>2463</v>
      </c>
      <c r="H60" s="32"/>
      <c r="I60" s="444"/>
      <c r="J60" s="32"/>
      <c r="K60" s="32"/>
      <c r="L60" s="444">
        <v>9.0</v>
      </c>
      <c r="M60" s="444">
        <v>9.0</v>
      </c>
      <c r="N60" s="32"/>
      <c r="O60" s="444"/>
      <c r="P60" s="32"/>
      <c r="Q60" s="32"/>
      <c r="R60" s="444">
        <v>15.0</v>
      </c>
      <c r="S60" s="109" t="s">
        <v>2502</v>
      </c>
    </row>
    <row r="61">
      <c r="A61" s="427" t="s">
        <v>2536</v>
      </c>
      <c r="B61" s="427" t="s">
        <v>8</v>
      </c>
      <c r="C61" s="427" t="s">
        <v>40</v>
      </c>
      <c r="D61" s="443">
        <v>108.0</v>
      </c>
      <c r="E61" s="443" t="s">
        <v>2462</v>
      </c>
      <c r="F61" s="443" t="s">
        <v>2471</v>
      </c>
      <c r="G61" s="427" t="s">
        <v>2483</v>
      </c>
      <c r="H61" s="32"/>
      <c r="I61" s="32"/>
      <c r="J61" s="444">
        <v>9.0</v>
      </c>
      <c r="K61" s="32"/>
      <c r="L61" s="444">
        <v>9.0</v>
      </c>
      <c r="M61" s="32"/>
      <c r="N61" s="32"/>
      <c r="O61" s="444">
        <v>6.0</v>
      </c>
      <c r="P61" s="32"/>
      <c r="Q61" s="444"/>
      <c r="R61" s="32"/>
      <c r="S61" s="105" t="s">
        <v>2537</v>
      </c>
    </row>
    <row r="62">
      <c r="A62" s="427" t="s">
        <v>2538</v>
      </c>
      <c r="B62" s="427" t="s">
        <v>8</v>
      </c>
      <c r="C62" s="427" t="s">
        <v>40</v>
      </c>
      <c r="D62" s="443">
        <v>107.0</v>
      </c>
      <c r="E62" s="443" t="s">
        <v>2490</v>
      </c>
      <c r="F62" s="443" t="s">
        <v>2473</v>
      </c>
      <c r="G62" s="427" t="s">
        <v>2471</v>
      </c>
      <c r="H62" s="32"/>
      <c r="I62" s="444">
        <v>9.0</v>
      </c>
      <c r="J62" s="32"/>
      <c r="K62" s="32"/>
      <c r="L62" s="444"/>
      <c r="M62" s="444"/>
      <c r="N62" s="32"/>
      <c r="O62" s="444"/>
      <c r="P62" s="444">
        <v>6.0</v>
      </c>
      <c r="Q62" s="444">
        <v>60.0</v>
      </c>
      <c r="R62" s="444"/>
      <c r="S62" s="109" t="s">
        <v>2539</v>
      </c>
    </row>
    <row r="63">
      <c r="A63" s="427" t="s">
        <v>2540</v>
      </c>
      <c r="B63" s="427" t="s">
        <v>8</v>
      </c>
      <c r="C63" s="427" t="s">
        <v>40</v>
      </c>
      <c r="D63" s="443">
        <v>108.0</v>
      </c>
      <c r="E63" s="443" t="s">
        <v>2501</v>
      </c>
      <c r="F63" s="443" t="s">
        <v>2483</v>
      </c>
      <c r="G63" s="427" t="s">
        <v>2477</v>
      </c>
      <c r="H63" s="32"/>
      <c r="I63" s="32"/>
      <c r="J63" s="32"/>
      <c r="K63" s="444">
        <v>9.0</v>
      </c>
      <c r="L63" s="444">
        <v>9.0</v>
      </c>
      <c r="M63" s="32"/>
      <c r="N63" s="32"/>
      <c r="O63" s="32"/>
      <c r="P63" s="32"/>
      <c r="Q63" s="32"/>
      <c r="R63" s="444">
        <v>15.0</v>
      </c>
      <c r="S63" s="480" t="s">
        <v>1656</v>
      </c>
    </row>
    <row r="64">
      <c r="A64" s="80"/>
      <c r="B64" s="80"/>
      <c r="C64" s="80"/>
      <c r="D64" s="80"/>
      <c r="E64" s="80"/>
      <c r="F64" s="80"/>
      <c r="G64" s="80"/>
      <c r="H64" s="80"/>
      <c r="Y64" s="449"/>
      <c r="Z64" s="440" t="s">
        <v>66</v>
      </c>
    </row>
    <row r="65">
      <c r="A65" s="80"/>
      <c r="B65" s="80"/>
      <c r="C65" s="80"/>
      <c r="D65" s="80"/>
      <c r="E65" s="80"/>
      <c r="F65" s="80"/>
      <c r="G65" s="80"/>
      <c r="H65" s="80"/>
      <c r="Y65" s="440" t="s">
        <v>2515</v>
      </c>
      <c r="Z65" s="449"/>
    </row>
    <row r="66">
      <c r="A66" s="80"/>
      <c r="B66" s="80"/>
      <c r="C66" s="80"/>
      <c r="D66" s="80"/>
      <c r="E66" s="80"/>
      <c r="F66" s="80"/>
      <c r="G66" s="80"/>
      <c r="H66" s="80"/>
      <c r="Y66" s="440" t="s">
        <v>1188</v>
      </c>
      <c r="Z66" s="440">
        <v>977000.0</v>
      </c>
    </row>
    <row r="67">
      <c r="A67" s="104"/>
      <c r="B67" s="104"/>
      <c r="C67" s="104"/>
      <c r="D67" s="104"/>
      <c r="E67" s="80"/>
      <c r="F67" s="80"/>
      <c r="G67" s="80"/>
      <c r="H67" s="104"/>
      <c r="Y67" s="440" t="s">
        <v>1237</v>
      </c>
      <c r="Z67" s="440">
        <v>1010000.0</v>
      </c>
    </row>
    <row r="68">
      <c r="A68" s="104"/>
      <c r="B68" s="80"/>
      <c r="C68" s="80"/>
      <c r="D68" s="80"/>
      <c r="E68" s="80"/>
      <c r="F68" s="80"/>
      <c r="G68" s="80"/>
      <c r="H68" s="80"/>
      <c r="Y68" s="440" t="s">
        <v>2516</v>
      </c>
      <c r="Z68" s="440">
        <v>13.0</v>
      </c>
    </row>
    <row r="69">
      <c r="C69" s="481" t="s">
        <v>2509</v>
      </c>
      <c r="D69" s="482"/>
      <c r="E69" s="483" t="s">
        <v>2510</v>
      </c>
      <c r="F69" s="483" t="s">
        <v>2511</v>
      </c>
      <c r="G69" s="483" t="str">
        <f>D41</f>
        <v>Main AFFCT</v>
      </c>
      <c r="H69" s="484" t="s">
        <v>1140</v>
      </c>
      <c r="I69" s="484" t="s">
        <v>1188</v>
      </c>
      <c r="J69" s="484" t="s">
        <v>1237</v>
      </c>
      <c r="K69" s="484" t="s">
        <v>1266</v>
      </c>
      <c r="L69" s="484" t="s">
        <v>2453</v>
      </c>
      <c r="M69" s="484" t="s">
        <v>2454</v>
      </c>
      <c r="N69" s="484" t="s">
        <v>2455</v>
      </c>
      <c r="O69" s="484" t="s">
        <v>2456</v>
      </c>
      <c r="P69" s="484" t="s">
        <v>2457</v>
      </c>
      <c r="Q69" s="484" t="s">
        <v>2458</v>
      </c>
      <c r="R69" s="481" t="s">
        <v>2512</v>
      </c>
      <c r="S69" s="485"/>
      <c r="U69" s="31"/>
      <c r="V69" s="54" t="s">
        <v>2513</v>
      </c>
      <c r="W69" s="54" t="s">
        <v>2514</v>
      </c>
      <c r="Y69" s="440" t="s">
        <v>2517</v>
      </c>
      <c r="Z69" s="440">
        <v>14.0</v>
      </c>
    </row>
    <row r="70">
      <c r="C70" s="456" t="str">
        <f>A44</f>
        <v>Science Magazine Vol. 1</v>
      </c>
      <c r="D70" s="457"/>
      <c r="E70" s="458" t="s">
        <v>9</v>
      </c>
      <c r="F70" s="458" t="s">
        <v>1288</v>
      </c>
      <c r="G70" s="459">
        <f t="shared" ref="G70:G74" si="14">VLOOKUP($C70,$A$43:$R$63,4,FALSE)+VLOOKUP($C70,$A$43:$R$63,18,FALSE)</f>
        <v>107</v>
      </c>
      <c r="H70" s="460">
        <f>VLOOKUP($C70,$A$43:$R$63,8,FALSE)+VLOOKUP($G70,$Y$2:$AA$50,2)</f>
        <v>1.3</v>
      </c>
      <c r="I70" s="460">
        <f>VLOOKUP($C70,$A$43:$R$63,9,FALSE)+VLOOKUP($G70,$Y$2:$AA$50,2)</f>
        <v>1.3</v>
      </c>
      <c r="J70" s="460">
        <f>VLOOKUP($C70,$A$43:$R$63,10,FALSE)+VLOOKUP($G70,$Y$2:$AA$50,2)</f>
        <v>1.3</v>
      </c>
      <c r="K70" s="460">
        <f>VLOOKUP($C70,$A$43:$R$63,11,FALSE)+VLOOKUP($G70,$Y$2:$AA$50,2)</f>
        <v>10.3</v>
      </c>
      <c r="L70" s="460" t="str">
        <f t="shared" ref="L70:L74" si="15">VLOOKUP($C70,$A$43:$R$63,12,FALSE)</f>
        <v/>
      </c>
      <c r="M70" s="460" t="str">
        <f t="shared" ref="M70:M74" si="16">VLOOKUP($C70,$A$43:$R$63,13,FALSE)</f>
        <v/>
      </c>
      <c r="N70" s="460" t="str">
        <f t="shared" ref="N70:N74" si="17">VLOOKUP($C70,$A$43:$R$63,14,FALSE)</f>
        <v/>
      </c>
      <c r="O70" s="460" t="str">
        <f t="shared" ref="O70:O74" si="18">VLOOKUP($C70,$A$43:$R$63,15,FALSE)</f>
        <v/>
      </c>
      <c r="P70" s="460">
        <f t="shared" ref="P70:P74" si="19">VLOOKUP($C70,$A$43:$R$63,16,FALSE)</f>
        <v>6</v>
      </c>
      <c r="Q70" s="460" t="str">
        <f t="shared" ref="Q70:Q74" si="20">VLOOKUP($C70,$A$43:$R$63,17,FALSE)</f>
        <v/>
      </c>
      <c r="R70" s="461" t="str">
        <f>A45</f>
        <v>The Prince</v>
      </c>
      <c r="S70" s="462"/>
      <c r="U70" s="54" t="s">
        <v>2515</v>
      </c>
      <c r="V70" s="31"/>
      <c r="W70" s="31"/>
      <c r="Y70" s="440" t="s">
        <v>2519</v>
      </c>
      <c r="Z70" s="440">
        <v>0.0</v>
      </c>
    </row>
    <row r="71">
      <c r="C71" s="486" t="str">
        <f>A48</f>
        <v>Capitoline Wolf</v>
      </c>
      <c r="D71" s="487"/>
      <c r="E71" s="488" t="s">
        <v>16</v>
      </c>
      <c r="F71" s="488" t="s">
        <v>1140</v>
      </c>
      <c r="G71" s="489">
        <f t="shared" si="14"/>
        <v>123</v>
      </c>
      <c r="H71" s="490">
        <f>VLOOKUP($C71,$A$43:$R$63,8,FALSE)+VLOOKUP($G71,$Y$2:$AA$50,3)</f>
        <v>15.1</v>
      </c>
      <c r="I71" s="490" t="str">
        <f t="shared" ref="I71:I72" si="21">VLOOKUP($C71,$A$43:$R$63,9,FALSE)</f>
        <v/>
      </c>
      <c r="J71" s="490">
        <f>VLOOKUP($C71,$A$43:$R$63,10,FALSE)</f>
        <v>9</v>
      </c>
      <c r="K71" s="490" t="str">
        <f t="shared" ref="K71:K73" si="22">VLOOKUP($C71,$A$43:$R$63,11,FALSE)</f>
        <v/>
      </c>
      <c r="L71" s="490" t="str">
        <f t="shared" si="15"/>
        <v/>
      </c>
      <c r="M71" s="490" t="str">
        <f t="shared" si="16"/>
        <v/>
      </c>
      <c r="N71" s="490" t="str">
        <f t="shared" si="17"/>
        <v/>
      </c>
      <c r="O71" s="490" t="str">
        <f t="shared" si="18"/>
        <v/>
      </c>
      <c r="P71" s="490" t="str">
        <f t="shared" si="19"/>
        <v/>
      </c>
      <c r="Q71" s="490" t="str">
        <f t="shared" si="20"/>
        <v/>
      </c>
      <c r="R71" s="491" t="str">
        <f>A48</f>
        <v>Capitoline Wolf</v>
      </c>
      <c r="S71" s="492"/>
      <c r="U71" s="54" t="s">
        <v>1188</v>
      </c>
      <c r="V71" s="31">
        <f>$Z$66*(1+I75/100)</f>
        <v>1188032</v>
      </c>
      <c r="W71" s="31">
        <f>((V71-$Z$73)*(V73+P75/100)*((V74/100)*V75 + (1-V74/100)*1)) + LOG(V71,5)*Q75*(V73+P75/100)</f>
        <v>591646.4336</v>
      </c>
      <c r="Y71" s="449"/>
      <c r="Z71" s="449"/>
    </row>
    <row r="72">
      <c r="C72" s="456" t="str">
        <f t="shared" ref="C72:C73" si="23">A55</f>
        <v>Enuma Elish</v>
      </c>
      <c r="D72" s="457"/>
      <c r="E72" s="458" t="s">
        <v>20</v>
      </c>
      <c r="F72" s="458" t="s">
        <v>1237</v>
      </c>
      <c r="G72" s="459">
        <f t="shared" si="14"/>
        <v>122</v>
      </c>
      <c r="H72" s="460" t="str">
        <f t="shared" ref="H72:H74" si="24">VLOOKUP($C72,$A$43:$R$63,8,FALSE)</f>
        <v/>
      </c>
      <c r="I72" s="460">
        <f t="shared" si="21"/>
        <v>6</v>
      </c>
      <c r="J72" s="460">
        <f>VLOOKUP($C72,$A$43:$R$63,10,FALSE)+VLOOKUP(G72,$Y$2:$AA$50,3)</f>
        <v>12.1</v>
      </c>
      <c r="K72" s="460" t="str">
        <f t="shared" si="22"/>
        <v/>
      </c>
      <c r="L72" s="460" t="str">
        <f t="shared" si="15"/>
        <v/>
      </c>
      <c r="M72" s="460" t="str">
        <f t="shared" si="16"/>
        <v/>
      </c>
      <c r="N72" s="460" t="str">
        <f t="shared" si="17"/>
        <v/>
      </c>
      <c r="O72" s="460" t="str">
        <f t="shared" si="18"/>
        <v/>
      </c>
      <c r="P72" s="460" t="str">
        <f t="shared" si="19"/>
        <v/>
      </c>
      <c r="Q72" s="460" t="str">
        <f t="shared" si="20"/>
        <v/>
      </c>
      <c r="R72" s="470" t="str">
        <f>A52</f>
        <v>The Silver Key</v>
      </c>
      <c r="S72" s="462"/>
      <c r="U72" s="54" t="s">
        <v>1237</v>
      </c>
      <c r="V72" s="31">
        <f>$Z$67*(1+J75/100)</f>
        <v>1327140</v>
      </c>
      <c r="W72" s="31">
        <f>(V72-$Z$73)*(V73+P75/100)*((V74/100)*V75 + (1-V74/100)*1) + LOG(V72,5)*Q75*(V73+P75/100)</f>
        <v>785533.3685</v>
      </c>
      <c r="Y72" s="440" t="s">
        <v>2541</v>
      </c>
      <c r="Z72" s="449"/>
    </row>
    <row r="73">
      <c r="C73" s="486" t="str">
        <f t="shared" si="23"/>
        <v>Bronze Goblet</v>
      </c>
      <c r="D73" s="487"/>
      <c r="E73" s="488" t="s">
        <v>12</v>
      </c>
      <c r="F73" s="488" t="s">
        <v>1188</v>
      </c>
      <c r="G73" s="489">
        <f t="shared" si="14"/>
        <v>107</v>
      </c>
      <c r="H73" s="490" t="str">
        <f t="shared" si="24"/>
        <v/>
      </c>
      <c r="I73" s="490">
        <f>VLOOKUP($C73,$A$43:$R$63,9,FALSE)+VLOOKUP(G73,$Y$2:$AA$50,3)</f>
        <v>14.3</v>
      </c>
      <c r="J73" s="490" t="str">
        <f t="shared" ref="J73:J74" si="25">VLOOKUP($C73,$A$43:$R$63,10,FALSE)</f>
        <v/>
      </c>
      <c r="K73" s="490" t="str">
        <f t="shared" si="22"/>
        <v/>
      </c>
      <c r="L73" s="490" t="str">
        <f t="shared" si="15"/>
        <v/>
      </c>
      <c r="M73" s="490" t="str">
        <f t="shared" si="16"/>
        <v/>
      </c>
      <c r="N73" s="490" t="str">
        <f t="shared" si="17"/>
        <v/>
      </c>
      <c r="O73" s="490" t="str">
        <f t="shared" si="18"/>
        <v/>
      </c>
      <c r="P73" s="490">
        <f t="shared" si="19"/>
        <v>6</v>
      </c>
      <c r="Q73" s="490">
        <f t="shared" si="20"/>
        <v>60</v>
      </c>
      <c r="R73" s="491" t="str">
        <f>A58</f>
        <v>Harem Wall Painting</v>
      </c>
      <c r="S73" s="492"/>
      <c r="U73" s="54" t="s">
        <v>2516</v>
      </c>
      <c r="V73" s="31">
        <f>(1+($Z$68+N75)/100)</f>
        <v>1.13</v>
      </c>
      <c r="W73" s="31"/>
      <c r="Y73" s="440" t="s">
        <v>1266</v>
      </c>
      <c r="Z73" s="440">
        <v>764000.0</v>
      </c>
    </row>
    <row r="74">
      <c r="C74" s="456" t="str">
        <f>A61</f>
        <v>Antimatter Bomb</v>
      </c>
      <c r="D74" s="457"/>
      <c r="E74" s="458" t="s">
        <v>40</v>
      </c>
      <c r="F74" s="458" t="s">
        <v>1266</v>
      </c>
      <c r="G74" s="459">
        <f t="shared" si="14"/>
        <v>108</v>
      </c>
      <c r="H74" s="460" t="str">
        <f t="shared" si="24"/>
        <v/>
      </c>
      <c r="I74" s="460" t="str">
        <f>VLOOKUP($C74,$A$43:$R$63,9,FALSE)</f>
        <v/>
      </c>
      <c r="J74" s="460">
        <f t="shared" si="25"/>
        <v>9</v>
      </c>
      <c r="K74" s="460">
        <f>VLOOKUP($C74,$A$43:$R$63,11,FALSE)+VLOOKUP(G74,$Y$2:$AA$50,3)</f>
        <v>5.4</v>
      </c>
      <c r="L74" s="460">
        <f t="shared" si="15"/>
        <v>9</v>
      </c>
      <c r="M74" s="460" t="str">
        <f t="shared" si="16"/>
        <v/>
      </c>
      <c r="N74" s="460" t="str">
        <f t="shared" si="17"/>
        <v/>
      </c>
      <c r="O74" s="460">
        <f t="shared" si="18"/>
        <v>6</v>
      </c>
      <c r="P74" s="460" t="str">
        <f t="shared" si="19"/>
        <v/>
      </c>
      <c r="Q74" s="460" t="str">
        <f t="shared" si="20"/>
        <v/>
      </c>
      <c r="R74" s="461" t="s">
        <v>1345</v>
      </c>
      <c r="S74" s="462"/>
      <c r="U74" s="54" t="s">
        <v>2517</v>
      </c>
      <c r="V74" s="31">
        <f>$Z$69+L75</f>
        <v>23</v>
      </c>
      <c r="W74" s="31"/>
    </row>
    <row r="75">
      <c r="C75" s="493" t="s">
        <v>2518</v>
      </c>
      <c r="D75" s="487"/>
      <c r="E75" s="494"/>
      <c r="F75" s="494"/>
      <c r="G75" s="495"/>
      <c r="H75" s="496">
        <f t="shared" ref="H75:Q75" si="26">sum(H70:H74)</f>
        <v>16.4</v>
      </c>
      <c r="I75" s="496">
        <f t="shared" si="26"/>
        <v>21.6</v>
      </c>
      <c r="J75" s="496">
        <f t="shared" si="26"/>
        <v>31.4</v>
      </c>
      <c r="K75" s="496">
        <f t="shared" si="26"/>
        <v>15.7</v>
      </c>
      <c r="L75" s="496">
        <f t="shared" si="26"/>
        <v>9</v>
      </c>
      <c r="M75" s="496">
        <f t="shared" si="26"/>
        <v>0</v>
      </c>
      <c r="N75" s="496">
        <f t="shared" si="26"/>
        <v>0</v>
      </c>
      <c r="O75" s="496">
        <f t="shared" si="26"/>
        <v>6</v>
      </c>
      <c r="P75" s="496">
        <f t="shared" si="26"/>
        <v>12</v>
      </c>
      <c r="Q75" s="496">
        <f t="shared" si="26"/>
        <v>60</v>
      </c>
      <c r="R75" s="491"/>
      <c r="S75" s="492"/>
      <c r="U75" s="54" t="s">
        <v>2519</v>
      </c>
      <c r="V75" s="31">
        <f>1.5+($Z$70+M75)/100</f>
        <v>1.5</v>
      </c>
      <c r="W75" s="31"/>
    </row>
    <row r="76">
      <c r="C76" s="475" t="s">
        <v>2520</v>
      </c>
      <c r="D76" s="457"/>
      <c r="E76" s="476">
        <f>W71+W72</f>
        <v>1377179.802</v>
      </c>
      <c r="F76" s="477"/>
      <c r="G76" s="478"/>
      <c r="H76" s="479"/>
      <c r="I76" s="479"/>
      <c r="J76" s="479"/>
      <c r="K76" s="479"/>
      <c r="L76" s="479"/>
      <c r="M76" s="479"/>
      <c r="N76" s="479"/>
      <c r="O76" s="479"/>
      <c r="P76" s="479"/>
      <c r="Q76" s="479"/>
      <c r="R76" s="479"/>
      <c r="S76" s="479"/>
    </row>
    <row r="77">
      <c r="C77" s="497"/>
      <c r="D77" s="498"/>
      <c r="E77" s="499"/>
      <c r="F77" s="499"/>
      <c r="G77" s="489"/>
      <c r="H77" s="500">
        <v>16.4</v>
      </c>
      <c r="I77" s="500">
        <v>13.3</v>
      </c>
      <c r="J77" s="500">
        <v>37.4</v>
      </c>
      <c r="K77" s="500">
        <v>15.700000000000001</v>
      </c>
      <c r="L77" s="500"/>
      <c r="M77" s="500"/>
      <c r="N77" s="500"/>
      <c r="O77" s="500"/>
      <c r="P77" s="500"/>
      <c r="Q77" s="500"/>
      <c r="R77" s="500"/>
      <c r="S77" s="500"/>
    </row>
    <row r="79">
      <c r="A79" s="130" t="s">
        <v>1766</v>
      </c>
      <c r="B79" s="89"/>
      <c r="C79" s="89"/>
      <c r="D79" s="435" t="s">
        <v>537</v>
      </c>
      <c r="E79" s="435" t="s">
        <v>2450</v>
      </c>
      <c r="F79" s="435" t="s">
        <v>2451</v>
      </c>
      <c r="G79" s="435" t="s">
        <v>2452</v>
      </c>
      <c r="H79" s="436" t="s">
        <v>1140</v>
      </c>
      <c r="I79" s="436" t="s">
        <v>1188</v>
      </c>
      <c r="J79" s="436" t="s">
        <v>1237</v>
      </c>
      <c r="K79" s="436" t="s">
        <v>1266</v>
      </c>
      <c r="L79" s="436" t="s">
        <v>2453</v>
      </c>
      <c r="M79" s="436" t="s">
        <v>2454</v>
      </c>
      <c r="N79" s="436" t="s">
        <v>2455</v>
      </c>
      <c r="O79" s="436" t="s">
        <v>2456</v>
      </c>
      <c r="P79" s="436" t="s">
        <v>2457</v>
      </c>
      <c r="Q79" s="436" t="s">
        <v>2458</v>
      </c>
      <c r="R79" s="436" t="s">
        <v>536</v>
      </c>
      <c r="S79" s="437" t="s">
        <v>5</v>
      </c>
    </row>
    <row r="80">
      <c r="A80" s="70" t="s">
        <v>6</v>
      </c>
      <c r="B80" s="71"/>
      <c r="C80" s="71"/>
      <c r="D80" s="71"/>
      <c r="E80" s="71"/>
      <c r="F80" s="71"/>
      <c r="G80" s="71"/>
      <c r="S80" s="72"/>
    </row>
    <row r="81">
      <c r="A81" s="100" t="s">
        <v>2542</v>
      </c>
      <c r="B81" s="427" t="s">
        <v>8</v>
      </c>
      <c r="C81" s="427" t="s">
        <v>9</v>
      </c>
      <c r="D81" s="448">
        <v>108.0</v>
      </c>
      <c r="E81" s="448" t="s">
        <v>2483</v>
      </c>
      <c r="F81" s="100" t="s">
        <v>2543</v>
      </c>
      <c r="G81" s="427" t="s">
        <v>2471</v>
      </c>
      <c r="H81" s="32"/>
      <c r="I81" s="32"/>
      <c r="J81" s="32"/>
      <c r="K81" s="32"/>
      <c r="L81" s="444">
        <v>9.0</v>
      </c>
      <c r="M81" s="444">
        <v>9.0</v>
      </c>
      <c r="N81" s="32"/>
      <c r="O81" s="32"/>
      <c r="P81" s="444">
        <v>6.0</v>
      </c>
      <c r="Q81" s="444"/>
      <c r="R81" s="32"/>
      <c r="S81" s="74" t="s">
        <v>2050</v>
      </c>
    </row>
    <row r="82">
      <c r="A82" s="102" t="s">
        <v>1345</v>
      </c>
      <c r="B82" s="429" t="s">
        <v>8</v>
      </c>
      <c r="C82" s="429" t="s">
        <v>9</v>
      </c>
      <c r="D82" s="445">
        <v>106.0</v>
      </c>
      <c r="E82" s="445" t="s">
        <v>2468</v>
      </c>
      <c r="F82" s="102" t="s">
        <v>2466</v>
      </c>
      <c r="G82" s="102" t="s">
        <v>2469</v>
      </c>
      <c r="H82" s="446"/>
      <c r="I82" s="102">
        <v>6.0</v>
      </c>
      <c r="J82" s="102"/>
      <c r="K82" s="447"/>
      <c r="L82" s="447"/>
      <c r="M82" s="102">
        <v>6.0</v>
      </c>
      <c r="N82" s="102"/>
      <c r="O82" s="447"/>
      <c r="P82" s="447"/>
      <c r="Q82" s="447"/>
      <c r="R82" s="102">
        <v>15.0</v>
      </c>
      <c r="S82" s="74" t="s">
        <v>2467</v>
      </c>
    </row>
    <row r="83">
      <c r="A83" s="100" t="s">
        <v>651</v>
      </c>
      <c r="B83" s="427" t="s">
        <v>54</v>
      </c>
      <c r="C83" s="427" t="s">
        <v>9</v>
      </c>
      <c r="D83" s="448">
        <v>104.0</v>
      </c>
      <c r="E83" s="448" t="s">
        <v>2466</v>
      </c>
      <c r="F83" s="448" t="s">
        <v>2468</v>
      </c>
      <c r="G83" s="100"/>
      <c r="H83" s="449"/>
      <c r="I83" s="100">
        <v>6.0</v>
      </c>
      <c r="J83" s="100"/>
      <c r="K83" s="450"/>
      <c r="L83" s="450"/>
      <c r="M83" s="450"/>
      <c r="N83" s="450"/>
      <c r="O83" s="450"/>
      <c r="P83" s="450"/>
      <c r="Q83" s="450"/>
      <c r="R83" s="100">
        <v>15.0</v>
      </c>
      <c r="S83" s="74" t="s">
        <v>2470</v>
      </c>
    </row>
    <row r="84">
      <c r="A84" s="100" t="s">
        <v>2544</v>
      </c>
      <c r="B84" s="427" t="s">
        <v>8</v>
      </c>
      <c r="C84" s="427" t="s">
        <v>16</v>
      </c>
      <c r="D84" s="448">
        <v>107.0</v>
      </c>
      <c r="E84" s="448" t="s">
        <v>2485</v>
      </c>
      <c r="F84" s="100" t="s">
        <v>2483</v>
      </c>
      <c r="G84" s="427" t="s">
        <v>2479</v>
      </c>
      <c r="H84" s="444">
        <v>9.0</v>
      </c>
      <c r="I84" s="32"/>
      <c r="J84" s="32"/>
      <c r="K84" s="32"/>
      <c r="L84" s="444">
        <v>9.0</v>
      </c>
      <c r="M84" s="32"/>
      <c r="N84" s="32"/>
      <c r="O84" s="32"/>
      <c r="P84" s="32"/>
      <c r="Q84" s="32"/>
      <c r="R84" s="444">
        <v>15.0</v>
      </c>
      <c r="S84" s="109" t="s">
        <v>1658</v>
      </c>
    </row>
    <row r="85">
      <c r="A85" s="100" t="s">
        <v>2545</v>
      </c>
      <c r="B85" s="427" t="s">
        <v>8</v>
      </c>
      <c r="C85" s="100" t="s">
        <v>16</v>
      </c>
      <c r="D85" s="448">
        <v>106.0</v>
      </c>
      <c r="E85" s="443" t="s">
        <v>2479</v>
      </c>
      <c r="F85" s="100" t="s">
        <v>2485</v>
      </c>
      <c r="G85" s="427" t="s">
        <v>2461</v>
      </c>
      <c r="H85" s="444">
        <v>9.0</v>
      </c>
      <c r="I85" s="32"/>
      <c r="J85" s="32"/>
      <c r="K85" s="32"/>
      <c r="L85" s="32"/>
      <c r="M85" s="32"/>
      <c r="N85" s="32"/>
      <c r="O85" s="32"/>
      <c r="P85" s="32"/>
      <c r="Q85" s="444">
        <v>75.0</v>
      </c>
      <c r="R85" s="444">
        <v>15.0</v>
      </c>
      <c r="S85" s="109" t="s">
        <v>1656</v>
      </c>
    </row>
    <row r="86">
      <c r="A86" s="427" t="s">
        <v>1659</v>
      </c>
      <c r="B86" s="427" t="s">
        <v>8</v>
      </c>
      <c r="C86" s="427" t="s">
        <v>16</v>
      </c>
      <c r="D86" s="443">
        <v>109.0</v>
      </c>
      <c r="E86" s="443" t="s">
        <v>2468</v>
      </c>
      <c r="F86" s="427" t="s">
        <v>2481</v>
      </c>
      <c r="G86" s="427" t="s">
        <v>2479</v>
      </c>
      <c r="H86" s="32"/>
      <c r="I86" s="444">
        <v>6.0</v>
      </c>
      <c r="J86" s="444">
        <v>6.0</v>
      </c>
      <c r="K86" s="444"/>
      <c r="L86" s="444"/>
      <c r="M86" s="32"/>
      <c r="N86" s="32"/>
      <c r="O86" s="32"/>
      <c r="P86" s="32"/>
      <c r="Q86" s="32"/>
      <c r="R86" s="444">
        <v>15.0</v>
      </c>
      <c r="S86" s="74" t="s">
        <v>1660</v>
      </c>
    </row>
    <row r="87">
      <c r="A87" s="100" t="s">
        <v>1663</v>
      </c>
      <c r="B87" s="427" t="s">
        <v>8</v>
      </c>
      <c r="C87" s="427" t="s">
        <v>16</v>
      </c>
      <c r="D87" s="448">
        <v>106.0</v>
      </c>
      <c r="E87" s="448" t="s">
        <v>2478</v>
      </c>
      <c r="F87" s="100" t="s">
        <v>2479</v>
      </c>
      <c r="G87" s="100" t="s">
        <v>2472</v>
      </c>
      <c r="H87" s="449"/>
      <c r="I87" s="450"/>
      <c r="J87" s="450"/>
      <c r="K87" s="100">
        <v>6.0</v>
      </c>
      <c r="L87" s="450"/>
      <c r="M87" s="450"/>
      <c r="N87" s="450"/>
      <c r="O87" s="450"/>
      <c r="P87" s="450"/>
      <c r="Q87" s="100">
        <v>30.0</v>
      </c>
      <c r="R87" s="100">
        <v>15.0</v>
      </c>
      <c r="S87" s="74" t="s">
        <v>2480</v>
      </c>
    </row>
    <row r="88">
      <c r="A88" s="100" t="s">
        <v>1241</v>
      </c>
      <c r="B88" s="427" t="s">
        <v>8</v>
      </c>
      <c r="C88" s="100" t="s">
        <v>20</v>
      </c>
      <c r="D88" s="448">
        <v>107.0</v>
      </c>
      <c r="E88" s="443" t="s">
        <v>2482</v>
      </c>
      <c r="F88" s="100" t="s">
        <v>2463</v>
      </c>
      <c r="G88" s="427" t="s">
        <v>2473</v>
      </c>
      <c r="H88" s="32"/>
      <c r="I88" s="444">
        <v>9.0</v>
      </c>
      <c r="J88" s="32"/>
      <c r="K88" s="32"/>
      <c r="L88" s="32"/>
      <c r="M88" s="444">
        <v>9.0</v>
      </c>
      <c r="N88" s="32"/>
      <c r="O88" s="32"/>
      <c r="P88" s="32"/>
      <c r="Q88" s="444"/>
      <c r="R88" s="444">
        <v>15.0</v>
      </c>
      <c r="S88" s="105" t="s">
        <v>2546</v>
      </c>
    </row>
    <row r="89">
      <c r="A89" s="100" t="s">
        <v>1689</v>
      </c>
      <c r="B89" s="427" t="s">
        <v>8</v>
      </c>
      <c r="C89" s="100" t="s">
        <v>20</v>
      </c>
      <c r="D89" s="448">
        <v>108.0</v>
      </c>
      <c r="E89" s="443" t="s">
        <v>2482</v>
      </c>
      <c r="F89" s="100" t="s">
        <v>2486</v>
      </c>
      <c r="G89" s="427" t="s">
        <v>2485</v>
      </c>
      <c r="H89" s="444">
        <v>9.0</v>
      </c>
      <c r="I89" s="32"/>
      <c r="J89" s="32"/>
      <c r="K89" s="32"/>
      <c r="L89" s="32"/>
      <c r="M89" s="32"/>
      <c r="N89" s="32"/>
      <c r="O89" s="444">
        <v>6.0</v>
      </c>
      <c r="P89" s="32"/>
      <c r="Q89" s="32"/>
      <c r="R89" s="444">
        <v>15.0</v>
      </c>
      <c r="S89" s="109" t="s">
        <v>785</v>
      </c>
    </row>
    <row r="90">
      <c r="A90" s="100" t="s">
        <v>1090</v>
      </c>
      <c r="B90" s="427" t="s">
        <v>8</v>
      </c>
      <c r="C90" s="100" t="s">
        <v>20</v>
      </c>
      <c r="D90" s="448">
        <v>107.0</v>
      </c>
      <c r="E90" s="443" t="s">
        <v>2482</v>
      </c>
      <c r="F90" s="100" t="s">
        <v>2468</v>
      </c>
      <c r="G90" s="100" t="s">
        <v>2481</v>
      </c>
      <c r="H90" s="449"/>
      <c r="I90" s="100">
        <v>6.0</v>
      </c>
      <c r="J90" s="100">
        <v>6.0</v>
      </c>
      <c r="K90" s="450"/>
      <c r="L90" s="450"/>
      <c r="M90" s="450"/>
      <c r="N90" s="450"/>
      <c r="O90" s="450"/>
      <c r="P90" s="450"/>
      <c r="Q90" s="450"/>
      <c r="R90" s="100">
        <v>15.0</v>
      </c>
      <c r="S90" s="74" t="s">
        <v>2467</v>
      </c>
    </row>
    <row r="91">
      <c r="A91" s="100" t="s">
        <v>1384</v>
      </c>
      <c r="B91" s="427" t="s">
        <v>8</v>
      </c>
      <c r="C91" s="100" t="s">
        <v>12</v>
      </c>
      <c r="D91" s="448">
        <v>107.0</v>
      </c>
      <c r="E91" s="448" t="s">
        <v>2489</v>
      </c>
      <c r="F91" s="448" t="s">
        <v>2483</v>
      </c>
      <c r="G91" s="427" t="s">
        <v>2463</v>
      </c>
      <c r="H91" s="32"/>
      <c r="I91" s="32"/>
      <c r="J91" s="32"/>
      <c r="K91" s="32"/>
      <c r="L91" s="444">
        <v>9.0</v>
      </c>
      <c r="M91" s="444">
        <v>9.0</v>
      </c>
      <c r="N91" s="32"/>
      <c r="O91" s="32"/>
      <c r="P91" s="32"/>
      <c r="Q91" s="32"/>
      <c r="R91" s="444">
        <v>15.0</v>
      </c>
      <c r="S91" s="109" t="s">
        <v>785</v>
      </c>
    </row>
    <row r="92">
      <c r="A92" s="100" t="s">
        <v>2547</v>
      </c>
      <c r="B92" s="427" t="s">
        <v>8</v>
      </c>
      <c r="C92" s="100" t="s">
        <v>12</v>
      </c>
      <c r="D92" s="448">
        <v>108.0</v>
      </c>
      <c r="E92" s="448" t="s">
        <v>2489</v>
      </c>
      <c r="F92" s="448" t="s">
        <v>2473</v>
      </c>
      <c r="G92" s="427" t="s">
        <v>2477</v>
      </c>
      <c r="H92" s="32"/>
      <c r="I92" s="444">
        <v>9.0</v>
      </c>
      <c r="J92" s="32"/>
      <c r="K92" s="444">
        <v>9.0</v>
      </c>
      <c r="L92" s="32"/>
      <c r="M92" s="32"/>
      <c r="N92" s="32"/>
      <c r="O92" s="32"/>
      <c r="P92" s="32"/>
      <c r="Q92" s="32"/>
      <c r="R92" s="444">
        <v>15.0</v>
      </c>
      <c r="S92" s="105" t="s">
        <v>2548</v>
      </c>
    </row>
    <row r="93">
      <c r="A93" s="100" t="s">
        <v>1085</v>
      </c>
      <c r="B93" s="427" t="s">
        <v>8</v>
      </c>
      <c r="C93" s="100" t="s">
        <v>12</v>
      </c>
      <c r="D93" s="448">
        <v>106.0</v>
      </c>
      <c r="E93" s="448" t="s">
        <v>2473</v>
      </c>
      <c r="F93" s="448" t="s">
        <v>2477</v>
      </c>
      <c r="G93" s="427" t="s">
        <v>2489</v>
      </c>
      <c r="H93" s="32"/>
      <c r="I93" s="444">
        <v>9.0</v>
      </c>
      <c r="J93" s="32"/>
      <c r="K93" s="444">
        <v>9.0</v>
      </c>
      <c r="L93" s="32"/>
      <c r="M93" s="32"/>
      <c r="N93" s="32"/>
      <c r="O93" s="32"/>
      <c r="P93" s="32"/>
      <c r="Q93" s="32"/>
      <c r="R93" s="444">
        <v>15.0</v>
      </c>
      <c r="S93" s="74" t="s">
        <v>2467</v>
      </c>
    </row>
    <row r="94">
      <c r="A94" s="100" t="s">
        <v>2498</v>
      </c>
      <c r="B94" s="427" t="s">
        <v>54</v>
      </c>
      <c r="C94" s="100" t="s">
        <v>12</v>
      </c>
      <c r="D94" s="448">
        <v>106.0</v>
      </c>
      <c r="E94" s="448" t="s">
        <v>2489</v>
      </c>
      <c r="F94" s="448" t="s">
        <v>2481</v>
      </c>
      <c r="G94" s="100"/>
      <c r="H94" s="449"/>
      <c r="I94" s="450"/>
      <c r="J94" s="100">
        <v>6.0</v>
      </c>
      <c r="K94" s="450"/>
      <c r="L94" s="450"/>
      <c r="M94" s="450"/>
      <c r="N94" s="450"/>
      <c r="O94" s="450"/>
      <c r="P94" s="450"/>
      <c r="Q94" s="450"/>
      <c r="R94" s="100">
        <v>15.0</v>
      </c>
      <c r="S94" s="74" t="s">
        <v>2470</v>
      </c>
    </row>
    <row r="95">
      <c r="A95" s="427" t="s">
        <v>1690</v>
      </c>
      <c r="B95" s="427" t="s">
        <v>8</v>
      </c>
      <c r="C95" s="427" t="s">
        <v>12</v>
      </c>
      <c r="D95" s="443">
        <v>109.0</v>
      </c>
      <c r="E95" s="443" t="s">
        <v>2489</v>
      </c>
      <c r="F95" s="443" t="s">
        <v>2473</v>
      </c>
      <c r="G95" s="427" t="s">
        <v>2477</v>
      </c>
      <c r="H95" s="32"/>
      <c r="I95" s="444">
        <v>9.0</v>
      </c>
      <c r="J95" s="32"/>
      <c r="K95" s="444">
        <v>9.0</v>
      </c>
      <c r="L95" s="32"/>
      <c r="M95" s="32"/>
      <c r="N95" s="32"/>
      <c r="O95" s="444"/>
      <c r="P95" s="32"/>
      <c r="Q95" s="32"/>
      <c r="R95" s="444">
        <v>15.0</v>
      </c>
      <c r="S95" s="109" t="s">
        <v>2499</v>
      </c>
    </row>
    <row r="96">
      <c r="A96" s="427" t="s">
        <v>2500</v>
      </c>
      <c r="B96" s="427" t="s">
        <v>8</v>
      </c>
      <c r="C96" s="427" t="s">
        <v>40</v>
      </c>
      <c r="D96" s="443">
        <v>109.0</v>
      </c>
      <c r="E96" s="443" t="s">
        <v>2501</v>
      </c>
      <c r="F96" s="443" t="s">
        <v>2483</v>
      </c>
      <c r="G96" s="427" t="s">
        <v>2463</v>
      </c>
      <c r="H96" s="32"/>
      <c r="I96" s="444"/>
      <c r="J96" s="32"/>
      <c r="K96" s="32"/>
      <c r="L96" s="444">
        <v>9.0</v>
      </c>
      <c r="M96" s="444">
        <v>9.0</v>
      </c>
      <c r="N96" s="32"/>
      <c r="O96" s="444"/>
      <c r="P96" s="32"/>
      <c r="Q96" s="32"/>
      <c r="R96" s="444">
        <v>15.0</v>
      </c>
      <c r="S96" s="109" t="s">
        <v>2502</v>
      </c>
    </row>
    <row r="97">
      <c r="A97" s="100" t="s">
        <v>1026</v>
      </c>
      <c r="B97" s="427" t="s">
        <v>8</v>
      </c>
      <c r="C97" s="100" t="s">
        <v>40</v>
      </c>
      <c r="D97" s="448">
        <v>108.0</v>
      </c>
      <c r="E97" s="448" t="s">
        <v>2501</v>
      </c>
      <c r="F97" s="448" t="s">
        <v>2462</v>
      </c>
      <c r="G97" s="427" t="s">
        <v>2463</v>
      </c>
      <c r="H97" s="32"/>
      <c r="I97" s="32"/>
      <c r="J97" s="444">
        <v>9.0</v>
      </c>
      <c r="K97" s="32"/>
      <c r="L97" s="32"/>
      <c r="M97" s="444">
        <v>9.0</v>
      </c>
      <c r="N97" s="32"/>
      <c r="O97" s="32"/>
      <c r="P97" s="32"/>
      <c r="Q97" s="32"/>
      <c r="R97" s="444">
        <v>15.0</v>
      </c>
      <c r="S97" s="74" t="s">
        <v>2467</v>
      </c>
    </row>
    <row r="98">
      <c r="A98" s="100" t="s">
        <v>2549</v>
      </c>
      <c r="B98" s="427" t="s">
        <v>8</v>
      </c>
      <c r="C98" s="100" t="s">
        <v>40</v>
      </c>
      <c r="D98" s="448">
        <v>108.0</v>
      </c>
      <c r="E98" s="448" t="s">
        <v>2550</v>
      </c>
      <c r="F98" s="448" t="s">
        <v>2477</v>
      </c>
      <c r="G98" s="427" t="s">
        <v>2471</v>
      </c>
      <c r="H98" s="32"/>
      <c r="I98" s="32"/>
      <c r="J98" s="444"/>
      <c r="K98" s="444">
        <v>9.0</v>
      </c>
      <c r="L98" s="32"/>
      <c r="M98" s="444"/>
      <c r="N98" s="32"/>
      <c r="O98" s="32"/>
      <c r="P98" s="444">
        <v>6.0</v>
      </c>
      <c r="Q98" s="32"/>
      <c r="R98" s="444"/>
      <c r="S98" s="109" t="s">
        <v>2539</v>
      </c>
    </row>
    <row r="99">
      <c r="A99" s="100" t="s">
        <v>2551</v>
      </c>
      <c r="B99" s="427" t="s">
        <v>8</v>
      </c>
      <c r="C99" s="100" t="s">
        <v>40</v>
      </c>
      <c r="D99" s="448">
        <v>108.0</v>
      </c>
      <c r="E99" s="448" t="s">
        <v>2506</v>
      </c>
      <c r="F99" s="448" t="s">
        <v>2486</v>
      </c>
      <c r="G99" s="427" t="s">
        <v>2462</v>
      </c>
      <c r="H99" s="32"/>
      <c r="I99" s="32"/>
      <c r="J99" s="444">
        <v>9.0</v>
      </c>
      <c r="K99" s="32"/>
      <c r="L99" s="32"/>
      <c r="M99" s="32"/>
      <c r="N99" s="32"/>
      <c r="O99" s="444">
        <v>6.0</v>
      </c>
      <c r="P99" s="32"/>
      <c r="Q99" s="444">
        <v>60.0</v>
      </c>
      <c r="R99" s="32"/>
      <c r="S99" s="109" t="s">
        <v>2552</v>
      </c>
    </row>
    <row r="100">
      <c r="A100" s="100" t="s">
        <v>2553</v>
      </c>
      <c r="B100" s="427" t="s">
        <v>54</v>
      </c>
      <c r="C100" s="100" t="s">
        <v>40</v>
      </c>
      <c r="D100" s="448">
        <v>105.0</v>
      </c>
      <c r="E100" s="448" t="s">
        <v>2465</v>
      </c>
      <c r="F100" s="448" t="s">
        <v>2523</v>
      </c>
      <c r="G100" s="427" t="s">
        <v>2462</v>
      </c>
      <c r="H100" s="32"/>
      <c r="I100" s="32"/>
      <c r="J100" s="444">
        <v>9.0</v>
      </c>
      <c r="K100" s="32"/>
      <c r="L100" s="32"/>
      <c r="M100" s="32"/>
      <c r="N100" s="32"/>
      <c r="O100" s="32"/>
      <c r="P100" s="32"/>
      <c r="Q100" s="444">
        <v>60.0</v>
      </c>
      <c r="R100" s="32"/>
      <c r="S100" s="152" t="s">
        <v>2554</v>
      </c>
    </row>
    <row r="101">
      <c r="A101" s="80"/>
      <c r="B101" s="80"/>
      <c r="C101" s="80"/>
      <c r="D101" s="80"/>
      <c r="E101" s="80"/>
      <c r="F101" s="80"/>
      <c r="G101" s="80"/>
      <c r="H101" s="80"/>
    </row>
    <row r="102">
      <c r="A102" s="80"/>
      <c r="B102" s="80"/>
      <c r="C102" s="80"/>
      <c r="D102" s="80"/>
      <c r="E102" s="80"/>
      <c r="F102" s="80"/>
      <c r="G102" s="80"/>
      <c r="H102" s="80"/>
    </row>
    <row r="103">
      <c r="A103" s="80"/>
      <c r="B103" s="80"/>
      <c r="C103" s="80"/>
      <c r="D103" s="80"/>
      <c r="E103" s="80"/>
      <c r="F103" s="80"/>
      <c r="G103" s="80"/>
      <c r="H103" s="80"/>
    </row>
    <row r="104">
      <c r="A104" s="104"/>
      <c r="B104" s="104"/>
      <c r="C104" s="104"/>
      <c r="D104" s="104"/>
      <c r="E104" s="80"/>
      <c r="F104" s="80"/>
      <c r="G104" s="80"/>
      <c r="H104" s="104"/>
    </row>
    <row r="105">
      <c r="A105" s="104"/>
      <c r="B105" s="80"/>
      <c r="C105" s="80"/>
      <c r="D105" s="80"/>
      <c r="E105" s="80"/>
      <c r="F105" s="80"/>
      <c r="G105" s="80"/>
      <c r="H105" s="80"/>
    </row>
    <row r="106">
      <c r="C106" s="501" t="s">
        <v>2509</v>
      </c>
      <c r="D106" s="502"/>
      <c r="E106" s="503" t="s">
        <v>2510</v>
      </c>
      <c r="F106" s="503" t="s">
        <v>2511</v>
      </c>
      <c r="G106" s="503" t="str">
        <f>D79</f>
        <v>Main AFFCT</v>
      </c>
      <c r="H106" s="504" t="s">
        <v>1140</v>
      </c>
      <c r="I106" s="504" t="s">
        <v>1188</v>
      </c>
      <c r="J106" s="504" t="s">
        <v>1237</v>
      </c>
      <c r="K106" s="504" t="s">
        <v>1266</v>
      </c>
      <c r="L106" s="504" t="s">
        <v>2453</v>
      </c>
      <c r="M106" s="504" t="s">
        <v>2454</v>
      </c>
      <c r="N106" s="504" t="s">
        <v>2455</v>
      </c>
      <c r="O106" s="504" t="s">
        <v>2456</v>
      </c>
      <c r="P106" s="504" t="s">
        <v>2457</v>
      </c>
      <c r="Q106" s="504" t="s">
        <v>2458</v>
      </c>
      <c r="R106" s="501" t="s">
        <v>2512</v>
      </c>
      <c r="S106" s="505"/>
      <c r="U106" s="31"/>
      <c r="V106" s="54" t="s">
        <v>2513</v>
      </c>
      <c r="W106" s="54" t="s">
        <v>2514</v>
      </c>
    </row>
    <row r="107">
      <c r="A107" s="506"/>
      <c r="C107" s="507" t="str">
        <f>A81</f>
        <v>Potsdam Declaration</v>
      </c>
      <c r="E107" s="508" t="s">
        <v>9</v>
      </c>
      <c r="F107" s="508" t="s">
        <v>1288</v>
      </c>
      <c r="G107" s="478">
        <f t="shared" ref="G107:G108" si="27">VLOOKUP($C107,$A$80:$R$100,4,FALSE)+VLOOKUP($C107,$A$80:$R$100,18,FALSE)</f>
        <v>108</v>
      </c>
      <c r="H107" s="460">
        <f>VLOOKUP($C107,$A$80:$R$100,8,FALSE)+VLOOKUP(G107,$Y$2:$AA$50,2)</f>
        <v>1.3</v>
      </c>
      <c r="I107" s="460">
        <f>VLOOKUP($C107,$A$80:$R$100,9,FALSE)+VLOOKUP(G107,$Y$2:$AA$50,2)</f>
        <v>1.3</v>
      </c>
      <c r="J107" s="460">
        <f>VLOOKUP($C107,$A$80:$R$100,10,FALSE)+VLOOKUP(G107,$Y$2:$AA$50,2)</f>
        <v>1.3</v>
      </c>
      <c r="K107" s="460">
        <f>VLOOKUP($C107,$A$80:$R$100,11,FALSE)+VLOOKUP(G107,$Y$2:$AA$50,2)</f>
        <v>1.3</v>
      </c>
      <c r="L107" s="460">
        <f t="shared" ref="L107:L111" si="28">VLOOKUP($C107,$A$80:$R$100,12,FALSE)</f>
        <v>9</v>
      </c>
      <c r="M107" s="460">
        <f t="shared" ref="M107:M111" si="29">VLOOKUP($C107,$A$80:$R$100,13,FALSE)</f>
        <v>9</v>
      </c>
      <c r="N107" s="460" t="str">
        <f t="shared" ref="N107:N111" si="30">VLOOKUP($C107,$A$80:$R$100,14,FALSE)</f>
        <v/>
      </c>
      <c r="O107" s="460" t="str">
        <f t="shared" ref="O107:O111" si="31">VLOOKUP($C107,$A$80:$R$100,15,FALSE)</f>
        <v/>
      </c>
      <c r="P107" s="460">
        <f t="shared" ref="P107:P111" si="32">VLOOKUP($C107,$A$80:$R$100,16,FALSE)</f>
        <v>6</v>
      </c>
      <c r="Q107" s="460" t="str">
        <f t="shared" ref="Q107:Q111" si="33">VLOOKUP($C107,$A$80:$R$100,17,FALSE)</f>
        <v/>
      </c>
      <c r="R107" s="461" t="str">
        <f>A82</f>
        <v>The Prince</v>
      </c>
      <c r="S107" s="505"/>
      <c r="U107" s="54" t="s">
        <v>2515</v>
      </c>
      <c r="V107" s="31"/>
      <c r="W107" s="31"/>
    </row>
    <row r="108">
      <c r="C108" s="509" t="str">
        <f>A86</f>
        <v>Woman at Her Toilette</v>
      </c>
      <c r="D108" s="510"/>
      <c r="E108" s="511" t="s">
        <v>16</v>
      </c>
      <c r="F108" s="511" t="s">
        <v>1140</v>
      </c>
      <c r="G108" s="512">
        <f t="shared" si="27"/>
        <v>124</v>
      </c>
      <c r="H108" s="513">
        <f>VLOOKUP($C108,$A$80:$R$100,8,FALSE)+VLOOKUP($G108,$Y$2:$AA$50,3)</f>
        <v>6.2</v>
      </c>
      <c r="I108" s="513">
        <f t="shared" ref="I108:I109" si="34">VLOOKUP($C108,$A$80:$R$100,9,FALSE)</f>
        <v>6</v>
      </c>
      <c r="J108" s="513">
        <f>VLOOKUP($C108,$A$80:$R$100,10,FALSE)</f>
        <v>6</v>
      </c>
      <c r="K108" s="513" t="str">
        <f t="shared" ref="K108:K110" si="35">VLOOKUP($C108,$A$80:$R$100,11,FALSE)</f>
        <v/>
      </c>
      <c r="L108" s="513" t="str">
        <f t="shared" si="28"/>
        <v/>
      </c>
      <c r="M108" s="513" t="str">
        <f t="shared" si="29"/>
        <v/>
      </c>
      <c r="N108" s="513" t="str">
        <f t="shared" si="30"/>
        <v/>
      </c>
      <c r="O108" s="513" t="str">
        <f t="shared" si="31"/>
        <v/>
      </c>
      <c r="P108" s="513" t="str">
        <f t="shared" si="32"/>
        <v/>
      </c>
      <c r="Q108" s="513" t="str">
        <f t="shared" si="33"/>
        <v/>
      </c>
      <c r="R108" s="514" t="str">
        <f>A84</f>
        <v>Louis XIV Portrait</v>
      </c>
      <c r="S108" s="505"/>
      <c r="U108" s="54" t="s">
        <v>1188</v>
      </c>
      <c r="V108" s="31">
        <f>$Z$66*(1+I112/100)</f>
        <v>1166538</v>
      </c>
      <c r="W108" s="31">
        <f>((V108-$Z$73)*(V110+P112/100)*((V111/100)*V112 + (1-V111/100)*1)) + LOG(V108,5)*Q112*(V110+P112/100)</f>
        <v>597050.8022</v>
      </c>
    </row>
    <row r="109">
      <c r="C109" s="507" t="str">
        <f t="shared" ref="C109:C110" si="36">A90</f>
        <v>Enuma Elish</v>
      </c>
      <c r="E109" s="508" t="s">
        <v>20</v>
      </c>
      <c r="F109" s="508" t="s">
        <v>1237</v>
      </c>
      <c r="G109" s="515">
        <v>57.0</v>
      </c>
      <c r="H109" s="460" t="str">
        <f t="shared" ref="H109:H111" si="37">VLOOKUP($C109,$A$80:$R$100,8,FALSE)</f>
        <v/>
      </c>
      <c r="I109" s="460">
        <f t="shared" si="34"/>
        <v>6</v>
      </c>
      <c r="J109" s="460">
        <f>VLOOKUP($C109,$A$80:$R$100,10,FALSE)+VLOOKUP(G109,$Y$2:$AA$50,3)</f>
        <v>8.8</v>
      </c>
      <c r="K109" s="460" t="str">
        <f t="shared" si="35"/>
        <v/>
      </c>
      <c r="L109" s="460" t="str">
        <f t="shared" si="28"/>
        <v/>
      </c>
      <c r="M109" s="460" t="str">
        <f t="shared" si="29"/>
        <v/>
      </c>
      <c r="N109" s="460" t="str">
        <f t="shared" si="30"/>
        <v/>
      </c>
      <c r="O109" s="460" t="str">
        <f t="shared" si="31"/>
        <v/>
      </c>
      <c r="P109" s="460" t="str">
        <f t="shared" si="32"/>
        <v/>
      </c>
      <c r="Q109" s="460" t="str">
        <f t="shared" si="33"/>
        <v/>
      </c>
      <c r="R109" s="470" t="str">
        <f>A83</f>
        <v>Cross of Lorraine</v>
      </c>
      <c r="S109" s="505"/>
      <c r="U109" s="54" t="s">
        <v>1237</v>
      </c>
      <c r="V109" s="31">
        <f>$Z$67*(1+J112/100)</f>
        <v>1263510</v>
      </c>
      <c r="W109" s="31">
        <f>(V109-$Z$73)*(V110+P112/100)*((V111/100)*V112 + (1-V111/100)*1) + LOG(V109,5)*Q112*(V110+P112/100)</f>
        <v>740881.2242</v>
      </c>
    </row>
    <row r="110">
      <c r="C110" s="509" t="str">
        <f t="shared" si="36"/>
        <v>Isabella I Portrait</v>
      </c>
      <c r="D110" s="510"/>
      <c r="E110" s="511" t="s">
        <v>12</v>
      </c>
      <c r="F110" s="511" t="s">
        <v>1188</v>
      </c>
      <c r="G110" s="512">
        <f t="shared" ref="G110:G111" si="38">VLOOKUP($C110,$A$80:$R$100,4,FALSE)+VLOOKUP($C110,$A$80:$R$100,18,FALSE)</f>
        <v>122</v>
      </c>
      <c r="H110" s="513" t="str">
        <f t="shared" si="37"/>
        <v/>
      </c>
      <c r="I110" s="513">
        <f>VLOOKUP($C110,$A$80:$R$100,9,FALSE)+VLOOKUP(G110,$Y$2:$AA$50,3)</f>
        <v>6.1</v>
      </c>
      <c r="J110" s="513" t="str">
        <f t="shared" ref="J110:J111" si="39">VLOOKUP($C110,$A$80:$R$100,10,FALSE)</f>
        <v/>
      </c>
      <c r="K110" s="513" t="str">
        <f t="shared" si="35"/>
        <v/>
      </c>
      <c r="L110" s="513">
        <f t="shared" si="28"/>
        <v>9</v>
      </c>
      <c r="M110" s="513">
        <f t="shared" si="29"/>
        <v>9</v>
      </c>
      <c r="N110" s="513" t="str">
        <f t="shared" si="30"/>
        <v/>
      </c>
      <c r="O110" s="513" t="str">
        <f t="shared" si="31"/>
        <v/>
      </c>
      <c r="P110" s="513" t="str">
        <f t="shared" si="32"/>
        <v/>
      </c>
      <c r="Q110" s="513" t="str">
        <f t="shared" si="33"/>
        <v/>
      </c>
      <c r="R110" s="514" t="str">
        <f>A93</f>
        <v>Crime and Punishment</v>
      </c>
      <c r="S110" s="505"/>
      <c r="U110" s="54" t="s">
        <v>2516</v>
      </c>
      <c r="V110" s="31">
        <f>(1+($Z$68+N112)/100)</f>
        <v>1.13</v>
      </c>
      <c r="W110" s="31"/>
    </row>
    <row r="111">
      <c r="C111" s="516" t="str">
        <f>A97</f>
        <v>Black Body</v>
      </c>
      <c r="E111" s="517" t="s">
        <v>40</v>
      </c>
      <c r="F111" s="517" t="s">
        <v>1266</v>
      </c>
      <c r="G111" s="518">
        <f t="shared" si="38"/>
        <v>123</v>
      </c>
      <c r="H111" s="460" t="str">
        <f t="shared" si="37"/>
        <v/>
      </c>
      <c r="I111" s="460" t="str">
        <f>VLOOKUP($C111,$A$80:$R$100,9,FALSE)</f>
        <v/>
      </c>
      <c r="J111" s="460">
        <f t="shared" si="39"/>
        <v>9</v>
      </c>
      <c r="K111" s="460">
        <f>VLOOKUP($C111,$A$80:$R$100,11,FALSE)+VLOOKUP(G111,$Y$2:$AA$50,3)</f>
        <v>6.1</v>
      </c>
      <c r="L111" s="460" t="str">
        <f t="shared" si="28"/>
        <v/>
      </c>
      <c r="M111" s="460">
        <f t="shared" si="29"/>
        <v>9</v>
      </c>
      <c r="N111" s="460" t="str">
        <f t="shared" si="30"/>
        <v/>
      </c>
      <c r="O111" s="460" t="str">
        <f t="shared" si="31"/>
        <v/>
      </c>
      <c r="P111" s="460" t="str">
        <f t="shared" si="32"/>
        <v/>
      </c>
      <c r="Q111" s="460" t="str">
        <f t="shared" si="33"/>
        <v/>
      </c>
      <c r="R111" s="461" t="s">
        <v>1345</v>
      </c>
      <c r="S111" s="505"/>
      <c r="U111" s="54" t="s">
        <v>2517</v>
      </c>
      <c r="V111" s="31">
        <f>$Z$69+L112</f>
        <v>32</v>
      </c>
      <c r="W111" s="31"/>
    </row>
    <row r="112">
      <c r="C112" s="519" t="s">
        <v>2518</v>
      </c>
      <c r="D112" s="510"/>
      <c r="E112" s="520"/>
      <c r="F112" s="520"/>
      <c r="G112" s="512"/>
      <c r="H112" s="521">
        <f t="shared" ref="H112:Q112" si="40">sum(H107:H111)</f>
        <v>7.5</v>
      </c>
      <c r="I112" s="521">
        <f t="shared" si="40"/>
        <v>19.4</v>
      </c>
      <c r="J112" s="521">
        <f t="shared" si="40"/>
        <v>25.1</v>
      </c>
      <c r="K112" s="521">
        <f t="shared" si="40"/>
        <v>7.4</v>
      </c>
      <c r="L112" s="521">
        <f t="shared" si="40"/>
        <v>18</v>
      </c>
      <c r="M112" s="521">
        <f t="shared" si="40"/>
        <v>27</v>
      </c>
      <c r="N112" s="521">
        <f t="shared" si="40"/>
        <v>0</v>
      </c>
      <c r="O112" s="521">
        <f t="shared" si="40"/>
        <v>0</v>
      </c>
      <c r="P112" s="521">
        <f t="shared" si="40"/>
        <v>6</v>
      </c>
      <c r="Q112" s="521">
        <f t="shared" si="40"/>
        <v>0</v>
      </c>
      <c r="R112" s="514"/>
      <c r="S112" s="505"/>
      <c r="U112" s="54" t="s">
        <v>2519</v>
      </c>
      <c r="V112" s="31">
        <f>1.5+($Z$70+M112)/100</f>
        <v>1.77</v>
      </c>
      <c r="W112" s="31"/>
    </row>
    <row r="113">
      <c r="C113" s="475" t="s">
        <v>2520</v>
      </c>
      <c r="D113" s="457"/>
      <c r="E113" s="476">
        <f>W108+W109</f>
        <v>1337932.026</v>
      </c>
      <c r="F113" s="477"/>
      <c r="G113" s="478"/>
      <c r="H113" s="479"/>
      <c r="I113" s="479"/>
      <c r="J113" s="479"/>
      <c r="K113" s="479"/>
      <c r="L113" s="479"/>
      <c r="M113" s="479"/>
      <c r="N113" s="479"/>
      <c r="O113" s="479"/>
      <c r="P113" s="479"/>
      <c r="Q113" s="479"/>
      <c r="R113" s="479"/>
    </row>
    <row r="119">
      <c r="A119" s="130" t="s">
        <v>1779</v>
      </c>
      <c r="B119" s="89"/>
      <c r="C119" s="89"/>
      <c r="D119" s="435" t="s">
        <v>537</v>
      </c>
      <c r="E119" s="435" t="s">
        <v>2450</v>
      </c>
      <c r="F119" s="435" t="s">
        <v>2451</v>
      </c>
      <c r="G119" s="435" t="s">
        <v>2452</v>
      </c>
      <c r="H119" s="436" t="s">
        <v>1140</v>
      </c>
      <c r="I119" s="436" t="s">
        <v>1188</v>
      </c>
      <c r="J119" s="436" t="s">
        <v>1237</v>
      </c>
      <c r="K119" s="436" t="s">
        <v>1266</v>
      </c>
      <c r="L119" s="436" t="s">
        <v>2453</v>
      </c>
      <c r="M119" s="436" t="s">
        <v>2454</v>
      </c>
      <c r="N119" s="436" t="s">
        <v>2455</v>
      </c>
      <c r="O119" s="436" t="s">
        <v>2456</v>
      </c>
      <c r="P119" s="436" t="s">
        <v>2457</v>
      </c>
      <c r="Q119" s="436" t="s">
        <v>2458</v>
      </c>
      <c r="R119" s="436" t="s">
        <v>536</v>
      </c>
      <c r="S119" s="437" t="s">
        <v>5</v>
      </c>
    </row>
    <row r="120">
      <c r="A120" s="70" t="s">
        <v>6</v>
      </c>
      <c r="B120" s="71"/>
      <c r="C120" s="71"/>
      <c r="D120" s="71"/>
      <c r="E120" s="71"/>
      <c r="F120" s="71"/>
      <c r="G120" s="71"/>
      <c r="S120" s="72"/>
    </row>
    <row r="121">
      <c r="A121" s="100" t="s">
        <v>2555</v>
      </c>
      <c r="B121" s="427" t="s">
        <v>8</v>
      </c>
      <c r="C121" s="427" t="s">
        <v>9</v>
      </c>
      <c r="D121" s="448">
        <v>109.0</v>
      </c>
      <c r="E121" s="448" t="s">
        <v>2466</v>
      </c>
      <c r="F121" s="100" t="s">
        <v>2506</v>
      </c>
      <c r="G121" s="427" t="s">
        <v>2473</v>
      </c>
      <c r="H121" s="32"/>
      <c r="I121" s="444">
        <v>9.0</v>
      </c>
      <c r="J121" s="32"/>
      <c r="K121" s="32"/>
      <c r="L121" s="32"/>
      <c r="M121" s="32"/>
      <c r="N121" s="32"/>
      <c r="O121" s="32"/>
      <c r="P121" s="32"/>
      <c r="Q121" s="444">
        <v>60.0</v>
      </c>
      <c r="R121" s="444">
        <v>15.0</v>
      </c>
      <c r="S121" s="109" t="s">
        <v>1656</v>
      </c>
    </row>
    <row r="122">
      <c r="A122" s="100" t="s">
        <v>2556</v>
      </c>
      <c r="B122" s="427" t="s">
        <v>8</v>
      </c>
      <c r="C122" s="427" t="s">
        <v>9</v>
      </c>
      <c r="D122" s="448">
        <v>109.0</v>
      </c>
      <c r="E122" s="448" t="s">
        <v>2466</v>
      </c>
      <c r="F122" s="100" t="s">
        <v>2485</v>
      </c>
      <c r="G122" s="427" t="s">
        <v>2506</v>
      </c>
      <c r="H122" s="444">
        <v>9.0</v>
      </c>
      <c r="I122" s="32"/>
      <c r="J122" s="32"/>
      <c r="K122" s="32"/>
      <c r="L122" s="32"/>
      <c r="M122" s="32"/>
      <c r="N122" s="32"/>
      <c r="O122" s="32"/>
      <c r="P122" s="32"/>
      <c r="Q122" s="444">
        <v>60.0</v>
      </c>
      <c r="R122" s="444">
        <v>15.0</v>
      </c>
      <c r="S122" s="105" t="s">
        <v>2557</v>
      </c>
    </row>
    <row r="123">
      <c r="A123" s="100" t="s">
        <v>1054</v>
      </c>
      <c r="B123" s="427" t="s">
        <v>54</v>
      </c>
      <c r="C123" s="100" t="s">
        <v>9</v>
      </c>
      <c r="D123" s="448">
        <v>104.0</v>
      </c>
      <c r="E123" s="448" t="s">
        <v>2558</v>
      </c>
      <c r="F123" s="448" t="s">
        <v>2485</v>
      </c>
      <c r="G123" s="427"/>
      <c r="H123" s="444">
        <v>9.0</v>
      </c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105" t="s">
        <v>1658</v>
      </c>
    </row>
    <row r="124">
      <c r="A124" s="102" t="s">
        <v>1345</v>
      </c>
      <c r="B124" s="429" t="s">
        <v>8</v>
      </c>
      <c r="C124" s="429" t="s">
        <v>9</v>
      </c>
      <c r="D124" s="445">
        <v>106.0</v>
      </c>
      <c r="E124" s="445" t="s">
        <v>2468</v>
      </c>
      <c r="F124" s="102" t="s">
        <v>2466</v>
      </c>
      <c r="G124" s="102" t="s">
        <v>2469</v>
      </c>
      <c r="H124" s="446"/>
      <c r="I124" s="102">
        <v>6.0</v>
      </c>
      <c r="J124" s="102"/>
      <c r="K124" s="447"/>
      <c r="L124" s="447"/>
      <c r="M124" s="102">
        <v>6.0</v>
      </c>
      <c r="N124" s="102"/>
      <c r="O124" s="447"/>
      <c r="P124" s="447"/>
      <c r="Q124" s="447"/>
      <c r="R124" s="102">
        <v>15.0</v>
      </c>
      <c r="S124" s="74" t="s">
        <v>2467</v>
      </c>
    </row>
    <row r="125">
      <c r="A125" s="100" t="s">
        <v>651</v>
      </c>
      <c r="B125" s="427" t="s">
        <v>54</v>
      </c>
      <c r="C125" s="427" t="s">
        <v>9</v>
      </c>
      <c r="D125" s="448">
        <v>104.0</v>
      </c>
      <c r="E125" s="448" t="s">
        <v>2466</v>
      </c>
      <c r="F125" s="448" t="s">
        <v>2468</v>
      </c>
      <c r="G125" s="100"/>
      <c r="H125" s="449"/>
      <c r="I125" s="100">
        <v>6.0</v>
      </c>
      <c r="J125" s="100"/>
      <c r="K125" s="450"/>
      <c r="L125" s="450"/>
      <c r="M125" s="450"/>
      <c r="N125" s="450"/>
      <c r="O125" s="450"/>
      <c r="P125" s="450"/>
      <c r="Q125" s="450"/>
      <c r="R125" s="100">
        <v>15.0</v>
      </c>
      <c r="S125" s="74" t="s">
        <v>2470</v>
      </c>
    </row>
    <row r="126">
      <c r="A126" s="100" t="s">
        <v>2559</v>
      </c>
      <c r="B126" s="427" t="s">
        <v>8</v>
      </c>
      <c r="C126" s="427" t="s">
        <v>16</v>
      </c>
      <c r="D126" s="448">
        <v>106.0</v>
      </c>
      <c r="E126" s="448" t="s">
        <v>2476</v>
      </c>
      <c r="F126" s="100" t="s">
        <v>2463</v>
      </c>
      <c r="G126" s="427" t="s">
        <v>2465</v>
      </c>
      <c r="H126" s="32"/>
      <c r="I126" s="32"/>
      <c r="J126" s="32"/>
      <c r="K126" s="32"/>
      <c r="L126" s="32"/>
      <c r="M126" s="444">
        <v>9.0</v>
      </c>
      <c r="N126" s="32"/>
      <c r="O126" s="32"/>
      <c r="P126" s="32"/>
      <c r="Q126" s="444">
        <v>120.0</v>
      </c>
      <c r="R126" s="32"/>
      <c r="S126" s="109" t="s">
        <v>2560</v>
      </c>
    </row>
    <row r="127">
      <c r="A127" s="100" t="s">
        <v>1019</v>
      </c>
      <c r="B127" s="427" t="s">
        <v>8</v>
      </c>
      <c r="C127" s="427" t="s">
        <v>16</v>
      </c>
      <c r="D127" s="448">
        <v>108.0</v>
      </c>
      <c r="E127" s="448" t="s">
        <v>2483</v>
      </c>
      <c r="F127" s="100" t="s">
        <v>2558</v>
      </c>
      <c r="G127" s="427" t="s">
        <v>2479</v>
      </c>
      <c r="H127" s="32"/>
      <c r="I127" s="32"/>
      <c r="J127" s="32"/>
      <c r="K127" s="32"/>
      <c r="L127" s="444">
        <v>9.0</v>
      </c>
      <c r="M127" s="32"/>
      <c r="N127" s="32"/>
      <c r="O127" s="32"/>
      <c r="P127" s="32"/>
      <c r="Q127" s="32"/>
      <c r="R127" s="444">
        <v>15.0</v>
      </c>
      <c r="S127" s="105" t="s">
        <v>2063</v>
      </c>
    </row>
    <row r="128">
      <c r="A128" s="100" t="s">
        <v>652</v>
      </c>
      <c r="B128" s="427" t="s">
        <v>54</v>
      </c>
      <c r="C128" s="100" t="s">
        <v>16</v>
      </c>
      <c r="D128" s="448">
        <v>103.0</v>
      </c>
      <c r="E128" s="443" t="s">
        <v>2462</v>
      </c>
      <c r="F128" s="100" t="s">
        <v>2479</v>
      </c>
      <c r="G128" s="427"/>
      <c r="H128" s="32"/>
      <c r="I128" s="32"/>
      <c r="J128" s="444">
        <v>9.0</v>
      </c>
      <c r="K128" s="32"/>
      <c r="L128" s="32"/>
      <c r="M128" s="32"/>
      <c r="N128" s="32"/>
      <c r="O128" s="32"/>
      <c r="P128" s="32"/>
      <c r="Q128" s="32"/>
      <c r="R128" s="444">
        <v>15.0</v>
      </c>
      <c r="S128" s="105" t="s">
        <v>1658</v>
      </c>
    </row>
    <row r="129">
      <c r="A129" s="100" t="s">
        <v>2561</v>
      </c>
      <c r="B129" s="427" t="s">
        <v>96</v>
      </c>
      <c r="C129" s="100" t="s">
        <v>16</v>
      </c>
      <c r="D129" s="448">
        <v>99.0</v>
      </c>
      <c r="E129" s="443" t="s">
        <v>2462</v>
      </c>
      <c r="F129" s="100"/>
      <c r="G129" s="427"/>
      <c r="H129" s="32"/>
      <c r="I129" s="32"/>
      <c r="J129" s="444">
        <v>9.0</v>
      </c>
      <c r="K129" s="32"/>
      <c r="L129" s="32"/>
      <c r="M129" s="32"/>
      <c r="N129" s="32"/>
      <c r="O129" s="32"/>
      <c r="P129" s="32"/>
      <c r="Q129" s="32"/>
      <c r="R129" s="32"/>
      <c r="S129" s="105" t="s">
        <v>1658</v>
      </c>
    </row>
    <row r="130">
      <c r="A130" s="100" t="s">
        <v>1156</v>
      </c>
      <c r="B130" s="427" t="s">
        <v>8</v>
      </c>
      <c r="C130" s="100" t="s">
        <v>16</v>
      </c>
      <c r="D130" s="448">
        <v>107.0</v>
      </c>
      <c r="E130" s="443" t="s">
        <v>2479</v>
      </c>
      <c r="F130" s="100" t="s">
        <v>2506</v>
      </c>
      <c r="G130" s="427" t="s">
        <v>2485</v>
      </c>
      <c r="H130" s="444">
        <v>9.0</v>
      </c>
      <c r="I130" s="32"/>
      <c r="J130" s="32"/>
      <c r="K130" s="32"/>
      <c r="L130" s="32"/>
      <c r="M130" s="32"/>
      <c r="N130" s="32"/>
      <c r="O130" s="32"/>
      <c r="P130" s="32"/>
      <c r="Q130" s="444">
        <v>60.0</v>
      </c>
      <c r="R130" s="444">
        <v>15.0</v>
      </c>
      <c r="S130" s="105" t="s">
        <v>2562</v>
      </c>
    </row>
    <row r="131">
      <c r="A131" s="100" t="s">
        <v>713</v>
      </c>
      <c r="B131" s="427" t="s">
        <v>54</v>
      </c>
      <c r="C131" s="100" t="s">
        <v>16</v>
      </c>
      <c r="D131" s="448">
        <v>102.0</v>
      </c>
      <c r="E131" s="443" t="s">
        <v>2558</v>
      </c>
      <c r="F131" s="100" t="s">
        <v>2506</v>
      </c>
      <c r="G131" s="427"/>
      <c r="H131" s="32"/>
      <c r="I131" s="32"/>
      <c r="J131" s="32"/>
      <c r="K131" s="32"/>
      <c r="L131" s="32"/>
      <c r="M131" s="32"/>
      <c r="N131" s="32"/>
      <c r="O131" s="32"/>
      <c r="P131" s="32"/>
      <c r="Q131" s="444">
        <v>60.0</v>
      </c>
      <c r="R131" s="32"/>
      <c r="S131" s="105" t="s">
        <v>1658</v>
      </c>
    </row>
    <row r="132">
      <c r="A132" s="427" t="s">
        <v>1659</v>
      </c>
      <c r="B132" s="427" t="s">
        <v>8</v>
      </c>
      <c r="C132" s="427" t="s">
        <v>16</v>
      </c>
      <c r="D132" s="443">
        <v>109.0</v>
      </c>
      <c r="E132" s="443" t="s">
        <v>2468</v>
      </c>
      <c r="F132" s="427" t="s">
        <v>2481</v>
      </c>
      <c r="G132" s="427" t="s">
        <v>2479</v>
      </c>
      <c r="H132" s="32"/>
      <c r="I132" s="444">
        <v>6.0</v>
      </c>
      <c r="J132" s="444">
        <v>6.0</v>
      </c>
      <c r="K132" s="444"/>
      <c r="L132" s="444"/>
      <c r="M132" s="32"/>
      <c r="N132" s="32"/>
      <c r="O132" s="32"/>
      <c r="P132" s="32"/>
      <c r="Q132" s="32"/>
      <c r="R132" s="444">
        <v>15.0</v>
      </c>
      <c r="S132" s="74" t="s">
        <v>1660</v>
      </c>
    </row>
    <row r="133">
      <c r="A133" s="100" t="s">
        <v>1663</v>
      </c>
      <c r="B133" s="427" t="s">
        <v>8</v>
      </c>
      <c r="C133" s="427" t="s">
        <v>16</v>
      </c>
      <c r="D133" s="448">
        <v>106.0</v>
      </c>
      <c r="E133" s="448" t="s">
        <v>2478</v>
      </c>
      <c r="F133" s="100" t="s">
        <v>2479</v>
      </c>
      <c r="G133" s="100" t="s">
        <v>2472</v>
      </c>
      <c r="H133" s="449"/>
      <c r="I133" s="450"/>
      <c r="J133" s="450"/>
      <c r="K133" s="100">
        <v>6.0</v>
      </c>
      <c r="L133" s="450"/>
      <c r="M133" s="450"/>
      <c r="N133" s="450"/>
      <c r="O133" s="450"/>
      <c r="P133" s="450"/>
      <c r="Q133" s="100">
        <v>30.0</v>
      </c>
      <c r="R133" s="100">
        <v>15.0</v>
      </c>
      <c r="S133" s="74" t="s">
        <v>2563</v>
      </c>
    </row>
    <row r="134">
      <c r="A134" s="100" t="s">
        <v>2564</v>
      </c>
      <c r="B134" s="427" t="s">
        <v>8</v>
      </c>
      <c r="C134" s="100" t="s">
        <v>20</v>
      </c>
      <c r="D134" s="448">
        <v>109.0</v>
      </c>
      <c r="E134" s="443" t="s">
        <v>2477</v>
      </c>
      <c r="F134" s="100" t="s">
        <v>2490</v>
      </c>
      <c r="G134" s="427" t="s">
        <v>2476</v>
      </c>
      <c r="H134" s="32"/>
      <c r="I134" s="32"/>
      <c r="J134" s="32"/>
      <c r="K134" s="444">
        <v>9.0</v>
      </c>
      <c r="L134" s="32"/>
      <c r="M134" s="32"/>
      <c r="N134" s="32"/>
      <c r="O134" s="32"/>
      <c r="P134" s="32"/>
      <c r="Q134" s="444">
        <v>120.0</v>
      </c>
      <c r="R134" s="32"/>
      <c r="S134" s="105" t="s">
        <v>2548</v>
      </c>
    </row>
    <row r="135">
      <c r="A135" s="100" t="s">
        <v>1173</v>
      </c>
      <c r="B135" s="427" t="s">
        <v>8</v>
      </c>
      <c r="C135" s="100" t="s">
        <v>20</v>
      </c>
      <c r="D135" s="448">
        <v>107.0</v>
      </c>
      <c r="E135" s="443" t="s">
        <v>2485</v>
      </c>
      <c r="F135" s="100" t="s">
        <v>2482</v>
      </c>
      <c r="G135" s="427" t="s">
        <v>2486</v>
      </c>
      <c r="H135" s="444">
        <v>9.0</v>
      </c>
      <c r="I135" s="32"/>
      <c r="J135" s="32"/>
      <c r="K135" s="32"/>
      <c r="L135" s="32"/>
      <c r="M135" s="32"/>
      <c r="N135" s="32"/>
      <c r="O135" s="444">
        <v>6.0</v>
      </c>
      <c r="P135" s="32"/>
      <c r="Q135" s="32"/>
      <c r="R135" s="444">
        <v>15.0</v>
      </c>
      <c r="S135" s="105" t="s">
        <v>2063</v>
      </c>
    </row>
    <row r="136">
      <c r="A136" s="100" t="s">
        <v>825</v>
      </c>
      <c r="B136" s="427" t="s">
        <v>54</v>
      </c>
      <c r="C136" s="100" t="s">
        <v>20</v>
      </c>
      <c r="D136" s="448">
        <v>101.0</v>
      </c>
      <c r="E136" s="443" t="s">
        <v>2473</v>
      </c>
      <c r="F136" s="100" t="s">
        <v>2482</v>
      </c>
      <c r="G136" s="427"/>
      <c r="H136" s="32"/>
      <c r="I136" s="444">
        <v>9.0</v>
      </c>
      <c r="J136" s="32"/>
      <c r="K136" s="32"/>
      <c r="L136" s="32"/>
      <c r="M136" s="32"/>
      <c r="N136" s="32"/>
      <c r="O136" s="32"/>
      <c r="P136" s="32"/>
      <c r="Q136" s="32"/>
      <c r="R136" s="444">
        <v>15.0</v>
      </c>
      <c r="S136" s="105" t="s">
        <v>1658</v>
      </c>
    </row>
    <row r="137">
      <c r="A137" s="100" t="s">
        <v>1478</v>
      </c>
      <c r="B137" s="427" t="s">
        <v>54</v>
      </c>
      <c r="C137" s="100" t="s">
        <v>20</v>
      </c>
      <c r="D137" s="448">
        <v>105.0</v>
      </c>
      <c r="E137" s="443" t="s">
        <v>2471</v>
      </c>
      <c r="F137" s="100"/>
      <c r="G137" s="427"/>
      <c r="H137" s="32"/>
      <c r="I137" s="32"/>
      <c r="J137" s="32"/>
      <c r="K137" s="32"/>
      <c r="L137" s="32"/>
      <c r="M137" s="32"/>
      <c r="N137" s="32"/>
      <c r="O137" s="32"/>
      <c r="P137" s="444">
        <v>6.0</v>
      </c>
      <c r="Q137" s="32"/>
      <c r="R137" s="32"/>
      <c r="S137" s="105" t="s">
        <v>1658</v>
      </c>
    </row>
    <row r="138">
      <c r="A138" s="100" t="s">
        <v>930</v>
      </c>
      <c r="B138" s="427" t="s">
        <v>96</v>
      </c>
      <c r="C138" s="100" t="s">
        <v>20</v>
      </c>
      <c r="D138" s="448">
        <v>97.0</v>
      </c>
      <c r="E138" s="443" t="s">
        <v>2473</v>
      </c>
      <c r="F138" s="100"/>
      <c r="G138" s="427"/>
      <c r="H138" s="32"/>
      <c r="I138" s="444">
        <v>9.0</v>
      </c>
      <c r="J138" s="32"/>
      <c r="K138" s="32"/>
      <c r="L138" s="32"/>
      <c r="M138" s="32"/>
      <c r="N138" s="32"/>
      <c r="O138" s="32"/>
      <c r="P138" s="32"/>
      <c r="Q138" s="32"/>
      <c r="R138" s="32"/>
      <c r="S138" s="105" t="s">
        <v>1658</v>
      </c>
    </row>
    <row r="139">
      <c r="A139" s="100" t="s">
        <v>878</v>
      </c>
      <c r="B139" s="427" t="s">
        <v>54</v>
      </c>
      <c r="C139" s="100" t="s">
        <v>20</v>
      </c>
      <c r="D139" s="448">
        <v>102.0</v>
      </c>
      <c r="E139" s="443" t="s">
        <v>2476</v>
      </c>
      <c r="F139" s="100"/>
      <c r="G139" s="427"/>
      <c r="H139" s="32"/>
      <c r="I139" s="32"/>
      <c r="J139" s="32"/>
      <c r="K139" s="32"/>
      <c r="L139" s="32"/>
      <c r="M139" s="32"/>
      <c r="N139" s="32"/>
      <c r="O139" s="32"/>
      <c r="P139" s="32"/>
      <c r="Q139" s="444">
        <v>60.0</v>
      </c>
      <c r="R139" s="32"/>
      <c r="S139" s="105" t="s">
        <v>1658</v>
      </c>
    </row>
    <row r="140">
      <c r="A140" s="100" t="s">
        <v>1090</v>
      </c>
      <c r="B140" s="427" t="s">
        <v>8</v>
      </c>
      <c r="C140" s="100" t="s">
        <v>20</v>
      </c>
      <c r="D140" s="448">
        <v>107.0</v>
      </c>
      <c r="E140" s="443" t="s">
        <v>2482</v>
      </c>
      <c r="F140" s="100" t="s">
        <v>2468</v>
      </c>
      <c r="G140" s="100" t="s">
        <v>2481</v>
      </c>
      <c r="H140" s="449"/>
      <c r="I140" s="100">
        <v>6.0</v>
      </c>
      <c r="J140" s="100">
        <v>6.0</v>
      </c>
      <c r="K140" s="450"/>
      <c r="L140" s="450"/>
      <c r="M140" s="450"/>
      <c r="N140" s="450"/>
      <c r="O140" s="450"/>
      <c r="P140" s="450"/>
      <c r="Q140" s="450"/>
      <c r="R140" s="100">
        <v>15.0</v>
      </c>
      <c r="S140" s="74" t="s">
        <v>2467</v>
      </c>
    </row>
    <row r="141">
      <c r="A141" s="100" t="s">
        <v>1126</v>
      </c>
      <c r="B141" s="427" t="s">
        <v>8</v>
      </c>
      <c r="C141" s="100" t="s">
        <v>12</v>
      </c>
      <c r="D141" s="448">
        <v>109.0</v>
      </c>
      <c r="E141" s="448" t="s">
        <v>2471</v>
      </c>
      <c r="F141" s="448" t="s">
        <v>2489</v>
      </c>
      <c r="G141" s="427" t="s">
        <v>2463</v>
      </c>
      <c r="H141" s="32"/>
      <c r="I141" s="32"/>
      <c r="J141" s="32"/>
      <c r="K141" s="32"/>
      <c r="L141" s="32"/>
      <c r="M141" s="444">
        <v>9.0</v>
      </c>
      <c r="N141" s="32"/>
      <c r="O141" s="32"/>
      <c r="P141" s="444">
        <v>6.0</v>
      </c>
      <c r="Q141" s="32"/>
      <c r="R141" s="444">
        <v>15.0</v>
      </c>
      <c r="S141" s="105" t="s">
        <v>2565</v>
      </c>
    </row>
    <row r="142">
      <c r="A142" s="100" t="s">
        <v>2566</v>
      </c>
      <c r="B142" s="427" t="s">
        <v>8</v>
      </c>
      <c r="C142" s="100" t="s">
        <v>12</v>
      </c>
      <c r="D142" s="448">
        <v>108.0</v>
      </c>
      <c r="E142" s="448" t="s">
        <v>2489</v>
      </c>
      <c r="F142" s="448" t="s">
        <v>2473</v>
      </c>
      <c r="G142" s="427" t="s">
        <v>2485</v>
      </c>
      <c r="H142" s="444">
        <v>9.0</v>
      </c>
      <c r="I142" s="444">
        <v>9.0</v>
      </c>
      <c r="J142" s="32"/>
      <c r="K142" s="32"/>
      <c r="L142" s="32"/>
      <c r="M142" s="32"/>
      <c r="N142" s="32"/>
      <c r="O142" s="32"/>
      <c r="P142" s="32"/>
      <c r="Q142" s="32"/>
      <c r="R142" s="444">
        <v>15.0</v>
      </c>
      <c r="S142" s="109" t="s">
        <v>1656</v>
      </c>
    </row>
    <row r="143">
      <c r="A143" s="100" t="s">
        <v>657</v>
      </c>
      <c r="B143" s="427" t="s">
        <v>54</v>
      </c>
      <c r="C143" s="100" t="s">
        <v>12</v>
      </c>
      <c r="D143" s="448">
        <v>102.0</v>
      </c>
      <c r="E143" s="448" t="s">
        <v>2558</v>
      </c>
      <c r="F143" s="448" t="s">
        <v>2485</v>
      </c>
      <c r="G143" s="427"/>
      <c r="H143" s="444">
        <v>9.0</v>
      </c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105" t="s">
        <v>1658</v>
      </c>
    </row>
    <row r="144">
      <c r="A144" s="100" t="s">
        <v>2567</v>
      </c>
      <c r="B144" s="427" t="s">
        <v>54</v>
      </c>
      <c r="C144" s="100" t="s">
        <v>12</v>
      </c>
      <c r="D144" s="448">
        <v>101.0</v>
      </c>
      <c r="E144" s="448" t="s">
        <v>2568</v>
      </c>
      <c r="F144" s="448" t="s">
        <v>2485</v>
      </c>
      <c r="G144" s="427"/>
      <c r="H144" s="444">
        <v>15.0</v>
      </c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105" t="s">
        <v>1658</v>
      </c>
    </row>
    <row r="145">
      <c r="A145" s="100" t="s">
        <v>1474</v>
      </c>
      <c r="B145" s="427" t="s">
        <v>96</v>
      </c>
      <c r="C145" s="100" t="s">
        <v>12</v>
      </c>
      <c r="D145" s="448">
        <v>96.0</v>
      </c>
      <c r="E145" s="448" t="s">
        <v>2485</v>
      </c>
      <c r="F145" s="448"/>
      <c r="G145" s="427"/>
      <c r="H145" s="444">
        <v>9.0</v>
      </c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105" t="s">
        <v>2569</v>
      </c>
    </row>
    <row r="146">
      <c r="A146" s="100" t="s">
        <v>2498</v>
      </c>
      <c r="B146" s="427" t="s">
        <v>54</v>
      </c>
      <c r="C146" s="100" t="s">
        <v>12</v>
      </c>
      <c r="D146" s="448">
        <v>106.0</v>
      </c>
      <c r="E146" s="448" t="s">
        <v>2489</v>
      </c>
      <c r="F146" s="448" t="s">
        <v>2481</v>
      </c>
      <c r="G146" s="100"/>
      <c r="H146" s="449"/>
      <c r="I146" s="450"/>
      <c r="J146" s="100">
        <v>6.0</v>
      </c>
      <c r="K146" s="450"/>
      <c r="L146" s="450"/>
      <c r="M146" s="450"/>
      <c r="N146" s="450"/>
      <c r="O146" s="450"/>
      <c r="P146" s="450"/>
      <c r="Q146" s="450"/>
      <c r="R146" s="100">
        <v>15.0</v>
      </c>
      <c r="S146" s="74" t="s">
        <v>2470</v>
      </c>
    </row>
    <row r="147">
      <c r="A147" s="427" t="s">
        <v>1690</v>
      </c>
      <c r="B147" s="427" t="s">
        <v>8</v>
      </c>
      <c r="C147" s="427" t="s">
        <v>12</v>
      </c>
      <c r="D147" s="443">
        <v>109.0</v>
      </c>
      <c r="E147" s="443" t="s">
        <v>2489</v>
      </c>
      <c r="F147" s="443" t="s">
        <v>2473</v>
      </c>
      <c r="G147" s="427" t="s">
        <v>2477</v>
      </c>
      <c r="H147" s="32"/>
      <c r="I147" s="444">
        <v>9.0</v>
      </c>
      <c r="J147" s="32"/>
      <c r="K147" s="444">
        <v>9.0</v>
      </c>
      <c r="L147" s="32"/>
      <c r="M147" s="32"/>
      <c r="N147" s="32"/>
      <c r="O147" s="444"/>
      <c r="P147" s="32"/>
      <c r="Q147" s="32"/>
      <c r="R147" s="444">
        <v>15.0</v>
      </c>
      <c r="S147" s="109" t="s">
        <v>2499</v>
      </c>
    </row>
    <row r="148">
      <c r="A148" s="427" t="s">
        <v>2500</v>
      </c>
      <c r="B148" s="427" t="s">
        <v>8</v>
      </c>
      <c r="C148" s="427" t="s">
        <v>40</v>
      </c>
      <c r="D148" s="443">
        <v>109.0</v>
      </c>
      <c r="E148" s="443" t="s">
        <v>2501</v>
      </c>
      <c r="F148" s="443" t="s">
        <v>2483</v>
      </c>
      <c r="G148" s="427" t="s">
        <v>2463</v>
      </c>
      <c r="H148" s="32"/>
      <c r="I148" s="444"/>
      <c r="J148" s="32"/>
      <c r="K148" s="32"/>
      <c r="L148" s="444">
        <v>9.0</v>
      </c>
      <c r="M148" s="444">
        <v>9.0</v>
      </c>
      <c r="N148" s="32"/>
      <c r="O148" s="444"/>
      <c r="P148" s="32"/>
      <c r="Q148" s="32"/>
      <c r="R148" s="444">
        <v>15.0</v>
      </c>
      <c r="S148" s="109" t="s">
        <v>2502</v>
      </c>
    </row>
    <row r="149">
      <c r="A149" s="100" t="s">
        <v>1077</v>
      </c>
      <c r="B149" s="427" t="s">
        <v>8</v>
      </c>
      <c r="C149" s="100" t="s">
        <v>40</v>
      </c>
      <c r="D149" s="448">
        <v>109.0</v>
      </c>
      <c r="E149" s="448" t="s">
        <v>2501</v>
      </c>
      <c r="F149" s="448" t="s">
        <v>2490</v>
      </c>
      <c r="G149" s="427" t="s">
        <v>2462</v>
      </c>
      <c r="H149" s="32"/>
      <c r="I149" s="32"/>
      <c r="J149" s="444">
        <v>9.0</v>
      </c>
      <c r="K149" s="32"/>
      <c r="L149" s="32"/>
      <c r="M149" s="32"/>
      <c r="N149" s="32"/>
      <c r="O149" s="32"/>
      <c r="P149" s="32"/>
      <c r="Q149" s="444">
        <v>60.0</v>
      </c>
      <c r="R149" s="444">
        <v>15.0</v>
      </c>
      <c r="S149" s="105" t="s">
        <v>2063</v>
      </c>
    </row>
    <row r="150">
      <c r="A150" s="100" t="s">
        <v>2570</v>
      </c>
      <c r="B150" s="427" t="s">
        <v>8</v>
      </c>
      <c r="C150" s="100" t="s">
        <v>40</v>
      </c>
      <c r="D150" s="448">
        <v>107.0</v>
      </c>
      <c r="E150" s="448" t="s">
        <v>2501</v>
      </c>
      <c r="F150" s="448" t="s">
        <v>2477</v>
      </c>
      <c r="G150" s="427" t="s">
        <v>2486</v>
      </c>
      <c r="H150" s="32"/>
      <c r="I150" s="32"/>
      <c r="J150" s="32"/>
      <c r="K150" s="444">
        <v>9.0</v>
      </c>
      <c r="L150" s="32"/>
      <c r="M150" s="32"/>
      <c r="N150" s="32"/>
      <c r="O150" s="444">
        <v>6.0</v>
      </c>
      <c r="P150" s="32"/>
      <c r="Q150" s="32"/>
      <c r="R150" s="444">
        <v>15.0</v>
      </c>
      <c r="S150" s="105" t="s">
        <v>2548</v>
      </c>
    </row>
    <row r="151">
      <c r="A151" s="100" t="s">
        <v>1060</v>
      </c>
      <c r="B151" s="427" t="s">
        <v>54</v>
      </c>
      <c r="C151" s="100" t="s">
        <v>40</v>
      </c>
      <c r="D151" s="448">
        <v>102.0</v>
      </c>
      <c r="E151" s="448" t="s">
        <v>2501</v>
      </c>
      <c r="F151" s="448" t="s">
        <v>2477</v>
      </c>
      <c r="G151" s="427"/>
      <c r="H151" s="32"/>
      <c r="I151" s="32"/>
      <c r="J151" s="32"/>
      <c r="K151" s="444">
        <v>9.0</v>
      </c>
      <c r="L151" s="32"/>
      <c r="M151" s="32"/>
      <c r="N151" s="32"/>
      <c r="O151" s="32"/>
      <c r="P151" s="32"/>
      <c r="Q151" s="32"/>
      <c r="R151" s="444">
        <v>15.0</v>
      </c>
      <c r="S151" s="105" t="s">
        <v>1658</v>
      </c>
    </row>
    <row r="152">
      <c r="A152" s="100" t="s">
        <v>2571</v>
      </c>
      <c r="B152" s="427" t="s">
        <v>96</v>
      </c>
      <c r="C152" s="100" t="s">
        <v>40</v>
      </c>
      <c r="D152" s="448">
        <v>97.0</v>
      </c>
      <c r="E152" s="448" t="s">
        <v>2477</v>
      </c>
      <c r="F152" s="448"/>
      <c r="G152" s="427"/>
      <c r="H152" s="32"/>
      <c r="I152" s="32"/>
      <c r="J152" s="32"/>
      <c r="K152" s="444">
        <v>9.0</v>
      </c>
      <c r="L152" s="32"/>
      <c r="M152" s="32"/>
      <c r="N152" s="32"/>
      <c r="O152" s="32"/>
      <c r="P152" s="32"/>
      <c r="Q152" s="32"/>
      <c r="R152" s="32"/>
      <c r="S152" s="152" t="s">
        <v>1658</v>
      </c>
    </row>
    <row r="153">
      <c r="A153" s="80"/>
      <c r="B153" s="80"/>
      <c r="C153" s="80"/>
      <c r="D153" s="80"/>
      <c r="E153" s="80"/>
      <c r="F153" s="80"/>
      <c r="G153" s="80"/>
      <c r="H153" s="80"/>
    </row>
    <row r="154">
      <c r="A154" s="80"/>
      <c r="B154" s="80"/>
      <c r="C154" s="80"/>
      <c r="D154" s="80"/>
      <c r="E154" s="80"/>
      <c r="F154" s="80"/>
      <c r="G154" s="80"/>
      <c r="H154" s="80"/>
    </row>
    <row r="155">
      <c r="A155" s="80"/>
      <c r="B155" s="80"/>
      <c r="C155" s="80"/>
      <c r="D155" s="80"/>
      <c r="E155" s="80"/>
      <c r="F155" s="80"/>
      <c r="G155" s="80"/>
      <c r="H155" s="80"/>
    </row>
    <row r="156">
      <c r="A156" s="104"/>
      <c r="B156" s="104"/>
      <c r="C156" s="104"/>
      <c r="D156" s="104"/>
      <c r="E156" s="80"/>
      <c r="F156" s="80"/>
      <c r="G156" s="80"/>
      <c r="H156" s="104"/>
    </row>
    <row r="157">
      <c r="A157" s="104"/>
      <c r="B157" s="80"/>
      <c r="C157" s="80"/>
      <c r="D157" s="80"/>
      <c r="E157" s="80"/>
      <c r="F157" s="80"/>
      <c r="G157" s="80"/>
      <c r="H157" s="80"/>
    </row>
    <row r="158">
      <c r="C158" s="522" t="s">
        <v>2509</v>
      </c>
      <c r="D158" s="523"/>
      <c r="E158" s="524" t="s">
        <v>2510</v>
      </c>
      <c r="F158" s="524" t="s">
        <v>2511</v>
      </c>
      <c r="G158" s="524" t="str">
        <f>D119</f>
        <v>Main AFFCT</v>
      </c>
      <c r="H158" s="525" t="s">
        <v>1140</v>
      </c>
      <c r="I158" s="525" t="s">
        <v>1188</v>
      </c>
      <c r="J158" s="525" t="s">
        <v>1237</v>
      </c>
      <c r="K158" s="525" t="s">
        <v>1266</v>
      </c>
      <c r="L158" s="525" t="s">
        <v>2453</v>
      </c>
      <c r="M158" s="525" t="s">
        <v>2454</v>
      </c>
      <c r="N158" s="525" t="s">
        <v>2455</v>
      </c>
      <c r="O158" s="525" t="s">
        <v>2456</v>
      </c>
      <c r="P158" s="525" t="s">
        <v>2457</v>
      </c>
      <c r="Q158" s="525" t="s">
        <v>2458</v>
      </c>
      <c r="R158" s="522" t="s">
        <v>2512</v>
      </c>
      <c r="S158" s="526"/>
      <c r="U158" s="31"/>
      <c r="V158" s="54" t="s">
        <v>2513</v>
      </c>
      <c r="W158" s="54" t="s">
        <v>2514</v>
      </c>
    </row>
    <row r="159">
      <c r="C159" s="456" t="str">
        <f>A121</f>
        <v>Book of Five Rings</v>
      </c>
      <c r="D159" s="457"/>
      <c r="E159" s="458" t="s">
        <v>9</v>
      </c>
      <c r="F159" s="458" t="s">
        <v>1288</v>
      </c>
      <c r="G159" s="459">
        <f t="shared" ref="G159:G163" si="41">VLOOKUP($C159,$A$121:$R$152,4,FALSE)+VLOOKUP($C159,$A$121:$R$152,18,FALSE)</f>
        <v>124</v>
      </c>
      <c r="H159" s="460">
        <f>VLOOKUP($C159,$A$121:$R$152,8,FALSE)+VLOOKUP($G159,$Y$2:$AA$50,2)</f>
        <v>1.5</v>
      </c>
      <c r="I159" s="460">
        <f>VLOOKUP($C159,$A$121:$R$152,9,FALSE)+VLOOKUP($G159,$Y$2:$AA$50,2)</f>
        <v>10.5</v>
      </c>
      <c r="J159" s="460">
        <f>VLOOKUP($C159,$A$121:$R$152,10,FALSE)+VLOOKUP($G159,$Y$2:$AA$50,2)</f>
        <v>1.5</v>
      </c>
      <c r="K159" s="460">
        <f>VLOOKUP($C159,$A$121:$R$152,11,FALSE)+VLOOKUP($G159,$Y$2:$AA$50,2)</f>
        <v>1.5</v>
      </c>
      <c r="L159" s="460" t="str">
        <f t="shared" ref="L159:L163" si="42">VLOOKUP($C159,$A$121:$R$152,12,FALSE)</f>
        <v/>
      </c>
      <c r="M159" s="460" t="str">
        <f t="shared" ref="M159:M163" si="43">VLOOKUP($C159,$A$121:$R$152,13,FALSE)</f>
        <v/>
      </c>
      <c r="N159" s="460" t="str">
        <f t="shared" ref="N159:N163" si="44">VLOOKUP($C159,$A$121:$R$152,14,FALSE)</f>
        <v/>
      </c>
      <c r="O159" s="460" t="str">
        <f t="shared" ref="O159:O163" si="45">VLOOKUP($C159,$A$121:$R$152,15,FALSE)</f>
        <v/>
      </c>
      <c r="P159" s="460" t="str">
        <f t="shared" ref="P159:P163" si="46">VLOOKUP($C159,$A$121:$R$152,16,FALSE)</f>
        <v/>
      </c>
      <c r="Q159" s="460">
        <f t="shared" ref="Q159:Q163" si="47">VLOOKUP($C159,$A$121:$R$152,17,FALSE)</f>
        <v>60</v>
      </c>
      <c r="R159" s="461" t="str">
        <f>A124</f>
        <v>The Prince</v>
      </c>
      <c r="S159" s="462"/>
      <c r="U159" s="54" t="s">
        <v>2515</v>
      </c>
      <c r="V159" s="31"/>
      <c r="W159" s="31"/>
    </row>
    <row r="160">
      <c r="C160" s="527" t="str">
        <f>A132</f>
        <v>Woman at Her Toilette</v>
      </c>
      <c r="D160" s="528"/>
      <c r="E160" s="529" t="s">
        <v>16</v>
      </c>
      <c r="F160" s="529" t="s">
        <v>1140</v>
      </c>
      <c r="G160" s="530">
        <f t="shared" si="41"/>
        <v>124</v>
      </c>
      <c r="H160" s="531">
        <f>VLOOKUP($C160,$A$121:$R$152,8,FALSE)+VLOOKUP($G160,$Y$2:$AA$50,3)</f>
        <v>6.2</v>
      </c>
      <c r="I160" s="531">
        <f t="shared" ref="I160:I161" si="48">VLOOKUP($C160,$A$121:$R$152,9,FALSE)</f>
        <v>6</v>
      </c>
      <c r="J160" s="531">
        <f>VLOOKUP($C160,$A$121:$R$152,10,FALSE)</f>
        <v>6</v>
      </c>
      <c r="K160" s="531" t="str">
        <f t="shared" ref="K160:K162" si="49">VLOOKUP($C160,$A$121:$R$152,11,FALSE)</f>
        <v/>
      </c>
      <c r="L160" s="531" t="str">
        <f t="shared" si="42"/>
        <v/>
      </c>
      <c r="M160" s="531" t="str">
        <f t="shared" si="43"/>
        <v/>
      </c>
      <c r="N160" s="531" t="str">
        <f t="shared" si="44"/>
        <v/>
      </c>
      <c r="O160" s="531" t="str">
        <f t="shared" si="45"/>
        <v/>
      </c>
      <c r="P160" s="531" t="str">
        <f t="shared" si="46"/>
        <v/>
      </c>
      <c r="Q160" s="531" t="str">
        <f t="shared" si="47"/>
        <v/>
      </c>
      <c r="R160" s="532" t="str">
        <f>A128</f>
        <v>Veiled Lady</v>
      </c>
      <c r="S160" s="533"/>
      <c r="U160" s="54" t="s">
        <v>1188</v>
      </c>
      <c r="V160" s="31">
        <f>$Z$66*(1+I164/100)</f>
        <v>1257399</v>
      </c>
      <c r="W160" s="31">
        <f>((V160-$Z$73)*(V162+P164/100)*((V163/100)*V164 + (1-V163/100)*1)) + LOG(V160,5)*Q164*(V162+P164/100)</f>
        <v>636889.0974</v>
      </c>
    </row>
    <row r="161">
      <c r="C161" s="456" t="str">
        <f t="shared" ref="C161:C162" si="50">A140</f>
        <v>Enuma Elish</v>
      </c>
      <c r="D161" s="457"/>
      <c r="E161" s="458" t="s">
        <v>20</v>
      </c>
      <c r="F161" s="458" t="s">
        <v>1237</v>
      </c>
      <c r="G161" s="459">
        <f t="shared" si="41"/>
        <v>122</v>
      </c>
      <c r="H161" s="460" t="str">
        <f t="shared" ref="H161:H163" si="51">VLOOKUP($C161,$A$121:$R$152,8,FALSE)</f>
        <v/>
      </c>
      <c r="I161" s="460">
        <f t="shared" si="48"/>
        <v>6</v>
      </c>
      <c r="J161" s="460">
        <f>VLOOKUP($C161,$A$121:$R$152,10,FALSE)+VLOOKUP(G161,$Y$2:$AA$50,3)</f>
        <v>12.1</v>
      </c>
      <c r="K161" s="460" t="str">
        <f t="shared" si="49"/>
        <v/>
      </c>
      <c r="L161" s="460" t="str">
        <f t="shared" si="42"/>
        <v/>
      </c>
      <c r="M161" s="460" t="str">
        <f t="shared" si="43"/>
        <v/>
      </c>
      <c r="N161" s="460" t="str">
        <f t="shared" si="44"/>
        <v/>
      </c>
      <c r="O161" s="460" t="str">
        <f t="shared" si="45"/>
        <v/>
      </c>
      <c r="P161" s="460" t="str">
        <f t="shared" si="46"/>
        <v/>
      </c>
      <c r="Q161" s="460" t="str">
        <f t="shared" si="47"/>
        <v/>
      </c>
      <c r="R161" s="470" t="str">
        <f>A137</f>
        <v>R'lyeh Text</v>
      </c>
      <c r="S161" s="462"/>
      <c r="U161" s="54" t="s">
        <v>1237</v>
      </c>
      <c r="V161" s="31">
        <f>$Z$67*(1+J164/100)</f>
        <v>1298860</v>
      </c>
      <c r="W161" s="31">
        <f>(V161-$Z$73)*(V162+P164/100)*((V163/100)*V164 + (1-V163/100)*1) + LOG(V161,5)*Q164*(V162+P164/100)</f>
        <v>690305.9334</v>
      </c>
    </row>
    <row r="162">
      <c r="C162" s="527" t="str">
        <f t="shared" si="50"/>
        <v>Aeneid</v>
      </c>
      <c r="D162" s="528"/>
      <c r="E162" s="529" t="s">
        <v>12</v>
      </c>
      <c r="F162" s="529" t="s">
        <v>1188</v>
      </c>
      <c r="G162" s="530">
        <f t="shared" si="41"/>
        <v>124</v>
      </c>
      <c r="H162" s="531" t="str">
        <f t="shared" si="51"/>
        <v/>
      </c>
      <c r="I162" s="531">
        <f>VLOOKUP($C162,$A$121:$R$152,9,FALSE)+VLOOKUP(G162,$Y$2:$AA$50,3)</f>
        <v>6.2</v>
      </c>
      <c r="J162" s="531" t="str">
        <f t="shared" ref="J162:J163" si="52">VLOOKUP($C162,$A$121:$R$152,10,FALSE)</f>
        <v/>
      </c>
      <c r="K162" s="531" t="str">
        <f t="shared" si="49"/>
        <v/>
      </c>
      <c r="L162" s="531" t="str">
        <f t="shared" si="42"/>
        <v/>
      </c>
      <c r="M162" s="531">
        <f t="shared" si="43"/>
        <v>9</v>
      </c>
      <c r="N162" s="531" t="str">
        <f t="shared" si="44"/>
        <v/>
      </c>
      <c r="O162" s="531" t="str">
        <f t="shared" si="45"/>
        <v/>
      </c>
      <c r="P162" s="531">
        <f t="shared" si="46"/>
        <v>6</v>
      </c>
      <c r="Q162" s="531" t="str">
        <f t="shared" si="47"/>
        <v/>
      </c>
      <c r="R162" s="532" t="str">
        <f>A142</f>
        <v>Epitaph of Sikelos</v>
      </c>
      <c r="S162" s="533"/>
      <c r="U162" s="54" t="s">
        <v>2516</v>
      </c>
      <c r="V162" s="31">
        <f>(1+($Z$68+N164)/100)</f>
        <v>1.13</v>
      </c>
      <c r="W162" s="31"/>
    </row>
    <row r="163">
      <c r="C163" s="456" t="str">
        <f>A149</f>
        <v>Wilford's Engine</v>
      </c>
      <c r="D163" s="457"/>
      <c r="E163" s="458" t="s">
        <v>40</v>
      </c>
      <c r="F163" s="458" t="s">
        <v>1266</v>
      </c>
      <c r="G163" s="459">
        <f t="shared" si="41"/>
        <v>124</v>
      </c>
      <c r="H163" s="460" t="str">
        <f t="shared" si="51"/>
        <v/>
      </c>
      <c r="I163" s="460" t="str">
        <f>VLOOKUP($C163,$A$121:$R$152,9,FALSE)</f>
        <v/>
      </c>
      <c r="J163" s="460">
        <f t="shared" si="52"/>
        <v>9</v>
      </c>
      <c r="K163" s="460">
        <f>VLOOKUP($C163,$A$121:$R$152,11,FALSE)+VLOOKUP(G163,$Y$2:$AA$50,3)</f>
        <v>6.2</v>
      </c>
      <c r="L163" s="460" t="str">
        <f t="shared" si="42"/>
        <v/>
      </c>
      <c r="M163" s="460" t="str">
        <f t="shared" si="43"/>
        <v/>
      </c>
      <c r="N163" s="460" t="str">
        <f t="shared" si="44"/>
        <v/>
      </c>
      <c r="O163" s="460" t="str">
        <f t="shared" si="45"/>
        <v/>
      </c>
      <c r="P163" s="460" t="str">
        <f t="shared" si="46"/>
        <v/>
      </c>
      <c r="Q163" s="460">
        <f t="shared" si="47"/>
        <v>60</v>
      </c>
      <c r="R163" s="461" t="s">
        <v>1345</v>
      </c>
      <c r="S163" s="462"/>
      <c r="U163" s="54" t="s">
        <v>2517</v>
      </c>
      <c r="V163" s="31">
        <f>$Z$69+L164</f>
        <v>14</v>
      </c>
      <c r="W163" s="31"/>
    </row>
    <row r="164">
      <c r="C164" s="534" t="s">
        <v>2518</v>
      </c>
      <c r="D164" s="528"/>
      <c r="E164" s="535"/>
      <c r="F164" s="535"/>
      <c r="G164" s="536"/>
      <c r="H164" s="537">
        <f t="shared" ref="H164:Q164" si="53">sum(H159:H163)</f>
        <v>7.7</v>
      </c>
      <c r="I164" s="537">
        <f t="shared" si="53"/>
        <v>28.7</v>
      </c>
      <c r="J164" s="537">
        <f t="shared" si="53"/>
        <v>28.6</v>
      </c>
      <c r="K164" s="537">
        <f t="shared" si="53"/>
        <v>7.7</v>
      </c>
      <c r="L164" s="537">
        <f t="shared" si="53"/>
        <v>0</v>
      </c>
      <c r="M164" s="537">
        <f t="shared" si="53"/>
        <v>9</v>
      </c>
      <c r="N164" s="537">
        <f t="shared" si="53"/>
        <v>0</v>
      </c>
      <c r="O164" s="537">
        <f t="shared" si="53"/>
        <v>0</v>
      </c>
      <c r="P164" s="537">
        <f t="shared" si="53"/>
        <v>6</v>
      </c>
      <c r="Q164" s="537">
        <f t="shared" si="53"/>
        <v>120</v>
      </c>
      <c r="R164" s="532"/>
      <c r="S164" s="533"/>
      <c r="U164" s="54" t="s">
        <v>2519</v>
      </c>
      <c r="V164" s="31">
        <f>1.5+($Z$70+M164)/100</f>
        <v>1.59</v>
      </c>
      <c r="W164" s="31"/>
    </row>
    <row r="165">
      <c r="C165" s="475" t="s">
        <v>2520</v>
      </c>
      <c r="D165" s="457"/>
      <c r="E165" s="476">
        <f>W160+W161</f>
        <v>1327195.031</v>
      </c>
      <c r="F165" s="477"/>
      <c r="G165" s="478"/>
      <c r="H165" s="479"/>
      <c r="I165" s="479"/>
      <c r="J165" s="479"/>
      <c r="K165" s="479"/>
      <c r="L165" s="479"/>
      <c r="M165" s="479"/>
      <c r="N165" s="479"/>
      <c r="O165" s="479"/>
      <c r="P165" s="479"/>
      <c r="Q165" s="479"/>
      <c r="R165" s="479"/>
      <c r="S165" s="479"/>
    </row>
    <row r="169">
      <c r="A169" s="424" t="s">
        <v>1793</v>
      </c>
      <c r="B169" s="89"/>
      <c r="C169" s="89"/>
      <c r="D169" s="435" t="s">
        <v>537</v>
      </c>
      <c r="E169" s="435" t="s">
        <v>2450</v>
      </c>
      <c r="F169" s="435" t="s">
        <v>2451</v>
      </c>
      <c r="G169" s="435" t="s">
        <v>2452</v>
      </c>
      <c r="H169" s="436" t="s">
        <v>1140</v>
      </c>
      <c r="I169" s="436" t="s">
        <v>1188</v>
      </c>
      <c r="J169" s="436" t="s">
        <v>1237</v>
      </c>
      <c r="K169" s="436" t="s">
        <v>1266</v>
      </c>
      <c r="L169" s="436" t="s">
        <v>2453</v>
      </c>
      <c r="M169" s="436" t="s">
        <v>2454</v>
      </c>
      <c r="N169" s="436" t="s">
        <v>2455</v>
      </c>
      <c r="O169" s="436" t="s">
        <v>2456</v>
      </c>
      <c r="P169" s="436" t="s">
        <v>2457</v>
      </c>
      <c r="Q169" s="436" t="s">
        <v>2458</v>
      </c>
      <c r="R169" s="436" t="s">
        <v>536</v>
      </c>
      <c r="S169" s="437" t="s">
        <v>5</v>
      </c>
    </row>
    <row r="170">
      <c r="A170" s="70" t="s">
        <v>6</v>
      </c>
      <c r="B170" s="71"/>
      <c r="C170" s="71"/>
      <c r="D170" s="71"/>
      <c r="E170" s="71"/>
      <c r="F170" s="71"/>
      <c r="G170" s="71"/>
      <c r="S170" s="72"/>
    </row>
    <row r="171">
      <c r="A171" s="427" t="s">
        <v>2572</v>
      </c>
      <c r="B171" s="427" t="s">
        <v>8</v>
      </c>
      <c r="C171" s="427" t="s">
        <v>9</v>
      </c>
      <c r="D171" s="443">
        <v>111.0</v>
      </c>
      <c r="E171" s="443" t="s">
        <v>2466</v>
      </c>
      <c r="F171" s="427" t="s">
        <v>2506</v>
      </c>
      <c r="G171" s="427" t="s">
        <v>2473</v>
      </c>
      <c r="H171" s="32"/>
      <c r="I171" s="444">
        <v>9.0</v>
      </c>
      <c r="J171" s="32"/>
      <c r="K171" s="32"/>
      <c r="L171" s="32"/>
      <c r="M171" s="32"/>
      <c r="N171" s="32"/>
      <c r="O171" s="32"/>
      <c r="P171" s="32"/>
      <c r="Q171" s="444">
        <v>60.0</v>
      </c>
      <c r="R171" s="444">
        <v>15.0</v>
      </c>
      <c r="S171" s="74" t="s">
        <v>2467</v>
      </c>
    </row>
    <row r="172">
      <c r="A172" s="427" t="s">
        <v>2573</v>
      </c>
      <c r="B172" s="427" t="s">
        <v>8</v>
      </c>
      <c r="C172" s="427" t="s">
        <v>9</v>
      </c>
      <c r="D172" s="443">
        <v>106.0</v>
      </c>
      <c r="E172" s="443" t="s">
        <v>2477</v>
      </c>
      <c r="F172" s="427" t="s">
        <v>2486</v>
      </c>
      <c r="G172" s="427" t="s">
        <v>2465</v>
      </c>
      <c r="H172" s="32"/>
      <c r="I172" s="32"/>
      <c r="J172" s="32"/>
      <c r="K172" s="444">
        <v>9.0</v>
      </c>
      <c r="L172" s="32"/>
      <c r="M172" s="32"/>
      <c r="N172" s="32"/>
      <c r="O172" s="444">
        <v>6.0</v>
      </c>
      <c r="P172" s="32"/>
      <c r="Q172" s="444">
        <v>60.0</v>
      </c>
      <c r="R172" s="32"/>
      <c r="S172" s="109" t="s">
        <v>2574</v>
      </c>
    </row>
    <row r="173">
      <c r="A173" s="102" t="s">
        <v>1345</v>
      </c>
      <c r="B173" s="429" t="s">
        <v>8</v>
      </c>
      <c r="C173" s="429" t="s">
        <v>9</v>
      </c>
      <c r="D173" s="445">
        <v>106.0</v>
      </c>
      <c r="E173" s="445" t="s">
        <v>2468</v>
      </c>
      <c r="F173" s="102" t="s">
        <v>2466</v>
      </c>
      <c r="G173" s="102" t="s">
        <v>2469</v>
      </c>
      <c r="H173" s="446"/>
      <c r="I173" s="102">
        <v>6.0</v>
      </c>
      <c r="J173" s="102"/>
      <c r="K173" s="447"/>
      <c r="L173" s="447"/>
      <c r="M173" s="102">
        <v>6.0</v>
      </c>
      <c r="N173" s="102"/>
      <c r="O173" s="447"/>
      <c r="P173" s="447"/>
      <c r="Q173" s="447"/>
      <c r="R173" s="102">
        <v>15.0</v>
      </c>
      <c r="S173" s="74" t="s">
        <v>2467</v>
      </c>
    </row>
    <row r="174">
      <c r="A174" s="100" t="s">
        <v>651</v>
      </c>
      <c r="B174" s="427" t="s">
        <v>54</v>
      </c>
      <c r="C174" s="427" t="s">
        <v>9</v>
      </c>
      <c r="D174" s="448">
        <v>104.0</v>
      </c>
      <c r="E174" s="448" t="s">
        <v>2466</v>
      </c>
      <c r="F174" s="448" t="s">
        <v>2468</v>
      </c>
      <c r="G174" s="100"/>
      <c r="H174" s="449"/>
      <c r="I174" s="100">
        <v>6.0</v>
      </c>
      <c r="J174" s="100"/>
      <c r="K174" s="450"/>
      <c r="L174" s="450"/>
      <c r="M174" s="450"/>
      <c r="N174" s="450"/>
      <c r="O174" s="450"/>
      <c r="P174" s="450"/>
      <c r="Q174" s="450"/>
      <c r="R174" s="100">
        <v>15.0</v>
      </c>
      <c r="S174" s="74" t="s">
        <v>2470</v>
      </c>
    </row>
    <row r="175">
      <c r="A175" s="427" t="s">
        <v>2575</v>
      </c>
      <c r="B175" s="427" t="s">
        <v>8</v>
      </c>
      <c r="C175" s="427" t="s">
        <v>16</v>
      </c>
      <c r="D175" s="443">
        <v>109.0</v>
      </c>
      <c r="E175" s="443" t="s">
        <v>2463</v>
      </c>
      <c r="F175" s="427" t="s">
        <v>2476</v>
      </c>
      <c r="G175" s="427" t="s">
        <v>2471</v>
      </c>
      <c r="H175" s="32"/>
      <c r="I175" s="32"/>
      <c r="J175" s="32"/>
      <c r="K175" s="32"/>
      <c r="L175" s="32"/>
      <c r="M175" s="444">
        <v>9.0</v>
      </c>
      <c r="N175" s="32"/>
      <c r="O175" s="32"/>
      <c r="P175" s="444">
        <v>6.0</v>
      </c>
      <c r="Q175" s="444">
        <v>60.0</v>
      </c>
      <c r="R175" s="32"/>
      <c r="S175" s="105" t="s">
        <v>2576</v>
      </c>
    </row>
    <row r="176">
      <c r="A176" s="427" t="s">
        <v>1670</v>
      </c>
      <c r="B176" s="427" t="s">
        <v>8</v>
      </c>
      <c r="C176" s="427" t="s">
        <v>16</v>
      </c>
      <c r="D176" s="443">
        <v>107.0</v>
      </c>
      <c r="E176" s="443" t="s">
        <v>2506</v>
      </c>
      <c r="F176" s="427" t="s">
        <v>2485</v>
      </c>
      <c r="G176" s="427" t="s">
        <v>2577</v>
      </c>
      <c r="H176" s="444">
        <v>9.0</v>
      </c>
      <c r="I176" s="32"/>
      <c r="J176" s="32"/>
      <c r="K176" s="32"/>
      <c r="L176" s="32"/>
      <c r="M176" s="32"/>
      <c r="N176" s="32"/>
      <c r="O176" s="32"/>
      <c r="P176" s="32"/>
      <c r="Q176" s="444">
        <v>120.0</v>
      </c>
      <c r="R176" s="32"/>
      <c r="S176" s="109" t="s">
        <v>2578</v>
      </c>
    </row>
    <row r="177">
      <c r="A177" s="427" t="s">
        <v>1659</v>
      </c>
      <c r="B177" s="427" t="s">
        <v>8</v>
      </c>
      <c r="C177" s="427" t="s">
        <v>16</v>
      </c>
      <c r="D177" s="443">
        <v>109.0</v>
      </c>
      <c r="E177" s="443" t="s">
        <v>2468</v>
      </c>
      <c r="F177" s="427" t="s">
        <v>2481</v>
      </c>
      <c r="G177" s="427" t="s">
        <v>2479</v>
      </c>
      <c r="H177" s="32"/>
      <c r="I177" s="444">
        <v>6.0</v>
      </c>
      <c r="J177" s="444">
        <v>6.0</v>
      </c>
      <c r="K177" s="444"/>
      <c r="L177" s="444"/>
      <c r="M177" s="32"/>
      <c r="N177" s="32"/>
      <c r="O177" s="32"/>
      <c r="P177" s="32"/>
      <c r="Q177" s="32"/>
      <c r="R177" s="444">
        <v>15.0</v>
      </c>
      <c r="S177" s="74" t="s">
        <v>1660</v>
      </c>
    </row>
    <row r="178">
      <c r="A178" s="100" t="s">
        <v>1663</v>
      </c>
      <c r="B178" s="427" t="s">
        <v>8</v>
      </c>
      <c r="C178" s="427" t="s">
        <v>16</v>
      </c>
      <c r="D178" s="448">
        <v>106.0</v>
      </c>
      <c r="E178" s="448" t="s">
        <v>2478</v>
      </c>
      <c r="F178" s="100" t="s">
        <v>2479</v>
      </c>
      <c r="G178" s="100" t="s">
        <v>2472</v>
      </c>
      <c r="H178" s="449"/>
      <c r="I178" s="450"/>
      <c r="J178" s="450"/>
      <c r="K178" s="100">
        <v>6.0</v>
      </c>
      <c r="L178" s="450"/>
      <c r="M178" s="450"/>
      <c r="N178" s="450"/>
      <c r="O178" s="450"/>
      <c r="P178" s="450"/>
      <c r="Q178" s="100">
        <v>30.0</v>
      </c>
      <c r="R178" s="100">
        <v>15.0</v>
      </c>
      <c r="S178" s="74" t="s">
        <v>2480</v>
      </c>
    </row>
    <row r="179">
      <c r="A179" s="427" t="s">
        <v>2579</v>
      </c>
      <c r="B179" s="427" t="s">
        <v>8</v>
      </c>
      <c r="C179" s="427" t="s">
        <v>20</v>
      </c>
      <c r="D179" s="443">
        <v>107.0</v>
      </c>
      <c r="E179" s="443" t="s">
        <v>2473</v>
      </c>
      <c r="F179" s="427" t="s">
        <v>2462</v>
      </c>
      <c r="G179" s="427" t="s">
        <v>2482</v>
      </c>
      <c r="H179" s="32"/>
      <c r="I179" s="444">
        <v>9.0</v>
      </c>
      <c r="J179" s="444">
        <v>9.0</v>
      </c>
      <c r="K179" s="444"/>
      <c r="L179" s="32"/>
      <c r="M179" s="32"/>
      <c r="N179" s="32"/>
      <c r="O179" s="32"/>
      <c r="P179" s="32"/>
      <c r="Q179" s="32"/>
      <c r="R179" s="444">
        <v>15.0</v>
      </c>
      <c r="S179" s="105" t="s">
        <v>2580</v>
      </c>
    </row>
    <row r="180">
      <c r="A180" s="427" t="s">
        <v>1292</v>
      </c>
      <c r="B180" s="427" t="s">
        <v>8</v>
      </c>
      <c r="C180" s="427" t="s">
        <v>20</v>
      </c>
      <c r="D180" s="443">
        <v>107.0</v>
      </c>
      <c r="E180" s="443" t="s">
        <v>2482</v>
      </c>
      <c r="F180" s="427" t="s">
        <v>2486</v>
      </c>
      <c r="G180" s="427" t="s">
        <v>2477</v>
      </c>
      <c r="H180" s="32"/>
      <c r="I180" s="32"/>
      <c r="J180" s="32"/>
      <c r="K180" s="444">
        <v>9.0</v>
      </c>
      <c r="L180" s="32"/>
      <c r="M180" s="32"/>
      <c r="N180" s="32"/>
      <c r="O180" s="444">
        <v>6.0</v>
      </c>
      <c r="P180" s="32"/>
      <c r="Q180" s="444"/>
      <c r="R180" s="444">
        <v>15.0</v>
      </c>
      <c r="S180" s="105" t="s">
        <v>2581</v>
      </c>
    </row>
    <row r="181">
      <c r="A181" s="100" t="s">
        <v>1090</v>
      </c>
      <c r="B181" s="427" t="s">
        <v>8</v>
      </c>
      <c r="C181" s="100" t="s">
        <v>20</v>
      </c>
      <c r="D181" s="448">
        <v>107.0</v>
      </c>
      <c r="E181" s="443" t="s">
        <v>2482</v>
      </c>
      <c r="F181" s="100" t="s">
        <v>2468</v>
      </c>
      <c r="G181" s="100" t="s">
        <v>2481</v>
      </c>
      <c r="H181" s="449"/>
      <c r="I181" s="100">
        <v>6.0</v>
      </c>
      <c r="J181" s="100">
        <v>6.0</v>
      </c>
      <c r="K181" s="450"/>
      <c r="L181" s="450"/>
      <c r="M181" s="450"/>
      <c r="N181" s="450"/>
      <c r="O181" s="450"/>
      <c r="P181" s="450"/>
      <c r="Q181" s="450"/>
      <c r="R181" s="100">
        <v>15.0</v>
      </c>
      <c r="S181" s="74" t="s">
        <v>2467</v>
      </c>
    </row>
    <row r="182">
      <c r="A182" s="427" t="s">
        <v>2582</v>
      </c>
      <c r="B182" s="427" t="s">
        <v>8</v>
      </c>
      <c r="C182" s="427" t="s">
        <v>12</v>
      </c>
      <c r="D182" s="443">
        <v>108.0</v>
      </c>
      <c r="E182" s="443" t="s">
        <v>2489</v>
      </c>
      <c r="F182" s="443" t="s">
        <v>2473</v>
      </c>
      <c r="G182" s="427" t="s">
        <v>2471</v>
      </c>
      <c r="H182" s="32"/>
      <c r="I182" s="444">
        <v>9.0</v>
      </c>
      <c r="J182" s="444"/>
      <c r="K182" s="32"/>
      <c r="L182" s="444"/>
      <c r="M182" s="32"/>
      <c r="N182" s="32"/>
      <c r="O182" s="32"/>
      <c r="P182" s="444">
        <v>6.0</v>
      </c>
      <c r="Q182" s="444">
        <v>60.0</v>
      </c>
      <c r="R182" s="444">
        <v>15.0</v>
      </c>
      <c r="S182" s="105" t="s">
        <v>2583</v>
      </c>
    </row>
    <row r="183">
      <c r="A183" s="427" t="s">
        <v>1197</v>
      </c>
      <c r="B183" s="427" t="s">
        <v>8</v>
      </c>
      <c r="C183" s="427" t="s">
        <v>12</v>
      </c>
      <c r="D183" s="443">
        <v>109.0</v>
      </c>
      <c r="E183" s="443" t="s">
        <v>2465</v>
      </c>
      <c r="F183" s="443" t="s">
        <v>2462</v>
      </c>
      <c r="G183" s="427" t="s">
        <v>2483</v>
      </c>
      <c r="H183" s="32"/>
      <c r="I183" s="32"/>
      <c r="J183" s="444">
        <v>9.0</v>
      </c>
      <c r="K183" s="32"/>
      <c r="L183" s="444">
        <v>9.0</v>
      </c>
      <c r="M183" s="32"/>
      <c r="N183" s="32"/>
      <c r="O183" s="32"/>
      <c r="P183" s="32"/>
      <c r="Q183" s="444">
        <v>60.0</v>
      </c>
      <c r="R183" s="32"/>
      <c r="S183" s="105" t="s">
        <v>2584</v>
      </c>
    </row>
    <row r="184">
      <c r="A184" s="427" t="s">
        <v>2585</v>
      </c>
      <c r="B184" s="427" t="s">
        <v>8</v>
      </c>
      <c r="C184" s="427" t="s">
        <v>12</v>
      </c>
      <c r="D184" s="443">
        <v>108.0</v>
      </c>
      <c r="E184" s="443" t="s">
        <v>2489</v>
      </c>
      <c r="F184" s="443" t="s">
        <v>2490</v>
      </c>
      <c r="G184" s="427" t="s">
        <v>2473</v>
      </c>
      <c r="H184" s="32"/>
      <c r="I184" s="444">
        <v>9.0</v>
      </c>
      <c r="J184" s="32"/>
      <c r="K184" s="32"/>
      <c r="L184" s="32"/>
      <c r="M184" s="32"/>
      <c r="N184" s="32"/>
      <c r="O184" s="32"/>
      <c r="P184" s="32"/>
      <c r="Q184" s="444">
        <v>60.0</v>
      </c>
      <c r="R184" s="444">
        <v>15.0</v>
      </c>
      <c r="S184" s="105" t="s">
        <v>2464</v>
      </c>
    </row>
    <row r="185">
      <c r="A185" s="427" t="s">
        <v>2586</v>
      </c>
      <c r="B185" s="427" t="s">
        <v>54</v>
      </c>
      <c r="C185" s="427" t="s">
        <v>12</v>
      </c>
      <c r="D185" s="443">
        <v>105.0</v>
      </c>
      <c r="E185" s="443" t="s">
        <v>2506</v>
      </c>
      <c r="F185" s="443" t="s">
        <v>2473</v>
      </c>
      <c r="G185" s="427"/>
      <c r="H185" s="32"/>
      <c r="I185" s="444">
        <v>9.0</v>
      </c>
      <c r="J185" s="32"/>
      <c r="K185" s="32"/>
      <c r="L185" s="32"/>
      <c r="M185" s="32"/>
      <c r="N185" s="32"/>
      <c r="O185" s="32"/>
      <c r="P185" s="32"/>
      <c r="Q185" s="444">
        <v>60.0</v>
      </c>
      <c r="R185" s="32"/>
      <c r="S185" s="105" t="s">
        <v>2587</v>
      </c>
    </row>
    <row r="186">
      <c r="A186" s="100" t="s">
        <v>2498</v>
      </c>
      <c r="B186" s="427" t="s">
        <v>54</v>
      </c>
      <c r="C186" s="100" t="s">
        <v>12</v>
      </c>
      <c r="D186" s="448">
        <v>106.0</v>
      </c>
      <c r="E186" s="448" t="s">
        <v>2489</v>
      </c>
      <c r="F186" s="448" t="s">
        <v>2481</v>
      </c>
      <c r="G186" s="100"/>
      <c r="H186" s="449"/>
      <c r="I186" s="450"/>
      <c r="J186" s="100">
        <v>6.0</v>
      </c>
      <c r="K186" s="450"/>
      <c r="L186" s="450"/>
      <c r="M186" s="450"/>
      <c r="N186" s="450"/>
      <c r="O186" s="450"/>
      <c r="P186" s="450"/>
      <c r="Q186" s="450"/>
      <c r="R186" s="100">
        <v>15.0</v>
      </c>
      <c r="S186" s="74" t="s">
        <v>2470</v>
      </c>
    </row>
    <row r="187">
      <c r="A187" s="427" t="s">
        <v>1690</v>
      </c>
      <c r="B187" s="427" t="s">
        <v>8</v>
      </c>
      <c r="C187" s="427" t="s">
        <v>12</v>
      </c>
      <c r="D187" s="443">
        <v>109.0</v>
      </c>
      <c r="E187" s="443" t="s">
        <v>2489</v>
      </c>
      <c r="F187" s="443" t="s">
        <v>2473</v>
      </c>
      <c r="G187" s="427" t="s">
        <v>2477</v>
      </c>
      <c r="H187" s="32"/>
      <c r="I187" s="444">
        <v>9.0</v>
      </c>
      <c r="J187" s="32"/>
      <c r="K187" s="444">
        <v>9.0</v>
      </c>
      <c r="L187" s="32"/>
      <c r="M187" s="32"/>
      <c r="N187" s="32"/>
      <c r="O187" s="444"/>
      <c r="P187" s="32"/>
      <c r="Q187" s="32"/>
      <c r="R187" s="444">
        <v>15.0</v>
      </c>
      <c r="S187" s="109" t="s">
        <v>2499</v>
      </c>
    </row>
    <row r="188">
      <c r="A188" s="427" t="s">
        <v>2500</v>
      </c>
      <c r="B188" s="427" t="s">
        <v>8</v>
      </c>
      <c r="C188" s="427" t="s">
        <v>40</v>
      </c>
      <c r="D188" s="443">
        <v>109.0</v>
      </c>
      <c r="E188" s="443" t="s">
        <v>2501</v>
      </c>
      <c r="F188" s="443" t="s">
        <v>2483</v>
      </c>
      <c r="G188" s="427" t="s">
        <v>2463</v>
      </c>
      <c r="H188" s="32"/>
      <c r="I188" s="444"/>
      <c r="J188" s="32"/>
      <c r="K188" s="32"/>
      <c r="L188" s="444">
        <v>9.0</v>
      </c>
      <c r="M188" s="444">
        <v>9.0</v>
      </c>
      <c r="N188" s="32"/>
      <c r="O188" s="444"/>
      <c r="P188" s="32"/>
      <c r="Q188" s="32"/>
      <c r="R188" s="444">
        <v>15.0</v>
      </c>
      <c r="S188" s="109" t="s">
        <v>2502</v>
      </c>
    </row>
    <row r="189">
      <c r="A189" s="427" t="s">
        <v>2588</v>
      </c>
      <c r="B189" s="427" t="s">
        <v>8</v>
      </c>
      <c r="C189" s="427" t="s">
        <v>40</v>
      </c>
      <c r="D189" s="443">
        <v>108.0</v>
      </c>
      <c r="E189" s="443" t="s">
        <v>2476</v>
      </c>
      <c r="F189" s="443" t="s">
        <v>2485</v>
      </c>
      <c r="G189" s="427" t="s">
        <v>2471</v>
      </c>
      <c r="H189" s="444">
        <v>9.0</v>
      </c>
      <c r="I189" s="32"/>
      <c r="J189" s="32"/>
      <c r="K189" s="32"/>
      <c r="L189" s="32"/>
      <c r="M189" s="32"/>
      <c r="N189" s="32"/>
      <c r="O189" s="32"/>
      <c r="P189" s="444">
        <v>6.0</v>
      </c>
      <c r="Q189" s="444">
        <v>60.0</v>
      </c>
      <c r="R189" s="32"/>
      <c r="S189" s="109" t="s">
        <v>2589</v>
      </c>
    </row>
    <row r="190">
      <c r="A190" s="427" t="s">
        <v>1169</v>
      </c>
      <c r="B190" s="427" t="s">
        <v>8</v>
      </c>
      <c r="C190" s="427" t="s">
        <v>40</v>
      </c>
      <c r="D190" s="443">
        <v>106.0</v>
      </c>
      <c r="E190" s="443" t="s">
        <v>2485</v>
      </c>
      <c r="F190" s="443" t="s">
        <v>2477</v>
      </c>
      <c r="G190" s="427" t="s">
        <v>2501</v>
      </c>
      <c r="H190" s="444">
        <v>9.0</v>
      </c>
      <c r="I190" s="32"/>
      <c r="J190" s="32"/>
      <c r="K190" s="444">
        <v>9.0</v>
      </c>
      <c r="L190" s="32"/>
      <c r="M190" s="32"/>
      <c r="N190" s="32"/>
      <c r="O190" s="32"/>
      <c r="P190" s="32"/>
      <c r="Q190" s="32"/>
      <c r="R190" s="444">
        <v>15.0</v>
      </c>
      <c r="S190" s="480" t="s">
        <v>2590</v>
      </c>
    </row>
    <row r="191">
      <c r="A191" s="80"/>
      <c r="B191" s="80"/>
      <c r="C191" s="80"/>
      <c r="D191" s="80"/>
      <c r="E191" s="80"/>
      <c r="F191" s="80"/>
      <c r="G191" s="80"/>
      <c r="H191" s="80"/>
    </row>
    <row r="192">
      <c r="A192" s="80"/>
      <c r="B192" s="80"/>
      <c r="C192" s="80"/>
      <c r="D192" s="80"/>
      <c r="E192" s="80"/>
      <c r="F192" s="80"/>
      <c r="G192" s="80"/>
      <c r="H192" s="80"/>
    </row>
    <row r="193">
      <c r="A193" s="80"/>
      <c r="B193" s="80"/>
      <c r="C193" s="80"/>
      <c r="D193" s="80"/>
      <c r="E193" s="80"/>
      <c r="F193" s="80"/>
      <c r="G193" s="80"/>
      <c r="H193" s="80"/>
    </row>
    <row r="194">
      <c r="A194" s="104"/>
      <c r="B194" s="104"/>
      <c r="C194" s="104"/>
      <c r="D194" s="104"/>
      <c r="E194" s="80"/>
      <c r="F194" s="80"/>
      <c r="G194" s="80"/>
      <c r="H194" s="104"/>
    </row>
    <row r="195">
      <c r="A195" s="104"/>
      <c r="B195" s="80"/>
      <c r="C195" s="80"/>
      <c r="D195" s="80"/>
      <c r="E195" s="80"/>
      <c r="F195" s="80"/>
      <c r="G195" s="80"/>
      <c r="H195" s="80"/>
    </row>
    <row r="196">
      <c r="C196" s="538" t="s">
        <v>2509</v>
      </c>
      <c r="D196" s="539"/>
      <c r="E196" s="540" t="s">
        <v>2510</v>
      </c>
      <c r="F196" s="540" t="s">
        <v>2511</v>
      </c>
      <c r="G196" s="540" t="str">
        <f>D156</f>
        <v/>
      </c>
      <c r="H196" s="541" t="s">
        <v>1140</v>
      </c>
      <c r="I196" s="541" t="s">
        <v>1188</v>
      </c>
      <c r="J196" s="541" t="s">
        <v>1237</v>
      </c>
      <c r="K196" s="541" t="s">
        <v>1266</v>
      </c>
      <c r="L196" s="541" t="s">
        <v>2453</v>
      </c>
      <c r="M196" s="541" t="s">
        <v>2454</v>
      </c>
      <c r="N196" s="541" t="s">
        <v>2455</v>
      </c>
      <c r="O196" s="541" t="s">
        <v>2456</v>
      </c>
      <c r="P196" s="541" t="s">
        <v>2457</v>
      </c>
      <c r="Q196" s="541" t="s">
        <v>2458</v>
      </c>
      <c r="R196" s="538" t="s">
        <v>2512</v>
      </c>
      <c r="S196" s="542"/>
      <c r="U196" s="31"/>
      <c r="V196" s="54" t="s">
        <v>2513</v>
      </c>
      <c r="W196" s="54" t="s">
        <v>2514</v>
      </c>
    </row>
    <row r="197">
      <c r="C197" s="456" t="str">
        <f>A171</f>
        <v>Pillars of Creation</v>
      </c>
      <c r="D197" s="457"/>
      <c r="E197" s="458" t="s">
        <v>9</v>
      </c>
      <c r="F197" s="458" t="s">
        <v>1288</v>
      </c>
      <c r="G197" s="459">
        <f t="shared" ref="G197:G200" si="54">VLOOKUP($C197,$A$170:$R$190,4,FALSE)+VLOOKUP($C197,$A$170:$R$190,18,FALSE)</f>
        <v>126</v>
      </c>
      <c r="H197" s="460">
        <f>VLOOKUP($C197,$A$170:$R$190,8,FALSE)+VLOOKUP($G197,$Y$2:$AA$50,2)</f>
        <v>1.5</v>
      </c>
      <c r="I197" s="460">
        <f>VLOOKUP($C197,$A$170:$R$190,9,FALSE)+VLOOKUP($G197,$Y$2:$AA$50,2)</f>
        <v>10.5</v>
      </c>
      <c r="J197" s="460">
        <f>VLOOKUP($C197,$A$170:$R$190,10,FALSE)+VLOOKUP($G197,$Y$2:$AA$50,2)</f>
        <v>1.5</v>
      </c>
      <c r="K197" s="460">
        <f>VLOOKUP($C197,$A$170:$R$190,11,FALSE)+VLOOKUP($G197,$Y$2:$AA$50,2)</f>
        <v>1.5</v>
      </c>
      <c r="L197" s="460" t="str">
        <f t="shared" ref="L197:L201" si="55">VLOOKUP($C197,$A$170:$R$190,12,FALSE)</f>
        <v/>
      </c>
      <c r="M197" s="460" t="str">
        <f t="shared" ref="M197:M201" si="56">VLOOKUP($C197,$A$170:$R$190,13,FALSE)</f>
        <v/>
      </c>
      <c r="N197" s="460" t="str">
        <f t="shared" ref="N197:N201" si="57">VLOOKUP($C197,$A$170:$R$190,14,FALSE)</f>
        <v/>
      </c>
      <c r="O197" s="460" t="str">
        <f t="shared" ref="O197:O201" si="58">VLOOKUP($C197,$A$170:$R$190,15,FALSE)</f>
        <v/>
      </c>
      <c r="P197" s="460" t="str">
        <f t="shared" ref="P197:P201" si="59">VLOOKUP($C197,$A$170:$R$190,16,FALSE)</f>
        <v/>
      </c>
      <c r="Q197" s="460">
        <f t="shared" ref="Q197:Q201" si="60">VLOOKUP($C197,$A$170:$R$190,17,FALSE)</f>
        <v>60</v>
      </c>
      <c r="R197" s="461" t="str">
        <f>A173</f>
        <v>The Prince</v>
      </c>
      <c r="S197" s="462"/>
      <c r="U197" s="54" t="s">
        <v>2515</v>
      </c>
      <c r="V197" s="31"/>
      <c r="W197" s="31"/>
    </row>
    <row r="198">
      <c r="C198" s="543" t="str">
        <f>A177</f>
        <v>Woman at Her Toilette</v>
      </c>
      <c r="D198" s="544"/>
      <c r="E198" s="545" t="s">
        <v>16</v>
      </c>
      <c r="F198" s="545" t="s">
        <v>1140</v>
      </c>
      <c r="G198" s="546">
        <f t="shared" si="54"/>
        <v>124</v>
      </c>
      <c r="H198" s="547">
        <f>VLOOKUP($C198,$A$170:$R$190,8,FALSE)+VLOOKUP($G198,$Y$2:$AA$50,3)</f>
        <v>6.2</v>
      </c>
      <c r="I198" s="547">
        <f t="shared" ref="I198:I199" si="61">VLOOKUP($C198,$A$170:$R$190,9,FALSE)</f>
        <v>6</v>
      </c>
      <c r="J198" s="547">
        <f>VLOOKUP($C198,$A$170:$R$190,10,FALSE)</f>
        <v>6</v>
      </c>
      <c r="K198" s="547" t="str">
        <f t="shared" ref="K198:K200" si="62">VLOOKUP($C198,$A$170:$R$190,11,FALSE)</f>
        <v/>
      </c>
      <c r="L198" s="547" t="str">
        <f t="shared" si="55"/>
        <v/>
      </c>
      <c r="M198" s="547" t="str">
        <f t="shared" si="56"/>
        <v/>
      </c>
      <c r="N198" s="547" t="str">
        <f t="shared" si="57"/>
        <v/>
      </c>
      <c r="O198" s="547" t="str">
        <f t="shared" si="58"/>
        <v/>
      </c>
      <c r="P198" s="547" t="str">
        <f t="shared" si="59"/>
        <v/>
      </c>
      <c r="Q198" s="547" t="str">
        <f t="shared" si="60"/>
        <v/>
      </c>
      <c r="R198" s="548" t="str">
        <f>A175</f>
        <v>Herma of Pericles</v>
      </c>
      <c r="S198" s="549"/>
      <c r="U198" s="54" t="s">
        <v>1188</v>
      </c>
      <c r="V198" s="31">
        <f>$Z$66*(1+I202/100)</f>
        <v>1432282</v>
      </c>
      <c r="W198" s="31">
        <f>((V198-$Z$73)*(V200+P202/100)*((V201/100)*V202 + (1-V201/100)*1)) + LOG(V198,5)*Q202*(V200+P202/100)</f>
        <v>852181.151</v>
      </c>
    </row>
    <row r="199">
      <c r="C199" s="456" t="str">
        <f>A179</f>
        <v>Book of Exodus</v>
      </c>
      <c r="D199" s="457"/>
      <c r="E199" s="458" t="s">
        <v>20</v>
      </c>
      <c r="F199" s="458" t="s">
        <v>1237</v>
      </c>
      <c r="G199" s="459">
        <f t="shared" si="54"/>
        <v>122</v>
      </c>
      <c r="H199" s="460" t="str">
        <f t="shared" ref="H199:H201" si="63">VLOOKUP($C199,$A$170:$R$190,8,FALSE)</f>
        <v/>
      </c>
      <c r="I199" s="460">
        <f t="shared" si="61"/>
        <v>9</v>
      </c>
      <c r="J199" s="460">
        <f>VLOOKUP($C199,$A$170:$R$190,10,FALSE)+VLOOKUP(G199,$Y$2:$AA$50,3)</f>
        <v>15.1</v>
      </c>
      <c r="K199" s="460" t="str">
        <f t="shared" si="62"/>
        <v/>
      </c>
      <c r="L199" s="460" t="str">
        <f t="shared" si="55"/>
        <v/>
      </c>
      <c r="M199" s="460" t="str">
        <f t="shared" si="56"/>
        <v/>
      </c>
      <c r="N199" s="460" t="str">
        <f t="shared" si="57"/>
        <v/>
      </c>
      <c r="O199" s="460" t="str">
        <f t="shared" si="58"/>
        <v/>
      </c>
      <c r="P199" s="460" t="str">
        <f t="shared" si="59"/>
        <v/>
      </c>
      <c r="Q199" s="460" t="str">
        <f t="shared" si="60"/>
        <v/>
      </c>
      <c r="R199" s="470" t="str">
        <f>A181</f>
        <v>Enuma Elish</v>
      </c>
      <c r="S199" s="462"/>
      <c r="U199" s="54" t="s">
        <v>1237</v>
      </c>
      <c r="V199" s="31">
        <f>$Z$67*(1+J202/100)</f>
        <v>1298860</v>
      </c>
      <c r="W199" s="31">
        <f>(V199-$Z$73)*(V200+P202/100)*((V201/100)*V202 + (1-V201/100)*1) + LOG(V199,5)*Q202*(V200+P202/100)</f>
        <v>682286.2425</v>
      </c>
    </row>
    <row r="200">
      <c r="C200" s="543" t="str">
        <f>A182</f>
        <v>History of Animals</v>
      </c>
      <c r="D200" s="544"/>
      <c r="E200" s="545" t="s">
        <v>12</v>
      </c>
      <c r="F200" s="545" t="s">
        <v>1188</v>
      </c>
      <c r="G200" s="546">
        <f t="shared" si="54"/>
        <v>123</v>
      </c>
      <c r="H200" s="547" t="str">
        <f t="shared" si="63"/>
        <v/>
      </c>
      <c r="I200" s="547">
        <f>VLOOKUP($C200,$A$170:$R$190,9,FALSE)+VLOOKUP(G200,$Y$2:$AA$50,3)</f>
        <v>15.1</v>
      </c>
      <c r="J200" s="547" t="str">
        <f t="shared" ref="J200:J201" si="64">VLOOKUP($C200,$A$170:$R$190,10,FALSE)</f>
        <v/>
      </c>
      <c r="K200" s="547" t="str">
        <f t="shared" si="62"/>
        <v/>
      </c>
      <c r="L200" s="547" t="str">
        <f t="shared" si="55"/>
        <v/>
      </c>
      <c r="M200" s="547" t="str">
        <f t="shared" si="56"/>
        <v/>
      </c>
      <c r="N200" s="547" t="str">
        <f t="shared" si="57"/>
        <v/>
      </c>
      <c r="O200" s="547" t="str">
        <f t="shared" si="58"/>
        <v/>
      </c>
      <c r="P200" s="547">
        <f t="shared" si="59"/>
        <v>6</v>
      </c>
      <c r="Q200" s="547">
        <f t="shared" si="60"/>
        <v>60</v>
      </c>
      <c r="R200" s="548" t="str">
        <f>A183</f>
        <v>Dead Sea Scrolls</v>
      </c>
      <c r="S200" s="549"/>
      <c r="U200" s="54" t="s">
        <v>2516</v>
      </c>
      <c r="V200" s="31">
        <f>(1+($Z$68+N202)/100)</f>
        <v>1.13</v>
      </c>
      <c r="W200" s="31"/>
    </row>
    <row r="201">
      <c r="C201" s="456" t="str">
        <f>A181</f>
        <v>Enuma Elish</v>
      </c>
      <c r="D201" s="457"/>
      <c r="E201" s="458" t="s">
        <v>40</v>
      </c>
      <c r="F201" s="458" t="s">
        <v>1266</v>
      </c>
      <c r="G201" s="550">
        <v>72.0</v>
      </c>
      <c r="H201" s="460" t="str">
        <f t="shared" si="63"/>
        <v/>
      </c>
      <c r="I201" s="460">
        <f>VLOOKUP($C201,$A$170:$R$190,9,FALSE)</f>
        <v>6</v>
      </c>
      <c r="J201" s="460">
        <f t="shared" si="64"/>
        <v>6</v>
      </c>
      <c r="K201" s="460">
        <f>VLOOKUP($C201,$A$170:$R$190,11,FALSE)+VLOOKUP(G201,$Y$2:$AA$50,3)</f>
        <v>3.3</v>
      </c>
      <c r="L201" s="460" t="str">
        <f t="shared" si="55"/>
        <v/>
      </c>
      <c r="M201" s="460" t="str">
        <f t="shared" si="56"/>
        <v/>
      </c>
      <c r="N201" s="460" t="str">
        <f t="shared" si="57"/>
        <v/>
      </c>
      <c r="O201" s="460" t="str">
        <f t="shared" si="58"/>
        <v/>
      </c>
      <c r="P201" s="460" t="str">
        <f t="shared" si="59"/>
        <v/>
      </c>
      <c r="Q201" s="460" t="str">
        <f t="shared" si="60"/>
        <v/>
      </c>
      <c r="R201" s="461" t="str">
        <f>A189</f>
        <v>Hypercube</v>
      </c>
      <c r="S201" s="462"/>
      <c r="U201" s="54" t="s">
        <v>2517</v>
      </c>
      <c r="V201" s="31">
        <f>$Z$69+L202</f>
        <v>14</v>
      </c>
      <c r="W201" s="31"/>
    </row>
    <row r="202">
      <c r="C202" s="551" t="s">
        <v>2518</v>
      </c>
      <c r="D202" s="544"/>
      <c r="E202" s="552"/>
      <c r="F202" s="552"/>
      <c r="G202" s="553"/>
      <c r="H202" s="554">
        <f t="shared" ref="H202:Q202" si="65">sum(H197:H201)</f>
        <v>7.7</v>
      </c>
      <c r="I202" s="554">
        <f t="shared" si="65"/>
        <v>46.6</v>
      </c>
      <c r="J202" s="554">
        <f t="shared" si="65"/>
        <v>28.6</v>
      </c>
      <c r="K202" s="554">
        <f t="shared" si="65"/>
        <v>4.8</v>
      </c>
      <c r="L202" s="554">
        <f t="shared" si="65"/>
        <v>0</v>
      </c>
      <c r="M202" s="554">
        <f t="shared" si="65"/>
        <v>0</v>
      </c>
      <c r="N202" s="554">
        <f t="shared" si="65"/>
        <v>0</v>
      </c>
      <c r="O202" s="554">
        <f t="shared" si="65"/>
        <v>0</v>
      </c>
      <c r="P202" s="554">
        <f t="shared" si="65"/>
        <v>6</v>
      </c>
      <c r="Q202" s="554">
        <f t="shared" si="65"/>
        <v>120</v>
      </c>
      <c r="R202" s="555" t="s">
        <v>2591</v>
      </c>
      <c r="S202" s="549"/>
      <c r="U202" s="54" t="s">
        <v>2519</v>
      </c>
      <c r="V202" s="31">
        <f>1.5+($Z$70+M202)/100</f>
        <v>1.5</v>
      </c>
      <c r="W202" s="31"/>
    </row>
    <row r="203">
      <c r="C203" s="475" t="s">
        <v>2520</v>
      </c>
      <c r="D203" s="457"/>
      <c r="E203" s="476">
        <f>W198+W199</f>
        <v>1534467.394</v>
      </c>
      <c r="F203" s="477"/>
      <c r="G203" s="478"/>
      <c r="H203" s="479"/>
      <c r="I203" s="479"/>
      <c r="J203" s="479"/>
      <c r="K203" s="479"/>
      <c r="L203" s="479"/>
      <c r="M203" s="479"/>
      <c r="N203" s="479"/>
      <c r="O203" s="479"/>
      <c r="P203" s="479"/>
      <c r="Q203" s="479"/>
      <c r="R203" s="479"/>
      <c r="S203" s="479"/>
    </row>
    <row r="207">
      <c r="A207" s="556" t="s">
        <v>2592</v>
      </c>
      <c r="B207" s="557"/>
      <c r="C207" s="557"/>
      <c r="D207" s="558" t="s">
        <v>537</v>
      </c>
      <c r="E207" s="558" t="s">
        <v>2450</v>
      </c>
      <c r="F207" s="558" t="s">
        <v>2451</v>
      </c>
      <c r="G207" s="558" t="s">
        <v>2452</v>
      </c>
      <c r="H207" s="559" t="s">
        <v>1140</v>
      </c>
      <c r="I207" s="559" t="s">
        <v>1188</v>
      </c>
      <c r="J207" s="559" t="s">
        <v>1237</v>
      </c>
      <c r="K207" s="559" t="s">
        <v>1266</v>
      </c>
      <c r="L207" s="559" t="s">
        <v>2453</v>
      </c>
      <c r="M207" s="559" t="s">
        <v>2454</v>
      </c>
      <c r="N207" s="559" t="s">
        <v>2455</v>
      </c>
      <c r="O207" s="559" t="s">
        <v>2456</v>
      </c>
      <c r="P207" s="559" t="s">
        <v>2457</v>
      </c>
      <c r="Q207" s="559" t="s">
        <v>2458</v>
      </c>
      <c r="R207" s="559" t="s">
        <v>536</v>
      </c>
      <c r="S207" s="560" t="s">
        <v>2593</v>
      </c>
      <c r="T207" s="561" t="s">
        <v>5</v>
      </c>
    </row>
    <row r="208">
      <c r="A208" s="70" t="s">
        <v>6</v>
      </c>
      <c r="B208" s="71"/>
      <c r="C208" s="71"/>
      <c r="D208" s="71"/>
      <c r="E208" s="71"/>
      <c r="F208" s="71"/>
      <c r="G208" s="71"/>
      <c r="T208" s="72"/>
    </row>
    <row r="209">
      <c r="A209" s="100" t="s">
        <v>2594</v>
      </c>
      <c r="B209" s="427" t="s">
        <v>8</v>
      </c>
      <c r="C209" s="427" t="s">
        <v>9</v>
      </c>
      <c r="D209" s="448">
        <v>108.0</v>
      </c>
      <c r="E209" s="448" t="s">
        <v>2466</v>
      </c>
      <c r="F209" s="100" t="s">
        <v>2595</v>
      </c>
      <c r="G209" s="427" t="s">
        <v>2486</v>
      </c>
      <c r="H209" s="444">
        <v>3.0</v>
      </c>
      <c r="I209" s="444">
        <v>3.0</v>
      </c>
      <c r="J209" s="444">
        <v>3.0</v>
      </c>
      <c r="K209" s="444">
        <v>3.0</v>
      </c>
      <c r="L209" s="32"/>
      <c r="M209" s="32"/>
      <c r="N209" s="32"/>
      <c r="O209" s="444">
        <v>6.0</v>
      </c>
      <c r="P209" s="32"/>
      <c r="Q209" s="32"/>
      <c r="R209" s="444">
        <v>15.0</v>
      </c>
      <c r="S209" s="32"/>
      <c r="T209" s="105" t="s">
        <v>2464</v>
      </c>
    </row>
    <row r="210">
      <c r="A210" s="100" t="s">
        <v>2596</v>
      </c>
      <c r="B210" s="427" t="s">
        <v>8</v>
      </c>
      <c r="C210" s="427" t="s">
        <v>9</v>
      </c>
      <c r="D210" s="448">
        <v>107.0</v>
      </c>
      <c r="E210" s="448" t="s">
        <v>2462</v>
      </c>
      <c r="F210" s="100" t="s">
        <v>2483</v>
      </c>
      <c r="G210" s="427" t="s">
        <v>2473</v>
      </c>
      <c r="H210" s="32"/>
      <c r="I210" s="444">
        <v>9.0</v>
      </c>
      <c r="J210" s="444">
        <v>9.0</v>
      </c>
      <c r="K210" s="32"/>
      <c r="L210" s="444">
        <v>9.0</v>
      </c>
      <c r="M210" s="32"/>
      <c r="N210" s="32"/>
      <c r="O210" s="32"/>
      <c r="P210" s="32"/>
      <c r="Q210" s="32"/>
      <c r="R210" s="32"/>
      <c r="S210" s="444">
        <v>49.0</v>
      </c>
      <c r="T210" s="105" t="s">
        <v>558</v>
      </c>
    </row>
    <row r="211">
      <c r="A211" s="100" t="s">
        <v>1204</v>
      </c>
      <c r="B211" s="427" t="s">
        <v>8</v>
      </c>
      <c r="C211" s="427" t="s">
        <v>9</v>
      </c>
      <c r="D211" s="448">
        <v>108.0</v>
      </c>
      <c r="E211" s="448" t="s">
        <v>2485</v>
      </c>
      <c r="F211" s="100" t="s">
        <v>2477</v>
      </c>
      <c r="G211" s="427" t="s">
        <v>2466</v>
      </c>
      <c r="H211" s="444">
        <v>9.0</v>
      </c>
      <c r="I211" s="32"/>
      <c r="J211" s="32"/>
      <c r="K211" s="444">
        <v>9.0</v>
      </c>
      <c r="L211" s="32"/>
      <c r="M211" s="32"/>
      <c r="N211" s="32"/>
      <c r="O211" s="32"/>
      <c r="P211" s="32"/>
      <c r="Q211" s="32"/>
      <c r="R211" s="444">
        <v>15.0</v>
      </c>
      <c r="S211" s="32"/>
      <c r="T211" s="105" t="s">
        <v>2597</v>
      </c>
    </row>
    <row r="212">
      <c r="A212" s="100" t="s">
        <v>2598</v>
      </c>
      <c r="B212" s="427" t="s">
        <v>54</v>
      </c>
      <c r="C212" s="427" t="s">
        <v>9</v>
      </c>
      <c r="D212" s="448">
        <v>103.0</v>
      </c>
      <c r="E212" s="448" t="s">
        <v>2465</v>
      </c>
      <c r="F212" s="100"/>
      <c r="G212" s="427"/>
      <c r="H212" s="32"/>
      <c r="I212" s="32"/>
      <c r="J212" s="32"/>
      <c r="K212" s="32"/>
      <c r="L212" s="32"/>
      <c r="M212" s="32"/>
      <c r="N212" s="32"/>
      <c r="O212" s="32"/>
      <c r="P212" s="32"/>
      <c r="Q212" s="444">
        <v>60.0</v>
      </c>
      <c r="R212" s="32"/>
      <c r="S212" s="32"/>
      <c r="T212" s="105" t="s">
        <v>2599</v>
      </c>
    </row>
    <row r="213">
      <c r="A213" s="100" t="s">
        <v>2600</v>
      </c>
      <c r="B213" s="427" t="s">
        <v>8</v>
      </c>
      <c r="C213" s="427" t="s">
        <v>16</v>
      </c>
      <c r="D213" s="448">
        <v>109.0</v>
      </c>
      <c r="E213" s="448" t="s">
        <v>2601</v>
      </c>
      <c r="F213" s="100" t="s">
        <v>2463</v>
      </c>
      <c r="G213" s="427" t="s">
        <v>2462</v>
      </c>
      <c r="H213" s="32"/>
      <c r="I213" s="32"/>
      <c r="J213" s="444">
        <v>9.0</v>
      </c>
      <c r="K213" s="32"/>
      <c r="L213" s="32"/>
      <c r="M213" s="444">
        <v>9.0</v>
      </c>
      <c r="N213" s="444">
        <v>6.0</v>
      </c>
      <c r="O213" s="32"/>
      <c r="P213" s="32"/>
      <c r="Q213" s="32"/>
      <c r="R213" s="32"/>
      <c r="S213" s="32"/>
      <c r="T213" s="105" t="s">
        <v>2602</v>
      </c>
    </row>
    <row r="214">
      <c r="A214" s="100" t="s">
        <v>1171</v>
      </c>
      <c r="B214" s="427" t="s">
        <v>8</v>
      </c>
      <c r="C214" s="100" t="s">
        <v>16</v>
      </c>
      <c r="D214" s="448">
        <v>108.0</v>
      </c>
      <c r="E214" s="443" t="s">
        <v>2490</v>
      </c>
      <c r="F214" s="100" t="s">
        <v>2479</v>
      </c>
      <c r="G214" s="427" t="s">
        <v>2465</v>
      </c>
      <c r="H214" s="32"/>
      <c r="I214" s="32"/>
      <c r="J214" s="32"/>
      <c r="K214" s="32"/>
      <c r="L214" s="32"/>
      <c r="M214" s="32"/>
      <c r="N214" s="32"/>
      <c r="O214" s="32"/>
      <c r="P214" s="32"/>
      <c r="Q214" s="444">
        <v>120.0</v>
      </c>
      <c r="R214" s="444">
        <v>15.0</v>
      </c>
      <c r="S214" s="32"/>
      <c r="T214" s="105" t="s">
        <v>558</v>
      </c>
    </row>
    <row r="215">
      <c r="A215" s="100" t="s">
        <v>2603</v>
      </c>
      <c r="B215" s="427" t="s">
        <v>54</v>
      </c>
      <c r="C215" s="100" t="s">
        <v>16</v>
      </c>
      <c r="D215" s="448">
        <v>105.0</v>
      </c>
      <c r="E215" s="443" t="s">
        <v>2465</v>
      </c>
      <c r="F215" s="100" t="s">
        <v>2483</v>
      </c>
      <c r="G215" s="427"/>
      <c r="H215" s="32"/>
      <c r="I215" s="32"/>
      <c r="J215" s="32"/>
      <c r="K215" s="32"/>
      <c r="L215" s="444">
        <v>9.0</v>
      </c>
      <c r="M215" s="32"/>
      <c r="N215" s="32"/>
      <c r="O215" s="32"/>
      <c r="P215" s="32"/>
      <c r="Q215" s="444">
        <v>60.0</v>
      </c>
      <c r="R215" s="32"/>
      <c r="S215" s="32"/>
      <c r="T215" s="105" t="s">
        <v>2599</v>
      </c>
    </row>
    <row r="216">
      <c r="A216" s="100" t="s">
        <v>2604</v>
      </c>
      <c r="B216" s="427" t="s">
        <v>96</v>
      </c>
      <c r="C216" s="100" t="s">
        <v>16</v>
      </c>
      <c r="D216" s="448">
        <v>99.0</v>
      </c>
      <c r="E216" s="443" t="s">
        <v>2605</v>
      </c>
      <c r="F216" s="100"/>
      <c r="G216" s="427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105" t="s">
        <v>2488</v>
      </c>
    </row>
    <row r="217">
      <c r="A217" s="100" t="s">
        <v>2606</v>
      </c>
      <c r="B217" s="427" t="s">
        <v>8</v>
      </c>
      <c r="C217" s="100" t="s">
        <v>20</v>
      </c>
      <c r="D217" s="448">
        <v>106.0</v>
      </c>
      <c r="E217" s="443" t="s">
        <v>2482</v>
      </c>
      <c r="F217" s="100" t="s">
        <v>2477</v>
      </c>
      <c r="G217" s="427" t="s">
        <v>2485</v>
      </c>
      <c r="H217" s="444">
        <v>9.0</v>
      </c>
      <c r="I217" s="444"/>
      <c r="J217" s="32"/>
      <c r="K217" s="444">
        <v>9.0</v>
      </c>
      <c r="L217" s="32"/>
      <c r="M217" s="32"/>
      <c r="N217" s="32"/>
      <c r="O217" s="32"/>
      <c r="P217" s="32"/>
      <c r="Q217" s="444"/>
      <c r="R217" s="444">
        <v>15.0</v>
      </c>
      <c r="S217" s="32"/>
      <c r="T217" s="105" t="s">
        <v>2607</v>
      </c>
    </row>
    <row r="218">
      <c r="A218" s="100" t="s">
        <v>2608</v>
      </c>
      <c r="B218" s="427" t="s">
        <v>8</v>
      </c>
      <c r="C218" s="100" t="s">
        <v>20</v>
      </c>
      <c r="D218" s="448">
        <v>109.0</v>
      </c>
      <c r="E218" s="443" t="s">
        <v>2482</v>
      </c>
      <c r="F218" s="100" t="s">
        <v>2473</v>
      </c>
      <c r="G218" s="427" t="s">
        <v>2490</v>
      </c>
      <c r="H218" s="444"/>
      <c r="I218" s="444">
        <v>9.0</v>
      </c>
      <c r="J218" s="32"/>
      <c r="K218" s="32"/>
      <c r="L218" s="32"/>
      <c r="M218" s="32"/>
      <c r="N218" s="32"/>
      <c r="O218" s="32"/>
      <c r="P218" s="32"/>
      <c r="Q218" s="444">
        <v>60.0</v>
      </c>
      <c r="R218" s="444">
        <v>15.0</v>
      </c>
      <c r="S218" s="32"/>
      <c r="T218" s="105" t="s">
        <v>2609</v>
      </c>
    </row>
    <row r="219">
      <c r="A219" s="100" t="s">
        <v>1167</v>
      </c>
      <c r="B219" s="427" t="s">
        <v>8</v>
      </c>
      <c r="C219" s="100" t="s">
        <v>20</v>
      </c>
      <c r="D219" s="448">
        <v>109.0</v>
      </c>
      <c r="E219" s="443" t="s">
        <v>2482</v>
      </c>
      <c r="F219" s="100" t="s">
        <v>2485</v>
      </c>
      <c r="G219" s="427" t="s">
        <v>2605</v>
      </c>
      <c r="H219" s="444">
        <v>9.0</v>
      </c>
      <c r="I219" s="32"/>
      <c r="J219" s="32"/>
      <c r="K219" s="32"/>
      <c r="L219" s="32"/>
      <c r="M219" s="32"/>
      <c r="N219" s="32"/>
      <c r="O219" s="32"/>
      <c r="P219" s="32"/>
      <c r="Q219" s="32"/>
      <c r="R219" s="444">
        <v>15.0</v>
      </c>
      <c r="S219" s="32"/>
      <c r="T219" s="105" t="s">
        <v>558</v>
      </c>
    </row>
    <row r="220">
      <c r="A220" s="100" t="s">
        <v>2610</v>
      </c>
      <c r="B220" s="427" t="s">
        <v>96</v>
      </c>
      <c r="C220" s="100" t="s">
        <v>20</v>
      </c>
      <c r="D220" s="448">
        <v>97.0</v>
      </c>
      <c r="E220" s="448" t="s">
        <v>2465</v>
      </c>
      <c r="F220" s="448"/>
      <c r="G220" s="427"/>
      <c r="H220" s="32"/>
      <c r="I220" s="32"/>
      <c r="J220" s="32"/>
      <c r="K220" s="32"/>
      <c r="L220" s="32"/>
      <c r="M220" s="32"/>
      <c r="N220" s="32"/>
      <c r="O220" s="32"/>
      <c r="P220" s="32"/>
      <c r="Q220" s="444">
        <v>60.0</v>
      </c>
      <c r="R220" s="32"/>
      <c r="S220" s="32"/>
      <c r="T220" s="105" t="s">
        <v>2488</v>
      </c>
    </row>
    <row r="221">
      <c r="A221" s="100" t="s">
        <v>1238</v>
      </c>
      <c r="B221" s="427" t="s">
        <v>8</v>
      </c>
      <c r="C221" s="100" t="s">
        <v>12</v>
      </c>
      <c r="D221" s="448">
        <v>108.0</v>
      </c>
      <c r="E221" s="448" t="s">
        <v>2601</v>
      </c>
      <c r="F221" s="448" t="s">
        <v>2477</v>
      </c>
      <c r="G221" s="427" t="s">
        <v>2476</v>
      </c>
      <c r="H221" s="32"/>
      <c r="I221" s="32"/>
      <c r="J221" s="32"/>
      <c r="K221" s="444">
        <v>9.0</v>
      </c>
      <c r="L221" s="32"/>
      <c r="M221" s="32"/>
      <c r="N221" s="444">
        <v>6.0</v>
      </c>
      <c r="O221" s="32"/>
      <c r="P221" s="32"/>
      <c r="Q221" s="444">
        <v>60.0</v>
      </c>
      <c r="R221" s="32"/>
      <c r="S221" s="444">
        <v>68.0</v>
      </c>
      <c r="T221" s="105" t="s">
        <v>558</v>
      </c>
    </row>
    <row r="222">
      <c r="A222" s="100" t="s">
        <v>2611</v>
      </c>
      <c r="B222" s="427" t="s">
        <v>8</v>
      </c>
      <c r="C222" s="100" t="s">
        <v>12</v>
      </c>
      <c r="D222" s="448">
        <v>108.0</v>
      </c>
      <c r="E222" s="448" t="s">
        <v>2489</v>
      </c>
      <c r="F222" s="448" t="s">
        <v>2485</v>
      </c>
      <c r="G222" s="427" t="s">
        <v>2595</v>
      </c>
      <c r="H222" s="444">
        <v>12.0</v>
      </c>
      <c r="I222" s="444">
        <v>3.0</v>
      </c>
      <c r="J222" s="444">
        <v>3.0</v>
      </c>
      <c r="K222" s="444">
        <v>3.0</v>
      </c>
      <c r="L222" s="32"/>
      <c r="M222" s="32"/>
      <c r="N222" s="32"/>
      <c r="O222" s="32"/>
      <c r="P222" s="32"/>
      <c r="Q222" s="32"/>
      <c r="R222" s="444">
        <v>15.0</v>
      </c>
      <c r="S222" s="32"/>
      <c r="T222" s="105" t="s">
        <v>1368</v>
      </c>
    </row>
    <row r="223">
      <c r="A223" s="100" t="s">
        <v>2612</v>
      </c>
      <c r="B223" s="427" t="s">
        <v>8</v>
      </c>
      <c r="C223" s="100" t="s">
        <v>12</v>
      </c>
      <c r="D223" s="448">
        <v>106.0</v>
      </c>
      <c r="E223" s="448" t="s">
        <v>2485</v>
      </c>
      <c r="F223" s="448" t="s">
        <v>2477</v>
      </c>
      <c r="G223" s="427" t="s">
        <v>2489</v>
      </c>
      <c r="H223" s="444">
        <v>9.0</v>
      </c>
      <c r="I223" s="32"/>
      <c r="J223" s="32"/>
      <c r="K223" s="444">
        <v>9.0</v>
      </c>
      <c r="L223" s="32"/>
      <c r="M223" s="32"/>
      <c r="N223" s="32"/>
      <c r="O223" s="32"/>
      <c r="P223" s="32"/>
      <c r="Q223" s="32"/>
      <c r="R223" s="444">
        <v>15.0</v>
      </c>
      <c r="S223" s="32"/>
      <c r="T223" s="105" t="s">
        <v>2467</v>
      </c>
    </row>
    <row r="224">
      <c r="A224" s="100" t="s">
        <v>2613</v>
      </c>
      <c r="B224" s="427" t="s">
        <v>8</v>
      </c>
      <c r="C224" s="100" t="s">
        <v>40</v>
      </c>
      <c r="D224" s="448">
        <v>107.0</v>
      </c>
      <c r="E224" s="448" t="s">
        <v>2473</v>
      </c>
      <c r="F224" s="448" t="s">
        <v>2462</v>
      </c>
      <c r="G224" s="427" t="s">
        <v>2476</v>
      </c>
      <c r="H224" s="32"/>
      <c r="I224" s="444">
        <v>9.0</v>
      </c>
      <c r="J224" s="444">
        <v>9.0</v>
      </c>
      <c r="K224" s="32"/>
      <c r="L224" s="32"/>
      <c r="M224" s="32"/>
      <c r="N224" s="32"/>
      <c r="O224" s="32"/>
      <c r="P224" s="32"/>
      <c r="Q224" s="444">
        <v>60.0</v>
      </c>
      <c r="R224" s="32"/>
      <c r="S224" s="32"/>
      <c r="T224" s="109" t="s">
        <v>2614</v>
      </c>
    </row>
    <row r="225">
      <c r="A225" s="100" t="s">
        <v>2615</v>
      </c>
      <c r="B225" s="427" t="s">
        <v>8</v>
      </c>
      <c r="C225" s="100" t="s">
        <v>40</v>
      </c>
      <c r="D225" s="448">
        <v>106.0</v>
      </c>
      <c r="E225" s="448" t="s">
        <v>2501</v>
      </c>
      <c r="F225" s="448" t="s">
        <v>2485</v>
      </c>
      <c r="G225" s="427" t="s">
        <v>2616</v>
      </c>
      <c r="H225" s="444">
        <v>9.0</v>
      </c>
      <c r="I225" s="444"/>
      <c r="J225" s="444"/>
      <c r="K225" s="444"/>
      <c r="L225" s="32"/>
      <c r="M225" s="32"/>
      <c r="N225" s="32"/>
      <c r="O225" s="32"/>
      <c r="P225" s="32"/>
      <c r="Q225" s="444"/>
      <c r="R225" s="444">
        <v>15.0</v>
      </c>
      <c r="S225" s="32"/>
      <c r="T225" s="105" t="s">
        <v>2617</v>
      </c>
    </row>
    <row r="226">
      <c r="A226" s="100" t="s">
        <v>2618</v>
      </c>
      <c r="B226" s="427" t="s">
        <v>8</v>
      </c>
      <c r="C226" s="100" t="s">
        <v>40</v>
      </c>
      <c r="D226" s="448">
        <v>108.0</v>
      </c>
      <c r="E226" s="448" t="s">
        <v>2506</v>
      </c>
      <c r="F226" s="448" t="s">
        <v>2595</v>
      </c>
      <c r="G226" s="427" t="s">
        <v>2501</v>
      </c>
      <c r="H226" s="444">
        <v>3.0</v>
      </c>
      <c r="I226" s="444">
        <v>3.0</v>
      </c>
      <c r="J226" s="444">
        <v>3.0</v>
      </c>
      <c r="K226" s="444">
        <v>3.0</v>
      </c>
      <c r="L226" s="32"/>
      <c r="M226" s="32"/>
      <c r="N226" s="32"/>
      <c r="O226" s="32"/>
      <c r="P226" s="32"/>
      <c r="Q226" s="444">
        <v>60.0</v>
      </c>
      <c r="R226" s="444">
        <v>15.0</v>
      </c>
      <c r="S226" s="32"/>
      <c r="T226" s="152" t="s">
        <v>558</v>
      </c>
    </row>
    <row r="227">
      <c r="A227" s="80"/>
      <c r="B227" s="80"/>
      <c r="C227" s="80"/>
      <c r="D227" s="80"/>
      <c r="E227" s="80"/>
      <c r="F227" s="80"/>
      <c r="G227" s="80"/>
      <c r="H227" s="80"/>
    </row>
    <row r="228">
      <c r="A228" s="80"/>
      <c r="B228" s="80"/>
      <c r="C228" s="80"/>
      <c r="D228" s="80"/>
      <c r="E228" s="80"/>
      <c r="F228" s="80"/>
      <c r="G228" s="80"/>
      <c r="H228" s="80"/>
    </row>
    <row r="229">
      <c r="A229" s="80"/>
      <c r="B229" s="80"/>
      <c r="C229" s="80"/>
      <c r="D229" s="80"/>
      <c r="E229" s="80"/>
      <c r="F229" s="80"/>
      <c r="G229" s="80"/>
      <c r="H229" s="80"/>
    </row>
    <row r="230">
      <c r="A230" s="104"/>
      <c r="B230" s="104"/>
      <c r="C230" s="104"/>
      <c r="D230" s="104"/>
      <c r="E230" s="80"/>
      <c r="F230" s="80"/>
      <c r="G230" s="80"/>
      <c r="H230" s="104"/>
    </row>
    <row r="231">
      <c r="A231" s="104"/>
      <c r="B231" s="80"/>
      <c r="C231" s="80"/>
      <c r="D231" s="80"/>
      <c r="E231" s="80"/>
      <c r="F231" s="80"/>
      <c r="G231" s="80"/>
      <c r="H231" s="80"/>
    </row>
    <row r="232">
      <c r="B232" s="562" t="s">
        <v>2509</v>
      </c>
      <c r="C232" s="563"/>
      <c r="D232" s="564" t="s">
        <v>2510</v>
      </c>
      <c r="E232" s="564" t="s">
        <v>2511</v>
      </c>
      <c r="F232" s="565" t="s">
        <v>2</v>
      </c>
      <c r="G232" s="564" t="s">
        <v>536</v>
      </c>
      <c r="H232" s="566" t="s">
        <v>1140</v>
      </c>
      <c r="I232" s="566" t="s">
        <v>1188</v>
      </c>
      <c r="J232" s="566" t="s">
        <v>1237</v>
      </c>
      <c r="K232" s="566" t="s">
        <v>1266</v>
      </c>
      <c r="L232" s="566" t="s">
        <v>2453</v>
      </c>
      <c r="M232" s="566" t="s">
        <v>2454</v>
      </c>
      <c r="N232" s="566" t="s">
        <v>2455</v>
      </c>
      <c r="O232" s="566" t="s">
        <v>2456</v>
      </c>
      <c r="P232" s="566" t="s">
        <v>2457</v>
      </c>
      <c r="Q232" s="566" t="s">
        <v>2458</v>
      </c>
      <c r="R232" s="565" t="s">
        <v>2512</v>
      </c>
      <c r="S232" s="567"/>
    </row>
    <row r="233">
      <c r="B233" s="475" t="str">
        <f>A209</f>
        <v>Utopia</v>
      </c>
      <c r="C233" s="457"/>
      <c r="D233" s="458" t="s">
        <v>9</v>
      </c>
      <c r="E233" s="458" t="s">
        <v>1288</v>
      </c>
      <c r="F233" s="568" t="str">
        <f t="shared" ref="F233:F237" si="66">VLOOKUP($B233,$A$208:$G$226,3,FALSE)</f>
        <v>FAME</v>
      </c>
      <c r="G233" s="569">
        <f t="shared" ref="G233:G237" si="67">IF(D233=F233, VLOOKUP($B233,$A$208:$S$226, 4,FALSE) + VLOOKUP($B233,$A$208:$S$226, 18,FALSE), VLOOKUP($B233,$A$208:$S$226, 19,FALSE))</f>
        <v>123</v>
      </c>
      <c r="H233" s="570">
        <f>VLOOKUP($B233,$A$208:$Q$226,8,FALSE)+VLOOKUP($G233,$Y$2:$AA$50,2)</f>
        <v>4.5</v>
      </c>
      <c r="I233" s="570">
        <f>VLOOKUP($B233,$A$208:$Q$226,9,FALSE)+VLOOKUP($G233,$Y$2:$AA$50,2)</f>
        <v>4.5</v>
      </c>
      <c r="J233" s="570">
        <f>VLOOKUP($B233,$A$208:$Q$226,10,FALSE)+VLOOKUP($G233,$Y$2:$AA$50,2)</f>
        <v>4.5</v>
      </c>
      <c r="K233" s="570">
        <f>VLOOKUP($B233,$A$208:$Q$226,11,FALSE)+VLOOKUP($G233,$Y$2:$AA$50,2)</f>
        <v>4.5</v>
      </c>
      <c r="L233" s="570" t="str">
        <f t="shared" ref="L233:L237" si="68">VLOOKUP($B233,$A$208:$Q$226,12,FALSE)</f>
        <v/>
      </c>
      <c r="M233" s="570" t="str">
        <f t="shared" ref="M233:M237" si="69">VLOOKUP($B233,$A$208:$Q$226,13,FALSE)</f>
        <v/>
      </c>
      <c r="N233" s="570" t="str">
        <f t="shared" ref="N233:N237" si="70">VLOOKUP($B233,$A$208:$Q$226,14,FALSE)</f>
        <v/>
      </c>
      <c r="O233" s="570">
        <f t="shared" ref="O233:O237" si="71">VLOOKUP($B233,$A$208:$Q$226,15,FALSE)</f>
        <v>6</v>
      </c>
      <c r="P233" s="570" t="str">
        <f t="shared" ref="P233:P237" si="72">VLOOKUP($B233,$A$208:$Q$226,16,FALSE)</f>
        <v/>
      </c>
      <c r="Q233" s="570" t="str">
        <f t="shared" ref="Q233:Q237" si="73">VLOOKUP($B233,$A$208:$Q$226,17,FALSE)</f>
        <v/>
      </c>
      <c r="R233" s="568" t="str">
        <f>A211</f>
        <v>Olympic Torch</v>
      </c>
      <c r="S233" s="462"/>
    </row>
    <row r="234">
      <c r="B234" s="571" t="str">
        <f>A213</f>
        <v>Bronze Longhu Cup</v>
      </c>
      <c r="D234" s="572" t="s">
        <v>16</v>
      </c>
      <c r="E234" s="572" t="s">
        <v>1140</v>
      </c>
      <c r="F234" s="573" t="str">
        <f t="shared" si="66"/>
        <v>ART</v>
      </c>
      <c r="G234" s="574">
        <f t="shared" si="67"/>
        <v>109</v>
      </c>
      <c r="H234" s="575">
        <f>VLOOKUP($B234,$A$208:$Q$226,8,FALSE)+VLOOKUP($G234,$Y$2:$AA$50,3)</f>
        <v>5.4</v>
      </c>
      <c r="I234" s="575" t="str">
        <f t="shared" ref="I234:I235" si="74">VLOOKUP($B234,$A$208:$Q$226,9,FALSE)</f>
        <v/>
      </c>
      <c r="J234" s="575">
        <f>VLOOKUP($B234,$A$208:$Q$226,10,FALSE)</f>
        <v>9</v>
      </c>
      <c r="K234" s="575" t="str">
        <f t="shared" ref="K234:K236" si="75">VLOOKUP($B234,$A$208:$Q$226,11,FALSE)</f>
        <v/>
      </c>
      <c r="L234" s="575" t="str">
        <f t="shared" si="68"/>
        <v/>
      </c>
      <c r="M234" s="575">
        <f t="shared" si="69"/>
        <v>9</v>
      </c>
      <c r="N234" s="575">
        <f t="shared" si="70"/>
        <v>6</v>
      </c>
      <c r="O234" s="575" t="str">
        <f t="shared" si="71"/>
        <v/>
      </c>
      <c r="P234" s="575" t="str">
        <f t="shared" si="72"/>
        <v/>
      </c>
      <c r="Q234" s="575" t="str">
        <f t="shared" si="73"/>
        <v/>
      </c>
      <c r="R234" s="573" t="str">
        <f>A215</f>
        <v>The Persistent Memory</v>
      </c>
      <c r="S234" s="576"/>
    </row>
    <row r="235">
      <c r="B235" s="475" t="str">
        <f>A221</f>
        <v>Maya Mural</v>
      </c>
      <c r="C235" s="457"/>
      <c r="D235" s="458" t="s">
        <v>20</v>
      </c>
      <c r="E235" s="458" t="s">
        <v>1237</v>
      </c>
      <c r="F235" s="568" t="str">
        <f t="shared" si="66"/>
        <v>CIV</v>
      </c>
      <c r="G235" s="569">
        <f t="shared" si="67"/>
        <v>68</v>
      </c>
      <c r="H235" s="570" t="str">
        <f t="shared" ref="H235:H237" si="76">VLOOKUP($B235,$A$208:$Q$226,8,FALSE)</f>
        <v/>
      </c>
      <c r="I235" s="570" t="str">
        <f t="shared" si="74"/>
        <v/>
      </c>
      <c r="J235" s="570">
        <f>VLOOKUP($B235,$A$208:$Q$226,10,FALSE)+VLOOKUP($G235,$Y$2:$AA$50,3)</f>
        <v>3.3</v>
      </c>
      <c r="K235" s="570">
        <f t="shared" si="75"/>
        <v>9</v>
      </c>
      <c r="L235" s="570" t="str">
        <f t="shared" si="68"/>
        <v/>
      </c>
      <c r="M235" s="570" t="str">
        <f t="shared" si="69"/>
        <v/>
      </c>
      <c r="N235" s="570">
        <f t="shared" si="70"/>
        <v>6</v>
      </c>
      <c r="O235" s="570" t="str">
        <f t="shared" si="71"/>
        <v/>
      </c>
      <c r="P235" s="570" t="str">
        <f t="shared" si="72"/>
        <v/>
      </c>
      <c r="Q235" s="570">
        <f t="shared" si="73"/>
        <v>60</v>
      </c>
      <c r="R235" s="568" t="str">
        <f>A210</f>
        <v>L'Art de la Guerre</v>
      </c>
      <c r="S235" s="462"/>
    </row>
    <row r="236">
      <c r="B236" s="571" t="str">
        <f t="shared" ref="B236:B237" si="77">A223</f>
        <v>SSB Trophy</v>
      </c>
      <c r="D236" s="572" t="s">
        <v>12</v>
      </c>
      <c r="E236" s="572" t="s">
        <v>1188</v>
      </c>
      <c r="F236" s="573" t="str">
        <f t="shared" si="66"/>
        <v>CIV</v>
      </c>
      <c r="G236" s="574">
        <f t="shared" si="67"/>
        <v>121</v>
      </c>
      <c r="H236" s="575">
        <f t="shared" si="76"/>
        <v>9</v>
      </c>
      <c r="I236" s="575">
        <f>VLOOKUP($B236,$A$208:$Q$226,9,FALSE)+VLOOKUP($G236,$Y$2:$AA$50,3)</f>
        <v>6</v>
      </c>
      <c r="J236" s="575" t="str">
        <f t="shared" ref="J236:J237" si="78">VLOOKUP($B236,$A$208:$Q$226,10,FALSE)</f>
        <v/>
      </c>
      <c r="K236" s="575">
        <f t="shared" si="75"/>
        <v>9</v>
      </c>
      <c r="L236" s="575" t="str">
        <f t="shared" si="68"/>
        <v/>
      </c>
      <c r="M236" s="575" t="str">
        <f t="shared" si="69"/>
        <v/>
      </c>
      <c r="N236" s="575" t="str">
        <f t="shared" si="70"/>
        <v/>
      </c>
      <c r="O236" s="575" t="str">
        <f t="shared" si="71"/>
        <v/>
      </c>
      <c r="P236" s="575" t="str">
        <f t="shared" si="72"/>
        <v/>
      </c>
      <c r="Q236" s="575" t="str">
        <f t="shared" si="73"/>
        <v/>
      </c>
      <c r="R236" s="573" t="str">
        <f>A221</f>
        <v>Maya Mural</v>
      </c>
      <c r="S236" s="576"/>
    </row>
    <row r="237">
      <c r="B237" s="475" t="str">
        <f t="shared" si="77"/>
        <v>Riemann Hypothesis</v>
      </c>
      <c r="C237" s="457"/>
      <c r="D237" s="458" t="s">
        <v>40</v>
      </c>
      <c r="E237" s="458" t="s">
        <v>1266</v>
      </c>
      <c r="F237" s="568" t="str">
        <f t="shared" si="66"/>
        <v>TECH</v>
      </c>
      <c r="G237" s="569">
        <f t="shared" si="67"/>
        <v>107</v>
      </c>
      <c r="H237" s="570" t="str">
        <f t="shared" si="76"/>
        <v/>
      </c>
      <c r="I237" s="570">
        <f>VLOOKUP($B237,$A$208:$Q$226,9,FALSE)</f>
        <v>9</v>
      </c>
      <c r="J237" s="570">
        <f t="shared" si="78"/>
        <v>9</v>
      </c>
      <c r="K237" s="570">
        <f>VLOOKUP($B237,$A$208:$Q$226,11,FALSE)+VLOOKUP($G237,$Y$2:$AA$50,3)</f>
        <v>5.3</v>
      </c>
      <c r="L237" s="570" t="str">
        <f t="shared" si="68"/>
        <v/>
      </c>
      <c r="M237" s="570" t="str">
        <f t="shared" si="69"/>
        <v/>
      </c>
      <c r="N237" s="570" t="str">
        <f t="shared" si="70"/>
        <v/>
      </c>
      <c r="O237" s="570" t="str">
        <f t="shared" si="71"/>
        <v/>
      </c>
      <c r="P237" s="570" t="str">
        <f t="shared" si="72"/>
        <v/>
      </c>
      <c r="Q237" s="570">
        <f t="shared" si="73"/>
        <v>60</v>
      </c>
      <c r="R237" s="568" t="str">
        <f>A226</f>
        <v>SAGE</v>
      </c>
      <c r="S237" s="462"/>
    </row>
    <row r="238">
      <c r="B238" s="577" t="s">
        <v>2518</v>
      </c>
      <c r="C238" s="578"/>
      <c r="D238" s="579"/>
      <c r="E238" s="579"/>
      <c r="F238" s="580"/>
      <c r="G238" s="581"/>
      <c r="H238" s="575">
        <f t="shared" ref="H238:Q238" si="79">sum(H233:H237)</f>
        <v>18.9</v>
      </c>
      <c r="I238" s="575">
        <f t="shared" si="79"/>
        <v>19.5</v>
      </c>
      <c r="J238" s="575">
        <f t="shared" si="79"/>
        <v>25.8</v>
      </c>
      <c r="K238" s="575">
        <f t="shared" si="79"/>
        <v>27.8</v>
      </c>
      <c r="L238" s="575">
        <f t="shared" si="79"/>
        <v>0</v>
      </c>
      <c r="M238" s="575">
        <f t="shared" si="79"/>
        <v>9</v>
      </c>
      <c r="N238" s="575">
        <f t="shared" si="79"/>
        <v>12</v>
      </c>
      <c r="O238" s="575">
        <f t="shared" si="79"/>
        <v>6</v>
      </c>
      <c r="P238" s="575">
        <f t="shared" si="79"/>
        <v>0</v>
      </c>
      <c r="Q238" s="575">
        <f t="shared" si="79"/>
        <v>120</v>
      </c>
      <c r="R238" s="582"/>
      <c r="S238" s="583"/>
    </row>
    <row r="243">
      <c r="A243" s="584" t="s">
        <v>2619</v>
      </c>
      <c r="B243" s="585"/>
      <c r="C243" s="585"/>
      <c r="D243" s="586" t="s">
        <v>537</v>
      </c>
      <c r="E243" s="586" t="s">
        <v>2450</v>
      </c>
      <c r="F243" s="586" t="s">
        <v>2451</v>
      </c>
      <c r="G243" s="586" t="s">
        <v>2452</v>
      </c>
      <c r="H243" s="587" t="s">
        <v>5</v>
      </c>
      <c r="I243" s="588"/>
      <c r="J243" s="588"/>
      <c r="K243" s="588"/>
      <c r="L243" s="589"/>
    </row>
    <row r="244">
      <c r="A244" s="590" t="s">
        <v>2620</v>
      </c>
      <c r="B244" s="591" t="s">
        <v>8</v>
      </c>
      <c r="C244" s="591" t="s">
        <v>16</v>
      </c>
      <c r="D244" s="460">
        <v>108.0</v>
      </c>
      <c r="E244" s="592" t="s">
        <v>2621</v>
      </c>
      <c r="F244" s="592" t="s">
        <v>2479</v>
      </c>
      <c r="G244" s="592" t="s">
        <v>2622</v>
      </c>
      <c r="H244" s="593" t="s">
        <v>2623</v>
      </c>
      <c r="I244" s="594"/>
      <c r="J244" s="594"/>
      <c r="K244" s="594"/>
      <c r="L244" s="462"/>
    </row>
    <row r="245">
      <c r="A245" s="595" t="s">
        <v>2624</v>
      </c>
      <c r="B245" s="596" t="s">
        <v>8</v>
      </c>
      <c r="C245" s="596" t="s">
        <v>16</v>
      </c>
      <c r="D245" s="597">
        <v>108.0</v>
      </c>
      <c r="E245" s="598" t="s">
        <v>2621</v>
      </c>
      <c r="F245" s="598" t="s">
        <v>2625</v>
      </c>
      <c r="G245" s="598" t="s">
        <v>2626</v>
      </c>
      <c r="H245" s="599" t="s">
        <v>2464</v>
      </c>
      <c r="I245" s="600"/>
      <c r="J245" s="600"/>
      <c r="K245" s="600"/>
      <c r="L245" s="601"/>
    </row>
    <row r="246">
      <c r="A246" s="602" t="s">
        <v>1666</v>
      </c>
      <c r="B246" s="591" t="s">
        <v>8</v>
      </c>
      <c r="C246" s="591" t="s">
        <v>16</v>
      </c>
      <c r="D246" s="460">
        <v>109.0</v>
      </c>
      <c r="E246" s="592" t="s">
        <v>2479</v>
      </c>
      <c r="F246" s="592" t="s">
        <v>2621</v>
      </c>
      <c r="G246" s="592" t="s">
        <v>2622</v>
      </c>
      <c r="H246" s="603" t="s">
        <v>2464</v>
      </c>
      <c r="I246" s="594"/>
      <c r="J246" s="594"/>
      <c r="K246" s="594"/>
      <c r="L246" s="462"/>
    </row>
    <row r="247">
      <c r="A247" s="604" t="s">
        <v>2627</v>
      </c>
      <c r="B247" s="596" t="s">
        <v>8</v>
      </c>
      <c r="C247" s="596" t="s">
        <v>16</v>
      </c>
      <c r="D247" s="605">
        <v>109.0</v>
      </c>
      <c r="E247" s="598" t="s">
        <v>2479</v>
      </c>
      <c r="F247" s="598" t="s">
        <v>2621</v>
      </c>
      <c r="G247" s="598" t="s">
        <v>2628</v>
      </c>
      <c r="H247" s="599" t="s">
        <v>2464</v>
      </c>
      <c r="I247" s="600"/>
      <c r="J247" s="600"/>
      <c r="K247" s="600"/>
      <c r="L247" s="601"/>
    </row>
    <row r="248">
      <c r="A248" s="606" t="s">
        <v>2629</v>
      </c>
      <c r="B248" s="591" t="s">
        <v>8</v>
      </c>
      <c r="C248" s="591" t="s">
        <v>16</v>
      </c>
      <c r="D248" s="607">
        <v>109.0</v>
      </c>
      <c r="E248" s="592" t="s">
        <v>2479</v>
      </c>
      <c r="F248" s="592" t="s">
        <v>2621</v>
      </c>
      <c r="G248" s="592" t="s">
        <v>2628</v>
      </c>
      <c r="H248" s="603" t="s">
        <v>2464</v>
      </c>
      <c r="I248" s="594"/>
      <c r="J248" s="594"/>
      <c r="K248" s="594"/>
      <c r="L248" s="462"/>
    </row>
    <row r="249">
      <c r="A249" s="596" t="s">
        <v>2630</v>
      </c>
      <c r="B249" s="596" t="s">
        <v>19</v>
      </c>
      <c r="C249" s="596" t="s">
        <v>16</v>
      </c>
      <c r="D249" s="597">
        <v>46.0</v>
      </c>
      <c r="E249" s="598" t="s">
        <v>2631</v>
      </c>
      <c r="F249" s="598"/>
      <c r="G249" s="598"/>
      <c r="H249" s="599" t="s">
        <v>2632</v>
      </c>
      <c r="I249" s="600"/>
      <c r="J249" s="600"/>
      <c r="K249" s="600"/>
      <c r="L249" s="601"/>
    </row>
    <row r="252">
      <c r="A252" s="584" t="s">
        <v>2633</v>
      </c>
      <c r="B252" s="585"/>
      <c r="C252" s="585"/>
      <c r="D252" s="586" t="s">
        <v>537</v>
      </c>
      <c r="E252" s="586" t="s">
        <v>2450</v>
      </c>
      <c r="F252" s="586" t="s">
        <v>2451</v>
      </c>
      <c r="G252" s="586" t="s">
        <v>2452</v>
      </c>
      <c r="H252" s="587" t="s">
        <v>5</v>
      </c>
      <c r="I252" s="588"/>
      <c r="J252" s="588"/>
      <c r="K252" s="588"/>
      <c r="L252" s="589"/>
    </row>
    <row r="253">
      <c r="A253" s="590" t="s">
        <v>2634</v>
      </c>
      <c r="B253" s="591" t="s">
        <v>8</v>
      </c>
      <c r="C253" s="591" t="s">
        <v>40</v>
      </c>
      <c r="D253" s="460">
        <v>108.0</v>
      </c>
      <c r="E253" s="592" t="s">
        <v>2621</v>
      </c>
      <c r="F253" s="592" t="s">
        <v>2625</v>
      </c>
      <c r="G253" s="592" t="s">
        <v>2622</v>
      </c>
      <c r="H253" s="593" t="s">
        <v>2635</v>
      </c>
      <c r="I253" s="594"/>
      <c r="J253" s="594"/>
      <c r="K253" s="594"/>
      <c r="L253" s="462"/>
    </row>
    <row r="254">
      <c r="A254" s="595" t="s">
        <v>1714</v>
      </c>
      <c r="B254" s="596" t="s">
        <v>8</v>
      </c>
      <c r="C254" s="596" t="s">
        <v>40</v>
      </c>
      <c r="D254" s="597">
        <v>109.0</v>
      </c>
      <c r="E254" s="598" t="s">
        <v>2501</v>
      </c>
      <c r="F254" s="598" t="s">
        <v>2621</v>
      </c>
      <c r="G254" s="598" t="s">
        <v>2626</v>
      </c>
      <c r="H254" s="599" t="s">
        <v>2464</v>
      </c>
      <c r="I254" s="600"/>
      <c r="J254" s="600"/>
      <c r="K254" s="600"/>
      <c r="L254" s="601"/>
    </row>
    <row r="255">
      <c r="A255" s="606" t="s">
        <v>2636</v>
      </c>
      <c r="B255" s="591" t="s">
        <v>8</v>
      </c>
      <c r="C255" s="591" t="s">
        <v>40</v>
      </c>
      <c r="D255" s="460">
        <v>108.0</v>
      </c>
      <c r="E255" s="592" t="s">
        <v>2501</v>
      </c>
      <c r="F255" s="592" t="s">
        <v>2621</v>
      </c>
      <c r="G255" s="592" t="s">
        <v>2622</v>
      </c>
      <c r="H255" s="603" t="s">
        <v>2464</v>
      </c>
      <c r="I255" s="594"/>
      <c r="J255" s="594"/>
      <c r="K255" s="594"/>
      <c r="L255" s="462"/>
    </row>
    <row r="256">
      <c r="A256" s="604" t="s">
        <v>2637</v>
      </c>
      <c r="B256" s="596" t="s">
        <v>8</v>
      </c>
      <c r="C256" s="596" t="s">
        <v>40</v>
      </c>
      <c r="D256" s="597">
        <v>109.0</v>
      </c>
      <c r="E256" s="598" t="s">
        <v>2501</v>
      </c>
      <c r="F256" s="598" t="s">
        <v>2621</v>
      </c>
      <c r="G256" s="598" t="s">
        <v>2628</v>
      </c>
      <c r="H256" s="599" t="s">
        <v>2464</v>
      </c>
      <c r="I256" s="600"/>
      <c r="J256" s="600"/>
      <c r="K256" s="600"/>
      <c r="L256" s="601"/>
    </row>
    <row r="257">
      <c r="A257" s="606" t="s">
        <v>2638</v>
      </c>
      <c r="B257" s="591" t="s">
        <v>8</v>
      </c>
      <c r="C257" s="591" t="s">
        <v>40</v>
      </c>
      <c r="D257" s="607">
        <v>109.0</v>
      </c>
      <c r="E257" s="592" t="s">
        <v>2501</v>
      </c>
      <c r="F257" s="592" t="s">
        <v>2621</v>
      </c>
      <c r="G257" s="592" t="s">
        <v>2628</v>
      </c>
      <c r="H257" s="603" t="s">
        <v>2464</v>
      </c>
      <c r="I257" s="594"/>
      <c r="J257" s="594"/>
      <c r="K257" s="594"/>
      <c r="L257" s="462"/>
    </row>
    <row r="260">
      <c r="A260" s="584" t="s">
        <v>2639</v>
      </c>
      <c r="B260" s="585"/>
      <c r="C260" s="585"/>
      <c r="D260" s="586" t="s">
        <v>537</v>
      </c>
      <c r="E260" s="586" t="s">
        <v>2450</v>
      </c>
      <c r="F260" s="586" t="s">
        <v>2451</v>
      </c>
      <c r="G260" s="586" t="s">
        <v>2452</v>
      </c>
      <c r="H260" s="587" t="s">
        <v>5</v>
      </c>
      <c r="I260" s="588"/>
      <c r="J260" s="588"/>
      <c r="K260" s="588"/>
      <c r="L260" s="589"/>
    </row>
    <row r="261">
      <c r="A261" s="590" t="s">
        <v>2640</v>
      </c>
      <c r="B261" s="591" t="s">
        <v>8</v>
      </c>
      <c r="C261" s="591" t="s">
        <v>12</v>
      </c>
      <c r="D261" s="460">
        <v>107.0</v>
      </c>
      <c r="E261" s="592" t="s">
        <v>2621</v>
      </c>
      <c r="F261" s="592" t="s">
        <v>2625</v>
      </c>
      <c r="G261" s="592" t="s">
        <v>2622</v>
      </c>
      <c r="H261" s="593" t="s">
        <v>2641</v>
      </c>
      <c r="I261" s="594"/>
      <c r="J261" s="594"/>
      <c r="K261" s="594"/>
      <c r="L261" s="462"/>
    </row>
    <row r="262">
      <c r="A262" s="595" t="s">
        <v>2642</v>
      </c>
      <c r="B262" s="596" t="s">
        <v>8</v>
      </c>
      <c r="C262" s="596" t="s">
        <v>12</v>
      </c>
      <c r="D262" s="597">
        <v>107.0</v>
      </c>
      <c r="E262" s="598" t="s">
        <v>2489</v>
      </c>
      <c r="F262" s="598" t="s">
        <v>2621</v>
      </c>
      <c r="G262" s="598" t="s">
        <v>2626</v>
      </c>
      <c r="H262" s="599" t="s">
        <v>2464</v>
      </c>
      <c r="I262" s="600"/>
      <c r="J262" s="600"/>
      <c r="K262" s="600"/>
      <c r="L262" s="601"/>
    </row>
    <row r="263">
      <c r="A263" s="602" t="s">
        <v>2643</v>
      </c>
      <c r="B263" s="591" t="s">
        <v>8</v>
      </c>
      <c r="C263" s="591" t="s">
        <v>12</v>
      </c>
      <c r="D263" s="460">
        <v>109.0</v>
      </c>
      <c r="E263" s="592" t="s">
        <v>2489</v>
      </c>
      <c r="F263" s="592" t="s">
        <v>2621</v>
      </c>
      <c r="G263" s="592" t="s">
        <v>2622</v>
      </c>
      <c r="H263" s="603" t="s">
        <v>2464</v>
      </c>
      <c r="I263" s="594"/>
      <c r="J263" s="594"/>
      <c r="K263" s="594"/>
      <c r="L263" s="462"/>
    </row>
    <row r="264">
      <c r="A264" s="608" t="s">
        <v>2644</v>
      </c>
      <c r="B264" s="596" t="s">
        <v>8</v>
      </c>
      <c r="C264" s="596" t="s">
        <v>12</v>
      </c>
      <c r="D264" s="597">
        <v>108.0</v>
      </c>
      <c r="E264" s="598" t="s">
        <v>2489</v>
      </c>
      <c r="F264" s="598" t="s">
        <v>2621</v>
      </c>
      <c r="G264" s="598" t="s">
        <v>2628</v>
      </c>
      <c r="H264" s="609" t="s">
        <v>785</v>
      </c>
      <c r="I264" s="610"/>
      <c r="J264" s="610"/>
      <c r="K264" s="610"/>
      <c r="L264" s="610"/>
    </row>
    <row r="265">
      <c r="A265" s="602" t="s">
        <v>2645</v>
      </c>
      <c r="B265" s="591" t="s">
        <v>8</v>
      </c>
      <c r="C265" s="591" t="s">
        <v>12</v>
      </c>
      <c r="D265" s="460">
        <v>109.0</v>
      </c>
      <c r="E265" s="592" t="s">
        <v>2489</v>
      </c>
      <c r="F265" s="592" t="s">
        <v>2621</v>
      </c>
      <c r="G265" s="592" t="s">
        <v>2628</v>
      </c>
      <c r="H265" s="603" t="s">
        <v>2464</v>
      </c>
      <c r="I265" s="594"/>
      <c r="J265" s="594"/>
      <c r="K265" s="594"/>
      <c r="L265" s="462"/>
    </row>
    <row r="266">
      <c r="A266" s="596" t="s">
        <v>2646</v>
      </c>
      <c r="B266" s="596" t="s">
        <v>19</v>
      </c>
      <c r="C266" s="596" t="s">
        <v>12</v>
      </c>
      <c r="D266" s="597">
        <v>46.0</v>
      </c>
      <c r="E266" s="598" t="s">
        <v>2631</v>
      </c>
      <c r="F266" s="598"/>
      <c r="G266" s="598"/>
      <c r="H266" s="599" t="s">
        <v>2632</v>
      </c>
      <c r="I266" s="600"/>
      <c r="J266" s="600"/>
      <c r="K266" s="600"/>
      <c r="L266" s="601"/>
    </row>
    <row r="269">
      <c r="A269" s="584" t="s">
        <v>2647</v>
      </c>
      <c r="B269" s="585"/>
      <c r="C269" s="585"/>
      <c r="D269" s="586" t="s">
        <v>537</v>
      </c>
      <c r="E269" s="586" t="s">
        <v>2450</v>
      </c>
      <c r="F269" s="586" t="s">
        <v>2451</v>
      </c>
      <c r="G269" s="586" t="s">
        <v>2452</v>
      </c>
      <c r="H269" s="587" t="s">
        <v>5</v>
      </c>
      <c r="I269" s="588"/>
      <c r="J269" s="588"/>
      <c r="K269" s="588"/>
      <c r="L269" s="589"/>
    </row>
    <row r="270">
      <c r="A270" s="590" t="s">
        <v>2648</v>
      </c>
      <c r="B270" s="591" t="s">
        <v>8</v>
      </c>
      <c r="C270" s="591" t="s">
        <v>20</v>
      </c>
      <c r="D270" s="460">
        <v>108.0</v>
      </c>
      <c r="E270" s="592" t="s">
        <v>2621</v>
      </c>
      <c r="F270" s="592" t="s">
        <v>2482</v>
      </c>
      <c r="G270" s="592" t="s">
        <v>2622</v>
      </c>
      <c r="H270" s="593" t="s">
        <v>2649</v>
      </c>
      <c r="I270" s="594"/>
      <c r="J270" s="594"/>
      <c r="K270" s="594"/>
      <c r="L270" s="462"/>
    </row>
    <row r="271">
      <c r="A271" s="596" t="s">
        <v>1688</v>
      </c>
      <c r="B271" s="596" t="s">
        <v>8</v>
      </c>
      <c r="C271" s="596" t="s">
        <v>20</v>
      </c>
      <c r="D271" s="597">
        <v>109.0</v>
      </c>
      <c r="E271" s="598" t="s">
        <v>2482</v>
      </c>
      <c r="F271" s="598" t="s">
        <v>2621</v>
      </c>
      <c r="G271" s="598" t="s">
        <v>2628</v>
      </c>
      <c r="H271" s="599" t="s">
        <v>2464</v>
      </c>
      <c r="I271" s="600"/>
      <c r="J271" s="600"/>
      <c r="K271" s="600"/>
      <c r="L271" s="601"/>
    </row>
    <row r="272">
      <c r="A272" s="606" t="s">
        <v>2650</v>
      </c>
      <c r="B272" s="591" t="s">
        <v>8</v>
      </c>
      <c r="C272" s="591" t="s">
        <v>20</v>
      </c>
      <c r="D272" s="460">
        <v>106.0</v>
      </c>
      <c r="E272" s="592" t="s">
        <v>2621</v>
      </c>
      <c r="F272" s="592" t="s">
        <v>2628</v>
      </c>
      <c r="G272" s="592" t="s">
        <v>2622</v>
      </c>
      <c r="H272" s="603" t="s">
        <v>2464</v>
      </c>
      <c r="I272" s="594"/>
      <c r="J272" s="594"/>
      <c r="K272" s="594"/>
      <c r="L272" s="462"/>
    </row>
    <row r="273">
      <c r="A273" s="604" t="s">
        <v>2651</v>
      </c>
      <c r="B273" s="596" t="s">
        <v>8</v>
      </c>
      <c r="C273" s="596" t="s">
        <v>20</v>
      </c>
      <c r="D273" s="597">
        <v>108.0</v>
      </c>
      <c r="E273" s="598" t="s">
        <v>2482</v>
      </c>
      <c r="F273" s="598" t="s">
        <v>2621</v>
      </c>
      <c r="G273" s="598" t="s">
        <v>2628</v>
      </c>
      <c r="H273" s="599" t="s">
        <v>2464</v>
      </c>
      <c r="I273" s="600"/>
      <c r="J273" s="600"/>
      <c r="K273" s="600"/>
      <c r="L273" s="601"/>
    </row>
    <row r="274">
      <c r="A274" s="602" t="s">
        <v>2652</v>
      </c>
      <c r="B274" s="591" t="s">
        <v>8</v>
      </c>
      <c r="C274" s="591" t="s">
        <v>20</v>
      </c>
      <c r="D274" s="607">
        <v>108.0</v>
      </c>
      <c r="E274" s="592" t="s">
        <v>2482</v>
      </c>
      <c r="F274" s="592" t="s">
        <v>2621</v>
      </c>
      <c r="G274" s="592" t="s">
        <v>2626</v>
      </c>
      <c r="H274" s="603" t="s">
        <v>2464</v>
      </c>
      <c r="I274" s="594"/>
      <c r="J274" s="594"/>
      <c r="K274" s="594"/>
      <c r="L274" s="462"/>
    </row>
    <row r="275">
      <c r="A275" s="596" t="s">
        <v>2653</v>
      </c>
      <c r="B275" s="596" t="s">
        <v>19</v>
      </c>
      <c r="C275" s="596" t="s">
        <v>20</v>
      </c>
      <c r="D275" s="597">
        <v>47.0</v>
      </c>
      <c r="E275" s="598" t="s">
        <v>2631</v>
      </c>
      <c r="F275" s="598"/>
      <c r="G275" s="598"/>
      <c r="H275" s="599" t="s">
        <v>2632</v>
      </c>
      <c r="I275" s="600"/>
      <c r="J275" s="600"/>
      <c r="K275" s="600"/>
      <c r="L275" s="601"/>
    </row>
    <row r="280">
      <c r="A280" s="611" t="s">
        <v>2654</v>
      </c>
      <c r="B280" s="612"/>
      <c r="C280" s="612"/>
      <c r="D280" s="613" t="s">
        <v>537</v>
      </c>
      <c r="E280" s="614" t="s">
        <v>5</v>
      </c>
      <c r="F280" s="615"/>
      <c r="G280" s="615"/>
      <c r="H280" s="615"/>
      <c r="I280" s="616"/>
    </row>
    <row r="281">
      <c r="A281" s="591" t="s">
        <v>2655</v>
      </c>
      <c r="B281" s="591" t="s">
        <v>8</v>
      </c>
      <c r="C281" s="591" t="s">
        <v>9</v>
      </c>
      <c r="D281" s="460">
        <v>106.0</v>
      </c>
      <c r="E281" s="617" t="s">
        <v>785</v>
      </c>
      <c r="F281" s="594"/>
      <c r="G281" s="594"/>
      <c r="H281" s="594"/>
      <c r="I281" s="462"/>
    </row>
    <row r="282">
      <c r="A282" s="618" t="s">
        <v>2656</v>
      </c>
      <c r="B282" s="618" t="s">
        <v>8</v>
      </c>
      <c r="C282" s="618" t="s">
        <v>9</v>
      </c>
      <c r="D282" s="619">
        <v>108.0</v>
      </c>
      <c r="E282" s="620" t="s">
        <v>785</v>
      </c>
      <c r="F282" s="621"/>
      <c r="G282" s="621"/>
      <c r="H282" s="621"/>
      <c r="I282" s="622"/>
    </row>
    <row r="283">
      <c r="A283" s="591" t="s">
        <v>2657</v>
      </c>
      <c r="B283" s="591" t="s">
        <v>8</v>
      </c>
      <c r="C283" s="591" t="s">
        <v>16</v>
      </c>
      <c r="D283" s="460">
        <v>108.0</v>
      </c>
      <c r="E283" s="603" t="s">
        <v>2658</v>
      </c>
      <c r="F283" s="594"/>
      <c r="G283" s="594"/>
      <c r="H283" s="594"/>
      <c r="I283" s="462"/>
    </row>
    <row r="284">
      <c r="A284" s="623" t="s">
        <v>2659</v>
      </c>
      <c r="B284" s="618" t="s">
        <v>8</v>
      </c>
      <c r="C284" s="618" t="s">
        <v>20</v>
      </c>
      <c r="D284" s="619">
        <v>106.0</v>
      </c>
      <c r="E284" s="624" t="s">
        <v>2660</v>
      </c>
      <c r="F284" s="621"/>
      <c r="G284" s="621"/>
      <c r="H284" s="621"/>
      <c r="I284" s="622"/>
    </row>
    <row r="285">
      <c r="A285" s="606" t="s">
        <v>2661</v>
      </c>
      <c r="B285" s="591" t="s">
        <v>8</v>
      </c>
      <c r="C285" s="591" t="s">
        <v>20</v>
      </c>
      <c r="D285" s="607">
        <v>107.0</v>
      </c>
      <c r="E285" s="603" t="s">
        <v>2662</v>
      </c>
      <c r="F285" s="594"/>
      <c r="G285" s="594"/>
      <c r="H285" s="594"/>
      <c r="I285" s="462"/>
    </row>
    <row r="286">
      <c r="A286" s="618" t="s">
        <v>2663</v>
      </c>
      <c r="B286" s="618" t="s">
        <v>8</v>
      </c>
      <c r="C286" s="618" t="s">
        <v>12</v>
      </c>
      <c r="D286" s="619">
        <v>107.0</v>
      </c>
      <c r="E286" s="620" t="s">
        <v>785</v>
      </c>
      <c r="F286" s="621"/>
      <c r="G286" s="621"/>
      <c r="H286" s="621"/>
      <c r="I286" s="622"/>
    </row>
    <row r="287">
      <c r="A287" s="591" t="s">
        <v>2664</v>
      </c>
      <c r="B287" s="591" t="s">
        <v>8</v>
      </c>
      <c r="C287" s="591" t="s">
        <v>40</v>
      </c>
      <c r="D287" s="460">
        <v>108.0</v>
      </c>
      <c r="E287" s="603" t="s">
        <v>2665</v>
      </c>
      <c r="F287" s="594"/>
      <c r="G287" s="594"/>
      <c r="H287" s="594"/>
      <c r="I287" s="462"/>
    </row>
    <row r="290">
      <c r="A290" s="625" t="s">
        <v>2666</v>
      </c>
      <c r="B290" s="626"/>
      <c r="C290" s="626"/>
      <c r="D290" s="627" t="s">
        <v>537</v>
      </c>
      <c r="E290" s="628" t="s">
        <v>5</v>
      </c>
      <c r="F290" s="629"/>
      <c r="G290" s="629"/>
      <c r="H290" s="629"/>
      <c r="I290" s="630"/>
    </row>
    <row r="291">
      <c r="A291" s="591" t="s">
        <v>2667</v>
      </c>
      <c r="B291" s="591" t="s">
        <v>8</v>
      </c>
      <c r="C291" s="591" t="s">
        <v>9</v>
      </c>
      <c r="D291" s="460">
        <v>109.0</v>
      </c>
      <c r="E291" s="617" t="s">
        <v>2658</v>
      </c>
      <c r="F291" s="594"/>
      <c r="G291" s="594"/>
      <c r="H291" s="594"/>
      <c r="I291" s="462"/>
    </row>
    <row r="292">
      <c r="A292" s="631" t="s">
        <v>2668</v>
      </c>
      <c r="B292" s="631" t="s">
        <v>8</v>
      </c>
      <c r="C292" s="631" t="s">
        <v>16</v>
      </c>
      <c r="D292" s="632">
        <v>109.0</v>
      </c>
      <c r="E292" s="633" t="s">
        <v>2669</v>
      </c>
      <c r="F292" s="634"/>
      <c r="G292" s="634"/>
      <c r="H292" s="634"/>
      <c r="I292" s="635"/>
    </row>
    <row r="293">
      <c r="A293" s="606" t="s">
        <v>2670</v>
      </c>
      <c r="B293" s="591" t="s">
        <v>8</v>
      </c>
      <c r="C293" s="591" t="s">
        <v>16</v>
      </c>
      <c r="D293" s="460">
        <v>109.0</v>
      </c>
      <c r="E293" s="617" t="s">
        <v>2658</v>
      </c>
      <c r="F293" s="594"/>
      <c r="G293" s="594"/>
      <c r="H293" s="594"/>
      <c r="I293" s="462"/>
    </row>
    <row r="294">
      <c r="A294" s="636" t="s">
        <v>2671</v>
      </c>
      <c r="B294" s="631" t="s">
        <v>8</v>
      </c>
      <c r="C294" s="631" t="s">
        <v>20</v>
      </c>
      <c r="D294" s="637">
        <v>104.0</v>
      </c>
      <c r="E294" s="633" t="s">
        <v>2662</v>
      </c>
      <c r="F294" s="634"/>
      <c r="G294" s="634"/>
      <c r="H294" s="634"/>
      <c r="I294" s="635"/>
    </row>
    <row r="295">
      <c r="A295" s="606" t="s">
        <v>2672</v>
      </c>
      <c r="B295" s="591" t="s">
        <v>8</v>
      </c>
      <c r="C295" s="591" t="s">
        <v>20</v>
      </c>
      <c r="D295" s="607">
        <v>106.0</v>
      </c>
      <c r="E295" s="603" t="s">
        <v>2673</v>
      </c>
      <c r="F295" s="594"/>
      <c r="G295" s="594"/>
      <c r="H295" s="594"/>
      <c r="I295" s="462"/>
    </row>
    <row r="296">
      <c r="A296" s="636" t="s">
        <v>2674</v>
      </c>
      <c r="B296" s="631" t="s">
        <v>8</v>
      </c>
      <c r="C296" s="631" t="s">
        <v>20</v>
      </c>
      <c r="D296" s="637">
        <v>106.0</v>
      </c>
      <c r="E296" s="633" t="s">
        <v>2675</v>
      </c>
      <c r="F296" s="634"/>
      <c r="G296" s="634"/>
      <c r="H296" s="634"/>
      <c r="I296" s="635"/>
    </row>
    <row r="297">
      <c r="A297" s="606" t="s">
        <v>2676</v>
      </c>
      <c r="B297" s="591" t="s">
        <v>8</v>
      </c>
      <c r="C297" s="591" t="s">
        <v>12</v>
      </c>
      <c r="D297" s="607">
        <v>106.0</v>
      </c>
      <c r="E297" s="603" t="s">
        <v>2677</v>
      </c>
      <c r="F297" s="594"/>
      <c r="G297" s="594"/>
      <c r="H297" s="594"/>
      <c r="I297" s="462"/>
    </row>
    <row r="298">
      <c r="A298" s="631" t="s">
        <v>2678</v>
      </c>
      <c r="B298" s="631" t="s">
        <v>8</v>
      </c>
      <c r="C298" s="631" t="s">
        <v>40</v>
      </c>
      <c r="D298" s="632">
        <v>108.0</v>
      </c>
      <c r="E298" s="638" t="s">
        <v>2658</v>
      </c>
      <c r="F298" s="634"/>
      <c r="G298" s="634"/>
      <c r="H298" s="634"/>
      <c r="I298" s="635"/>
    </row>
    <row r="299">
      <c r="A299" s="591" t="s">
        <v>2679</v>
      </c>
      <c r="B299" s="591" t="s">
        <v>8</v>
      </c>
      <c r="C299" s="591" t="s">
        <v>40</v>
      </c>
      <c r="D299" s="460">
        <v>108.0</v>
      </c>
      <c r="E299" s="603" t="s">
        <v>573</v>
      </c>
      <c r="F299" s="594"/>
      <c r="G299" s="594"/>
      <c r="H299" s="594"/>
      <c r="I299" s="462"/>
    </row>
    <row r="302">
      <c r="A302" s="639" t="s">
        <v>2680</v>
      </c>
      <c r="B302" s="640"/>
      <c r="C302" s="640"/>
      <c r="D302" s="641" t="s">
        <v>537</v>
      </c>
      <c r="E302" s="522" t="s">
        <v>5</v>
      </c>
      <c r="F302" s="642"/>
      <c r="G302" s="642"/>
      <c r="H302" s="642"/>
      <c r="I302" s="526"/>
    </row>
    <row r="303">
      <c r="A303" s="591" t="s">
        <v>2681</v>
      </c>
      <c r="B303" s="591" t="s">
        <v>8</v>
      </c>
      <c r="C303" s="591" t="s">
        <v>9</v>
      </c>
      <c r="D303" s="460">
        <v>107.0</v>
      </c>
      <c r="E303" s="603" t="s">
        <v>2658</v>
      </c>
      <c r="F303" s="594"/>
      <c r="G303" s="594"/>
      <c r="H303" s="594"/>
      <c r="I303" s="462"/>
    </row>
    <row r="304">
      <c r="A304" s="643" t="s">
        <v>2682</v>
      </c>
      <c r="B304" s="643" t="s">
        <v>8</v>
      </c>
      <c r="C304" s="643" t="s">
        <v>9</v>
      </c>
      <c r="D304" s="531">
        <v>107.0</v>
      </c>
      <c r="E304" s="644" t="s">
        <v>2683</v>
      </c>
      <c r="F304" s="645"/>
      <c r="G304" s="645"/>
      <c r="H304" s="645"/>
      <c r="I304" s="533"/>
    </row>
    <row r="305">
      <c r="A305" s="591" t="s">
        <v>2684</v>
      </c>
      <c r="B305" s="591" t="s">
        <v>8</v>
      </c>
      <c r="C305" s="591" t="s">
        <v>16</v>
      </c>
      <c r="D305" s="460">
        <v>108.0</v>
      </c>
      <c r="E305" s="603" t="s">
        <v>2658</v>
      </c>
      <c r="F305" s="594"/>
      <c r="G305" s="594"/>
      <c r="H305" s="594"/>
      <c r="I305" s="462"/>
    </row>
    <row r="306">
      <c r="A306" s="646" t="s">
        <v>2685</v>
      </c>
      <c r="B306" s="643" t="s">
        <v>8</v>
      </c>
      <c r="C306" s="643" t="s">
        <v>20</v>
      </c>
      <c r="D306" s="647">
        <v>107.0</v>
      </c>
      <c r="E306" s="648" t="s">
        <v>2686</v>
      </c>
      <c r="F306" s="645"/>
      <c r="G306" s="645"/>
      <c r="H306" s="645"/>
      <c r="I306" s="533"/>
    </row>
    <row r="307">
      <c r="A307" s="606" t="s">
        <v>2687</v>
      </c>
      <c r="B307" s="591" t="s">
        <v>8</v>
      </c>
      <c r="C307" s="591" t="s">
        <v>12</v>
      </c>
      <c r="D307" s="607">
        <v>106.0</v>
      </c>
      <c r="E307" s="603" t="s">
        <v>2658</v>
      </c>
      <c r="F307" s="594"/>
      <c r="G307" s="594"/>
      <c r="H307" s="594"/>
      <c r="I307" s="462"/>
    </row>
    <row r="308">
      <c r="A308" s="643" t="s">
        <v>2688</v>
      </c>
      <c r="B308" s="643" t="s">
        <v>8</v>
      </c>
      <c r="C308" s="643" t="s">
        <v>40</v>
      </c>
      <c r="D308" s="531">
        <v>106.0</v>
      </c>
      <c r="E308" s="648" t="s">
        <v>2689</v>
      </c>
      <c r="F308" s="645"/>
      <c r="G308" s="645"/>
      <c r="H308" s="645"/>
      <c r="I308" s="533"/>
    </row>
    <row r="311">
      <c r="A311" s="649" t="s">
        <v>2690</v>
      </c>
      <c r="B311" s="650"/>
      <c r="C311" s="650"/>
      <c r="D311" s="651" t="s">
        <v>537</v>
      </c>
      <c r="E311" s="652" t="s">
        <v>5</v>
      </c>
      <c r="F311" s="653"/>
      <c r="G311" s="653"/>
      <c r="H311" s="653"/>
      <c r="I311" s="654"/>
    </row>
    <row r="312">
      <c r="A312" s="591" t="s">
        <v>2691</v>
      </c>
      <c r="B312" s="591" t="s">
        <v>8</v>
      </c>
      <c r="C312" s="591" t="s">
        <v>9</v>
      </c>
      <c r="D312" s="460">
        <v>109.0</v>
      </c>
      <c r="E312" s="603" t="s">
        <v>2658</v>
      </c>
      <c r="F312" s="594"/>
      <c r="G312" s="594"/>
      <c r="H312" s="594"/>
      <c r="I312" s="462"/>
    </row>
    <row r="313">
      <c r="A313" s="655" t="s">
        <v>1394</v>
      </c>
      <c r="B313" s="655" t="s">
        <v>8</v>
      </c>
      <c r="C313" s="655" t="s">
        <v>16</v>
      </c>
      <c r="D313" s="656">
        <v>108.0</v>
      </c>
      <c r="E313" s="657" t="s">
        <v>2692</v>
      </c>
      <c r="F313" s="658"/>
      <c r="G313" s="658"/>
      <c r="H313" s="658"/>
      <c r="I313" s="659"/>
    </row>
    <row r="314">
      <c r="A314" s="606" t="s">
        <v>2693</v>
      </c>
      <c r="B314" s="591" t="s">
        <v>8</v>
      </c>
      <c r="C314" s="591" t="s">
        <v>20</v>
      </c>
      <c r="D314" s="460">
        <v>107.0</v>
      </c>
      <c r="E314" s="603" t="s">
        <v>2658</v>
      </c>
      <c r="F314" s="594"/>
      <c r="G314" s="594"/>
      <c r="H314" s="594"/>
      <c r="I314" s="462"/>
    </row>
    <row r="315">
      <c r="A315" s="660" t="s">
        <v>2694</v>
      </c>
      <c r="B315" s="655" t="s">
        <v>8</v>
      </c>
      <c r="C315" s="655" t="s">
        <v>12</v>
      </c>
      <c r="D315" s="661">
        <v>106.0</v>
      </c>
      <c r="E315" s="657" t="s">
        <v>2695</v>
      </c>
      <c r="F315" s="658"/>
      <c r="G315" s="658"/>
      <c r="H315" s="658"/>
      <c r="I315" s="659"/>
    </row>
    <row r="316">
      <c r="A316" s="591" t="s">
        <v>2696</v>
      </c>
      <c r="B316" s="591" t="s">
        <v>8</v>
      </c>
      <c r="C316" s="591" t="s">
        <v>40</v>
      </c>
      <c r="D316" s="460">
        <v>108.0</v>
      </c>
      <c r="E316" s="603" t="s">
        <v>2697</v>
      </c>
      <c r="F316" s="594"/>
      <c r="G316" s="594"/>
      <c r="H316" s="594"/>
      <c r="I316" s="462"/>
    </row>
    <row r="319">
      <c r="A319" s="584" t="s">
        <v>2698</v>
      </c>
      <c r="B319" s="585"/>
      <c r="C319" s="585"/>
      <c r="D319" s="586" t="s">
        <v>537</v>
      </c>
      <c r="E319" s="587" t="s">
        <v>5</v>
      </c>
      <c r="F319" s="588"/>
      <c r="G319" s="588"/>
      <c r="H319" s="588"/>
      <c r="I319" s="589"/>
    </row>
    <row r="320">
      <c r="A320" s="591" t="s">
        <v>2699</v>
      </c>
      <c r="B320" s="591" t="s">
        <v>8</v>
      </c>
      <c r="C320" s="591" t="s">
        <v>9</v>
      </c>
      <c r="D320" s="460">
        <v>107.0</v>
      </c>
      <c r="E320" s="603" t="s">
        <v>2658</v>
      </c>
      <c r="F320" s="594"/>
      <c r="G320" s="594"/>
      <c r="H320" s="594"/>
      <c r="I320" s="462"/>
    </row>
    <row r="321">
      <c r="A321" s="596" t="s">
        <v>2700</v>
      </c>
      <c r="B321" s="662" t="s">
        <v>8</v>
      </c>
      <c r="C321" s="662" t="s">
        <v>16</v>
      </c>
      <c r="D321" s="663">
        <v>107.0</v>
      </c>
      <c r="E321" s="664" t="s">
        <v>785</v>
      </c>
      <c r="F321" s="600"/>
      <c r="G321" s="600"/>
      <c r="H321" s="600"/>
      <c r="I321" s="601"/>
    </row>
    <row r="322">
      <c r="A322" s="591" t="s">
        <v>2701</v>
      </c>
      <c r="B322" s="591" t="s">
        <v>8</v>
      </c>
      <c r="C322" s="591" t="s">
        <v>16</v>
      </c>
      <c r="D322" s="460">
        <v>107.0</v>
      </c>
      <c r="E322" s="617" t="s">
        <v>2702</v>
      </c>
      <c r="F322" s="594"/>
      <c r="G322" s="594"/>
      <c r="H322" s="594"/>
      <c r="I322" s="462"/>
    </row>
    <row r="323">
      <c r="A323" s="596" t="s">
        <v>2703</v>
      </c>
      <c r="B323" s="596" t="s">
        <v>8</v>
      </c>
      <c r="C323" s="596" t="s">
        <v>16</v>
      </c>
      <c r="D323" s="597">
        <v>108.0</v>
      </c>
      <c r="E323" s="665" t="s">
        <v>2658</v>
      </c>
      <c r="F323" s="600"/>
      <c r="G323" s="600"/>
      <c r="H323" s="600"/>
      <c r="I323" s="601"/>
    </row>
    <row r="324">
      <c r="A324" s="606" t="s">
        <v>2704</v>
      </c>
      <c r="B324" s="591" t="s">
        <v>8</v>
      </c>
      <c r="C324" s="591" t="s">
        <v>16</v>
      </c>
      <c r="D324" s="460">
        <v>108.0</v>
      </c>
      <c r="E324" s="617" t="s">
        <v>2705</v>
      </c>
      <c r="F324" s="594"/>
      <c r="G324" s="594"/>
      <c r="H324" s="594"/>
      <c r="I324" s="462"/>
    </row>
    <row r="325">
      <c r="A325" s="604" t="s">
        <v>2706</v>
      </c>
      <c r="B325" s="596" t="s">
        <v>8</v>
      </c>
      <c r="C325" s="596" t="s">
        <v>20</v>
      </c>
      <c r="D325" s="597">
        <v>107.0</v>
      </c>
      <c r="E325" s="599" t="s">
        <v>2686</v>
      </c>
      <c r="F325" s="600"/>
      <c r="G325" s="600"/>
      <c r="H325" s="600"/>
      <c r="I325" s="601"/>
    </row>
    <row r="326">
      <c r="A326" s="606" t="s">
        <v>2707</v>
      </c>
      <c r="B326" s="591" t="s">
        <v>8</v>
      </c>
      <c r="C326" s="591" t="s">
        <v>12</v>
      </c>
      <c r="D326" s="607">
        <v>106.0</v>
      </c>
      <c r="E326" s="603" t="s">
        <v>2708</v>
      </c>
      <c r="F326" s="594"/>
      <c r="G326" s="594"/>
      <c r="H326" s="594"/>
      <c r="I326" s="462"/>
    </row>
    <row r="327">
      <c r="A327" s="596" t="s">
        <v>2709</v>
      </c>
      <c r="B327" s="596" t="s">
        <v>8</v>
      </c>
      <c r="C327" s="596" t="s">
        <v>40</v>
      </c>
      <c r="D327" s="597">
        <v>109.0</v>
      </c>
      <c r="E327" s="599" t="s">
        <v>2710</v>
      </c>
      <c r="F327" s="600"/>
      <c r="G327" s="600"/>
      <c r="H327" s="600"/>
      <c r="I327" s="601"/>
    </row>
  </sheetData>
  <mergeCells count="107">
    <mergeCell ref="R31:S31"/>
    <mergeCell ref="R32:S32"/>
    <mergeCell ref="R33:S33"/>
    <mergeCell ref="R34:S34"/>
    <mergeCell ref="R35:S35"/>
    <mergeCell ref="R36:S36"/>
    <mergeCell ref="R37:S37"/>
    <mergeCell ref="R69:S69"/>
    <mergeCell ref="R70:S70"/>
    <mergeCell ref="R71:S71"/>
    <mergeCell ref="R72:S72"/>
    <mergeCell ref="R73:S73"/>
    <mergeCell ref="R74:S74"/>
    <mergeCell ref="R75:S75"/>
    <mergeCell ref="R106:S106"/>
    <mergeCell ref="R107:S107"/>
    <mergeCell ref="R108:S108"/>
    <mergeCell ref="R109:S109"/>
    <mergeCell ref="R110:S110"/>
    <mergeCell ref="R111:S111"/>
    <mergeCell ref="R112:S112"/>
    <mergeCell ref="R158:S158"/>
    <mergeCell ref="R159:S159"/>
    <mergeCell ref="R160:S160"/>
    <mergeCell ref="R161:S161"/>
    <mergeCell ref="R162:S162"/>
    <mergeCell ref="R163:S163"/>
    <mergeCell ref="R164:S164"/>
    <mergeCell ref="R196:S196"/>
    <mergeCell ref="R197:S197"/>
    <mergeCell ref="R198:S198"/>
    <mergeCell ref="R199:S199"/>
    <mergeCell ref="R200:S200"/>
    <mergeCell ref="R201:S201"/>
    <mergeCell ref="R202:S202"/>
    <mergeCell ref="R232:S232"/>
    <mergeCell ref="R233:S233"/>
    <mergeCell ref="R234:S234"/>
    <mergeCell ref="R235:S235"/>
    <mergeCell ref="R236:S236"/>
    <mergeCell ref="R237:S237"/>
    <mergeCell ref="H243:L243"/>
    <mergeCell ref="H244:L244"/>
    <mergeCell ref="H245:L245"/>
    <mergeCell ref="H246:L246"/>
    <mergeCell ref="H247:L247"/>
    <mergeCell ref="H248:L248"/>
    <mergeCell ref="H249:L249"/>
    <mergeCell ref="H252:L252"/>
    <mergeCell ref="E326:I326"/>
    <mergeCell ref="E327:I327"/>
    <mergeCell ref="E319:I319"/>
    <mergeCell ref="E320:I320"/>
    <mergeCell ref="E321:I321"/>
    <mergeCell ref="E322:I322"/>
    <mergeCell ref="E323:I323"/>
    <mergeCell ref="E324:I324"/>
    <mergeCell ref="E325:I325"/>
    <mergeCell ref="H253:L253"/>
    <mergeCell ref="H254:L254"/>
    <mergeCell ref="H255:L255"/>
    <mergeCell ref="H256:L256"/>
    <mergeCell ref="H257:L257"/>
    <mergeCell ref="H260:L260"/>
    <mergeCell ref="H261:L261"/>
    <mergeCell ref="H262:L262"/>
    <mergeCell ref="H263:L263"/>
    <mergeCell ref="H265:L265"/>
    <mergeCell ref="H266:L266"/>
    <mergeCell ref="H269:L269"/>
    <mergeCell ref="H270:L270"/>
    <mergeCell ref="H271:L271"/>
    <mergeCell ref="H272:L272"/>
    <mergeCell ref="H273:L273"/>
    <mergeCell ref="H274:L274"/>
    <mergeCell ref="H275:L275"/>
    <mergeCell ref="E280:I280"/>
    <mergeCell ref="E281:I281"/>
    <mergeCell ref="E282:I282"/>
    <mergeCell ref="E283:I283"/>
    <mergeCell ref="E284:I284"/>
    <mergeCell ref="E285:I285"/>
    <mergeCell ref="E286:I286"/>
    <mergeCell ref="E287:I287"/>
    <mergeCell ref="E290:I290"/>
    <mergeCell ref="E291:I291"/>
    <mergeCell ref="E292:I292"/>
    <mergeCell ref="E293:I293"/>
    <mergeCell ref="E294:I294"/>
    <mergeCell ref="E295:I295"/>
    <mergeCell ref="E296:I296"/>
    <mergeCell ref="E297:I297"/>
    <mergeCell ref="E298:I298"/>
    <mergeCell ref="E299:I299"/>
    <mergeCell ref="E302:I302"/>
    <mergeCell ref="E303:I303"/>
    <mergeCell ref="E304:I304"/>
    <mergeCell ref="E305:I305"/>
    <mergeCell ref="E306:I306"/>
    <mergeCell ref="E307:I307"/>
    <mergeCell ref="E308:I308"/>
    <mergeCell ref="E311:I311"/>
    <mergeCell ref="E312:I312"/>
    <mergeCell ref="E313:I313"/>
    <mergeCell ref="E314:I314"/>
    <mergeCell ref="E315:I315"/>
    <mergeCell ref="E316:I316"/>
  </mergeCells>
  <dataValidations>
    <dataValidation type="list" allowBlank="1" showErrorMessage="1" sqref="B3:B25 B43:B63 B81:B100 B121:B152 B171:B190 B209:B226 B244:B249 B253:B257 B261:B266 B270:B275 B281:B287 B291:B299 B303:B308 B312:B316 B320:B327">
      <formula1>"SSS,SS,S,AAA,AA,A,Blue,Green"</formula1>
    </dataValidation>
    <dataValidation type="list" allowBlank="1" showErrorMessage="1" sqref="C3:C25 C43:C63 C81:C100 C121:C152 C171:C190 C209:C226 C244:C249 C253:C257 C261:C266 C270:C275 C281:C287 C291:C299 C303:C308 C312:C316 C320:C327">
      <formula1>"FAME,ART,FTH,CIV,TECH"</formula1>
    </dataValidation>
  </dataValidation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5.18"/>
    <col customWidth="1" min="10" max="10" width="100.91"/>
  </cols>
  <sheetData>
    <row r="1">
      <c r="A1" s="148" t="s">
        <v>0</v>
      </c>
      <c r="B1" s="124" t="s">
        <v>1</v>
      </c>
      <c r="C1" s="124" t="s">
        <v>2</v>
      </c>
      <c r="D1" s="124" t="s">
        <v>202</v>
      </c>
      <c r="E1" s="124" t="s">
        <v>203</v>
      </c>
      <c r="F1" s="124" t="s">
        <v>2711</v>
      </c>
      <c r="G1" s="124" t="s">
        <v>2712</v>
      </c>
      <c r="H1" s="124" t="s">
        <v>2713</v>
      </c>
      <c r="I1" s="124" t="s">
        <v>2714</v>
      </c>
      <c r="J1" s="129" t="s">
        <v>5</v>
      </c>
    </row>
    <row r="2">
      <c r="A2" s="144" t="s">
        <v>2715</v>
      </c>
      <c r="B2" s="87"/>
      <c r="C2" s="87"/>
      <c r="D2" s="87"/>
      <c r="E2" s="87"/>
      <c r="F2" s="87"/>
      <c r="G2" s="87"/>
      <c r="H2" s="87"/>
      <c r="I2" s="87"/>
      <c r="J2" s="88"/>
    </row>
    <row r="3">
      <c r="A3" s="147" t="s">
        <v>2716</v>
      </c>
      <c r="B3" s="8" t="s">
        <v>96</v>
      </c>
      <c r="C3" s="8" t="s">
        <v>20</v>
      </c>
      <c r="D3" s="91">
        <v>10.0</v>
      </c>
      <c r="E3" s="8"/>
      <c r="F3" s="91"/>
      <c r="G3" s="87"/>
      <c r="H3" s="91"/>
      <c r="I3" s="91"/>
      <c r="J3" s="92" t="s">
        <v>620</v>
      </c>
    </row>
    <row r="4">
      <c r="A4" s="147" t="s">
        <v>2717</v>
      </c>
      <c r="B4" s="8" t="s">
        <v>54</v>
      </c>
      <c r="C4" s="8" t="s">
        <v>12</v>
      </c>
      <c r="D4" s="91"/>
      <c r="E4" s="91"/>
      <c r="F4" s="91"/>
      <c r="G4" s="87"/>
      <c r="H4" s="87"/>
      <c r="I4" s="8">
        <v>10.0</v>
      </c>
      <c r="J4" s="92" t="s">
        <v>2718</v>
      </c>
    </row>
    <row r="5">
      <c r="A5" s="147" t="s">
        <v>2719</v>
      </c>
      <c r="B5" s="8" t="s">
        <v>15</v>
      </c>
      <c r="C5" s="8" t="s">
        <v>16</v>
      </c>
      <c r="D5" s="91"/>
      <c r="E5" s="87"/>
      <c r="F5" s="8">
        <v>9.0</v>
      </c>
      <c r="G5" s="8"/>
      <c r="H5" s="87"/>
      <c r="I5" s="87"/>
      <c r="J5" s="92" t="s">
        <v>2720</v>
      </c>
    </row>
    <row r="6">
      <c r="A6" s="666" t="s">
        <v>2721</v>
      </c>
      <c r="B6" s="8" t="s">
        <v>15</v>
      </c>
      <c r="C6" s="415" t="s">
        <v>9</v>
      </c>
      <c r="D6" s="134"/>
      <c r="E6" s="134"/>
      <c r="F6" s="133">
        <v>9.0</v>
      </c>
      <c r="G6" s="133">
        <v>7.0</v>
      </c>
      <c r="H6" s="134"/>
      <c r="I6" s="134"/>
      <c r="J6" s="667" t="s">
        <v>400</v>
      </c>
    </row>
    <row r="7">
      <c r="A7" s="147" t="s">
        <v>2722</v>
      </c>
      <c r="B7" s="8" t="s">
        <v>417</v>
      </c>
      <c r="C7" s="8" t="s">
        <v>40</v>
      </c>
      <c r="D7" s="87"/>
      <c r="E7" s="87"/>
      <c r="F7" s="8"/>
      <c r="G7" s="8"/>
      <c r="H7" s="91">
        <v>7.0</v>
      </c>
      <c r="I7" s="91">
        <v>7.0</v>
      </c>
      <c r="J7" s="137" t="s">
        <v>704</v>
      </c>
    </row>
    <row r="8">
      <c r="A8" s="147" t="s">
        <v>2723</v>
      </c>
      <c r="B8" s="8" t="s">
        <v>417</v>
      </c>
      <c r="C8" s="8" t="s">
        <v>16</v>
      </c>
      <c r="D8" s="91">
        <v>7.0</v>
      </c>
      <c r="E8" s="91">
        <v>7.0</v>
      </c>
      <c r="F8" s="91"/>
      <c r="G8" s="87"/>
      <c r="H8" s="87"/>
      <c r="I8" s="87"/>
      <c r="J8" s="137" t="s">
        <v>870</v>
      </c>
    </row>
    <row r="9">
      <c r="A9" s="52" t="s">
        <v>2724</v>
      </c>
      <c r="B9" s="93"/>
      <c r="C9" s="93"/>
      <c r="D9" s="94">
        <f>sum(D3:E8)</f>
        <v>24</v>
      </c>
      <c r="E9" s="93"/>
      <c r="F9" s="94">
        <f>sum(F3:G8)</f>
        <v>25</v>
      </c>
      <c r="G9" s="93"/>
      <c r="H9" s="94">
        <f>sum(H3:I8)</f>
        <v>24</v>
      </c>
      <c r="I9" s="93"/>
      <c r="J9" s="97"/>
    </row>
    <row r="10">
      <c r="A10" s="79"/>
      <c r="B10" s="80"/>
      <c r="C10" s="80"/>
      <c r="D10" s="80"/>
      <c r="E10" s="80"/>
      <c r="F10" s="80"/>
      <c r="G10" s="80"/>
      <c r="H10" s="80"/>
      <c r="I10" s="80"/>
      <c r="J10" s="80"/>
    </row>
    <row r="11">
      <c r="A11" s="148" t="s">
        <v>0</v>
      </c>
      <c r="B11" s="124" t="s">
        <v>1</v>
      </c>
      <c r="C11" s="124" t="s">
        <v>2</v>
      </c>
      <c r="D11" s="124" t="s">
        <v>202</v>
      </c>
      <c r="E11" s="124" t="s">
        <v>203</v>
      </c>
      <c r="F11" s="124" t="s">
        <v>2711</v>
      </c>
      <c r="G11" s="124" t="s">
        <v>2712</v>
      </c>
      <c r="H11" s="124" t="s">
        <v>2713</v>
      </c>
      <c r="I11" s="124" t="s">
        <v>2714</v>
      </c>
      <c r="J11" s="129" t="s">
        <v>5</v>
      </c>
    </row>
    <row r="12">
      <c r="A12" s="144" t="s">
        <v>2725</v>
      </c>
      <c r="B12" s="87"/>
      <c r="C12" s="87"/>
      <c r="D12" s="87"/>
      <c r="E12" s="87"/>
      <c r="F12" s="87"/>
      <c r="G12" s="87"/>
      <c r="H12" s="87"/>
      <c r="I12" s="87"/>
      <c r="J12" s="88"/>
    </row>
    <row r="13">
      <c r="A13" s="147" t="s">
        <v>2716</v>
      </c>
      <c r="B13" s="8" t="s">
        <v>96</v>
      </c>
      <c r="C13" s="8" t="s">
        <v>20</v>
      </c>
      <c r="D13" s="91">
        <v>10.0</v>
      </c>
      <c r="E13" s="8"/>
      <c r="F13" s="91"/>
      <c r="G13" s="87"/>
      <c r="H13" s="91"/>
      <c r="I13" s="91"/>
      <c r="J13" s="92" t="s">
        <v>620</v>
      </c>
    </row>
    <row r="14">
      <c r="A14" s="668" t="s">
        <v>2726</v>
      </c>
      <c r="B14" s="8" t="s">
        <v>141</v>
      </c>
      <c r="C14" s="8" t="s">
        <v>16</v>
      </c>
      <c r="D14" s="140"/>
      <c r="E14" s="140"/>
      <c r="F14" s="139">
        <v>8.0</v>
      </c>
      <c r="G14" s="139">
        <v>7.0</v>
      </c>
      <c r="H14" s="669"/>
      <c r="I14" s="669"/>
      <c r="J14" s="108" t="s">
        <v>256</v>
      </c>
    </row>
    <row r="15">
      <c r="A15" s="147" t="s">
        <v>2723</v>
      </c>
      <c r="B15" s="8" t="s">
        <v>417</v>
      </c>
      <c r="C15" s="8" t="s">
        <v>16</v>
      </c>
      <c r="D15" s="91">
        <v>7.0</v>
      </c>
      <c r="E15" s="91"/>
      <c r="F15" s="91"/>
      <c r="G15" s="87"/>
      <c r="H15" s="87"/>
      <c r="I15" s="87"/>
      <c r="J15" s="137" t="s">
        <v>870</v>
      </c>
    </row>
    <row r="16">
      <c r="A16" s="668" t="s">
        <v>2727</v>
      </c>
      <c r="B16" s="8" t="s">
        <v>417</v>
      </c>
      <c r="C16" s="8" t="s">
        <v>9</v>
      </c>
      <c r="D16" s="669"/>
      <c r="E16" s="669"/>
      <c r="F16" s="140"/>
      <c r="G16" s="140"/>
      <c r="H16" s="139">
        <v>7.0</v>
      </c>
      <c r="I16" s="669"/>
      <c r="J16" s="108" t="s">
        <v>503</v>
      </c>
    </row>
    <row r="17">
      <c r="A17" s="670" t="s">
        <v>2728</v>
      </c>
      <c r="B17" s="151"/>
      <c r="C17" s="151"/>
      <c r="D17" s="671">
        <f>sum(D13:E16)</f>
        <v>17</v>
      </c>
      <c r="E17" s="151"/>
      <c r="F17" s="671">
        <f>sum(F13:G16)</f>
        <v>15</v>
      </c>
      <c r="G17" s="151"/>
      <c r="H17" s="671">
        <f>sum(H13:I16)</f>
        <v>7</v>
      </c>
      <c r="I17" s="151"/>
      <c r="J17" s="199"/>
    </row>
    <row r="18">
      <c r="A18" s="672"/>
      <c r="B18" s="672"/>
      <c r="C18" s="672"/>
      <c r="D18" s="672"/>
      <c r="F18" s="672"/>
      <c r="H18" s="672"/>
      <c r="J18" s="672"/>
    </row>
    <row r="19">
      <c r="A19" s="672"/>
      <c r="B19" s="672"/>
      <c r="C19" s="672"/>
      <c r="D19" s="672"/>
      <c r="F19" s="672"/>
      <c r="H19" s="672"/>
      <c r="J19" s="672"/>
    </row>
    <row r="20">
      <c r="A20" s="673" t="s">
        <v>0</v>
      </c>
      <c r="B20" s="674" t="s">
        <v>1</v>
      </c>
      <c r="C20" s="674" t="s">
        <v>2</v>
      </c>
      <c r="D20" s="674" t="s">
        <v>202</v>
      </c>
      <c r="E20" s="674" t="s">
        <v>203</v>
      </c>
      <c r="F20" s="674" t="s">
        <v>2711</v>
      </c>
      <c r="G20" s="674" t="s">
        <v>2712</v>
      </c>
      <c r="H20" s="674" t="s">
        <v>2713</v>
      </c>
      <c r="I20" s="674" t="s">
        <v>2714</v>
      </c>
      <c r="J20" s="675" t="s">
        <v>5</v>
      </c>
    </row>
    <row r="21">
      <c r="A21" s="676" t="s">
        <v>2729</v>
      </c>
      <c r="B21" s="140"/>
      <c r="C21" s="140"/>
      <c r="D21" s="140"/>
      <c r="E21" s="140"/>
      <c r="F21" s="140"/>
      <c r="G21" s="140"/>
      <c r="H21" s="140"/>
      <c r="I21" s="140"/>
      <c r="J21" s="150"/>
    </row>
    <row r="22">
      <c r="A22" s="147" t="s">
        <v>2716</v>
      </c>
      <c r="B22" s="8" t="s">
        <v>96</v>
      </c>
      <c r="C22" s="8" t="s">
        <v>20</v>
      </c>
      <c r="D22" s="91">
        <v>10.0</v>
      </c>
      <c r="E22" s="8">
        <v>10.0</v>
      </c>
      <c r="F22" s="91"/>
      <c r="G22" s="87"/>
      <c r="H22" s="91"/>
      <c r="I22" s="91"/>
      <c r="J22" s="92" t="s">
        <v>620</v>
      </c>
    </row>
    <row r="23">
      <c r="A23" s="668" t="s">
        <v>2730</v>
      </c>
      <c r="B23" s="8" t="s">
        <v>15</v>
      </c>
      <c r="C23" s="8" t="s">
        <v>40</v>
      </c>
      <c r="D23" s="139">
        <v>9.0</v>
      </c>
      <c r="E23" s="140"/>
      <c r="F23" s="669"/>
      <c r="G23" s="669"/>
      <c r="H23" s="140"/>
      <c r="I23" s="140"/>
      <c r="J23" s="108" t="s">
        <v>2240</v>
      </c>
    </row>
    <row r="24">
      <c r="A24" s="668" t="s">
        <v>794</v>
      </c>
      <c r="B24" s="8" t="s">
        <v>141</v>
      </c>
      <c r="C24" s="8" t="s">
        <v>40</v>
      </c>
      <c r="D24" s="140"/>
      <c r="E24" s="140"/>
      <c r="F24" s="139">
        <v>8.0</v>
      </c>
      <c r="G24" s="669"/>
      <c r="H24" s="139">
        <v>8.0</v>
      </c>
      <c r="I24" s="139">
        <v>7.0</v>
      </c>
      <c r="J24" s="108" t="s">
        <v>353</v>
      </c>
    </row>
    <row r="25">
      <c r="A25" s="668" t="s">
        <v>745</v>
      </c>
      <c r="B25" s="8" t="s">
        <v>19</v>
      </c>
      <c r="C25" s="415" t="s">
        <v>9</v>
      </c>
      <c r="D25" s="139">
        <v>5.0</v>
      </c>
      <c r="E25" s="139">
        <v>5.0</v>
      </c>
      <c r="F25" s="669"/>
      <c r="G25" s="669"/>
      <c r="H25" s="140"/>
      <c r="I25" s="140"/>
      <c r="J25" s="108" t="s">
        <v>746</v>
      </c>
    </row>
    <row r="26">
      <c r="A26" s="670" t="s">
        <v>2731</v>
      </c>
      <c r="B26" s="151"/>
      <c r="C26" s="151"/>
      <c r="D26" s="671">
        <f>sum(D22:E25)</f>
        <v>39</v>
      </c>
      <c r="E26" s="151"/>
      <c r="F26" s="671">
        <f>sum(F22:G25)</f>
        <v>8</v>
      </c>
      <c r="G26" s="151"/>
      <c r="H26" s="671">
        <f>sum(H22:I25)</f>
        <v>15</v>
      </c>
      <c r="I26" s="151"/>
      <c r="J26" s="199"/>
    </row>
    <row r="27">
      <c r="A27" s="672"/>
      <c r="B27" s="672"/>
      <c r="C27" s="672"/>
      <c r="J27" s="672"/>
    </row>
    <row r="28">
      <c r="A28" s="672"/>
      <c r="B28" s="672"/>
      <c r="C28" s="672"/>
      <c r="J28" s="672"/>
    </row>
    <row r="29">
      <c r="A29" s="673" t="s">
        <v>0</v>
      </c>
      <c r="B29" s="674" t="s">
        <v>1</v>
      </c>
      <c r="C29" s="674" t="s">
        <v>2</v>
      </c>
      <c r="D29" s="674" t="s">
        <v>202</v>
      </c>
      <c r="E29" s="674" t="s">
        <v>203</v>
      </c>
      <c r="F29" s="674" t="s">
        <v>2711</v>
      </c>
      <c r="G29" s="674" t="s">
        <v>2712</v>
      </c>
      <c r="H29" s="674" t="s">
        <v>2713</v>
      </c>
      <c r="I29" s="674" t="s">
        <v>2714</v>
      </c>
      <c r="J29" s="675" t="s">
        <v>5</v>
      </c>
    </row>
    <row r="30">
      <c r="A30" s="676" t="s">
        <v>2732</v>
      </c>
      <c r="B30" s="140"/>
      <c r="C30" s="140"/>
      <c r="D30" s="140"/>
      <c r="E30" s="140"/>
      <c r="F30" s="140"/>
      <c r="G30" s="140"/>
      <c r="H30" s="140"/>
      <c r="I30" s="140"/>
      <c r="J30" s="150"/>
    </row>
    <row r="31">
      <c r="A31" s="668" t="s">
        <v>2733</v>
      </c>
      <c r="B31" s="8" t="s">
        <v>96</v>
      </c>
      <c r="C31" s="8" t="s">
        <v>12</v>
      </c>
      <c r="D31" s="139">
        <v>10.0</v>
      </c>
      <c r="E31" s="139">
        <v>10.0</v>
      </c>
      <c r="F31" s="139">
        <v>10.0</v>
      </c>
      <c r="G31" s="140"/>
      <c r="H31" s="139">
        <v>10.0</v>
      </c>
      <c r="I31" s="669"/>
      <c r="J31" s="108" t="s">
        <v>2734</v>
      </c>
    </row>
    <row r="32">
      <c r="A32" s="668" t="s">
        <v>802</v>
      </c>
      <c r="B32" s="8" t="s">
        <v>15</v>
      </c>
      <c r="C32" s="415" t="s">
        <v>9</v>
      </c>
      <c r="D32" s="139">
        <v>9.0</v>
      </c>
      <c r="E32" s="140"/>
      <c r="F32" s="669"/>
      <c r="G32" s="669"/>
      <c r="H32" s="139">
        <v>9.0</v>
      </c>
      <c r="I32" s="139">
        <v>7.0</v>
      </c>
      <c r="J32" s="108" t="s">
        <v>266</v>
      </c>
    </row>
    <row r="33">
      <c r="A33" s="668" t="s">
        <v>1457</v>
      </c>
      <c r="B33" s="8" t="s">
        <v>141</v>
      </c>
      <c r="C33" s="8" t="s">
        <v>16</v>
      </c>
      <c r="D33" s="140"/>
      <c r="E33" s="140"/>
      <c r="F33" s="139">
        <v>8.0</v>
      </c>
      <c r="G33" s="669">
        <v>7.0</v>
      </c>
      <c r="H33" s="669"/>
      <c r="I33" s="669"/>
      <c r="J33" s="108" t="s">
        <v>610</v>
      </c>
    </row>
    <row r="34">
      <c r="A34" s="670" t="s">
        <v>2735</v>
      </c>
      <c r="B34" s="151"/>
      <c r="C34" s="151"/>
      <c r="D34" s="671">
        <f>sum(D31:E33)</f>
        <v>29</v>
      </c>
      <c r="E34" s="151"/>
      <c r="F34" s="671">
        <f>sum(F31:G33)</f>
        <v>25</v>
      </c>
      <c r="G34" s="151"/>
      <c r="H34" s="671">
        <f>sum(H31:I33)</f>
        <v>26</v>
      </c>
      <c r="I34" s="151"/>
      <c r="J34" s="199"/>
    </row>
    <row r="37">
      <c r="A37" s="148" t="s">
        <v>0</v>
      </c>
      <c r="B37" s="124" t="s">
        <v>1</v>
      </c>
      <c r="C37" s="124" t="s">
        <v>2</v>
      </c>
      <c r="D37" s="124" t="s">
        <v>202</v>
      </c>
      <c r="E37" s="124" t="s">
        <v>203</v>
      </c>
      <c r="F37" s="124" t="s">
        <v>2711</v>
      </c>
      <c r="G37" s="124" t="s">
        <v>2712</v>
      </c>
      <c r="H37" s="124" t="s">
        <v>2713</v>
      </c>
      <c r="I37" s="124" t="s">
        <v>2714</v>
      </c>
      <c r="J37" s="129" t="s">
        <v>5</v>
      </c>
    </row>
    <row r="38">
      <c r="A38" s="144" t="s">
        <v>2736</v>
      </c>
      <c r="B38" s="87"/>
      <c r="C38" s="87"/>
      <c r="D38" s="87"/>
      <c r="E38" s="87"/>
      <c r="F38" s="87"/>
      <c r="G38" s="87"/>
      <c r="H38" s="87"/>
      <c r="I38" s="87"/>
      <c r="J38" s="88"/>
    </row>
    <row r="39">
      <c r="A39" s="147" t="s">
        <v>2717</v>
      </c>
      <c r="B39" s="8" t="s">
        <v>54</v>
      </c>
      <c r="C39" s="8" t="s">
        <v>12</v>
      </c>
      <c r="D39" s="91">
        <v>11.0</v>
      </c>
      <c r="E39" s="91"/>
      <c r="F39" s="91">
        <v>11.0</v>
      </c>
      <c r="G39" s="87"/>
      <c r="H39" s="8">
        <v>11.0</v>
      </c>
      <c r="I39" s="8"/>
      <c r="J39" s="92" t="s">
        <v>2718</v>
      </c>
    </row>
    <row r="40">
      <c r="A40" s="147" t="s">
        <v>2737</v>
      </c>
      <c r="B40" s="8" t="s">
        <v>15</v>
      </c>
      <c r="C40" s="8" t="s">
        <v>20</v>
      </c>
      <c r="D40" s="91"/>
      <c r="E40" s="87"/>
      <c r="F40" s="8"/>
      <c r="G40" s="8"/>
      <c r="H40" s="8">
        <v>9.0</v>
      </c>
      <c r="I40" s="87"/>
      <c r="J40" s="92" t="s">
        <v>139</v>
      </c>
    </row>
    <row r="41">
      <c r="A41" s="147" t="s">
        <v>950</v>
      </c>
      <c r="B41" s="8" t="s">
        <v>141</v>
      </c>
      <c r="C41" s="415" t="s">
        <v>9</v>
      </c>
      <c r="D41" s="8">
        <v>8.0</v>
      </c>
      <c r="E41" s="8">
        <v>7.0</v>
      </c>
      <c r="F41" s="8">
        <v>8.0</v>
      </c>
      <c r="G41" s="8"/>
      <c r="H41" s="91"/>
      <c r="I41" s="91"/>
      <c r="J41" s="137" t="s">
        <v>260</v>
      </c>
    </row>
    <row r="42">
      <c r="A42" s="147" t="s">
        <v>2738</v>
      </c>
      <c r="B42" s="8" t="s">
        <v>19</v>
      </c>
      <c r="C42" s="8" t="s">
        <v>12</v>
      </c>
      <c r="D42" s="91">
        <v>5.0</v>
      </c>
      <c r="E42" s="91">
        <v>5.0</v>
      </c>
      <c r="F42" s="8"/>
      <c r="G42" s="8"/>
      <c r="H42" s="87"/>
      <c r="I42" s="87"/>
      <c r="J42" s="137" t="s">
        <v>696</v>
      </c>
    </row>
    <row r="43">
      <c r="A43" s="52" t="s">
        <v>2739</v>
      </c>
      <c r="B43" s="93"/>
      <c r="C43" s="93"/>
      <c r="D43" s="94">
        <f>sum(D39:E42)</f>
        <v>36</v>
      </c>
      <c r="E43" s="93"/>
      <c r="F43" s="94">
        <f>sum(F39:G42)</f>
        <v>19</v>
      </c>
      <c r="G43" s="93"/>
      <c r="H43" s="94">
        <f>sum(H39:I42)</f>
        <v>20</v>
      </c>
      <c r="I43" s="93"/>
      <c r="J43" s="97"/>
    </row>
    <row r="46">
      <c r="A46" s="148" t="s">
        <v>0</v>
      </c>
      <c r="B46" s="124" t="s">
        <v>1</v>
      </c>
      <c r="C46" s="124" t="s">
        <v>2</v>
      </c>
      <c r="D46" s="124" t="s">
        <v>202</v>
      </c>
      <c r="E46" s="124" t="s">
        <v>203</v>
      </c>
      <c r="F46" s="124" t="s">
        <v>2711</v>
      </c>
      <c r="G46" s="124" t="s">
        <v>2712</v>
      </c>
      <c r="H46" s="124" t="s">
        <v>2713</v>
      </c>
      <c r="I46" s="124" t="s">
        <v>2714</v>
      </c>
      <c r="J46" s="129" t="s">
        <v>5</v>
      </c>
    </row>
    <row r="47">
      <c r="A47" s="144" t="s">
        <v>2740</v>
      </c>
      <c r="B47" s="87"/>
      <c r="C47" s="87"/>
      <c r="D47" s="87"/>
      <c r="E47" s="87"/>
      <c r="F47" s="87"/>
      <c r="G47" s="87"/>
      <c r="H47" s="87"/>
      <c r="I47" s="87"/>
      <c r="J47" s="88"/>
    </row>
    <row r="48">
      <c r="A48" s="147" t="s">
        <v>2741</v>
      </c>
      <c r="B48" s="8" t="s">
        <v>23</v>
      </c>
      <c r="C48" s="8" t="s">
        <v>40</v>
      </c>
      <c r="D48" s="91">
        <v>1.8</v>
      </c>
      <c r="E48" s="91"/>
      <c r="F48" s="8"/>
      <c r="G48" s="8"/>
      <c r="H48" s="87"/>
      <c r="I48" s="87"/>
      <c r="J48" s="137" t="s">
        <v>558</v>
      </c>
    </row>
    <row r="49">
      <c r="A49" s="52" t="s">
        <v>2742</v>
      </c>
      <c r="B49" s="93"/>
      <c r="C49" s="93"/>
      <c r="D49" s="94">
        <f>sum(D48:E48)</f>
        <v>1.8</v>
      </c>
      <c r="E49" s="93"/>
      <c r="F49" s="94">
        <f>sum(F48:G48)</f>
        <v>0</v>
      </c>
      <c r="G49" s="93"/>
      <c r="H49" s="94">
        <f>sum(H48:I48)</f>
        <v>0</v>
      </c>
      <c r="I49" s="93"/>
      <c r="J49" s="97"/>
    </row>
  </sheetData>
  <dataValidations>
    <dataValidation type="list" allowBlank="1" showErrorMessage="1" sqref="B3:B8 B13:B16 B22:B25 B31:B33 B39:B42 B48">
      <formula1>"SSS,SS,S,AAA,AA,A,Blue,Green"</formula1>
    </dataValidation>
    <dataValidation type="list" allowBlank="1" showErrorMessage="1" sqref="C3:C8 C13:C16 C22:C25 C31:C33 C39:C42 C48">
      <formula1>"FAME,ART,FTH,CIV,TECH"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6.82"/>
    <col customWidth="1" min="4" max="4" width="9.73"/>
    <col customWidth="1" min="5" max="5" width="8.82"/>
    <col customWidth="1" min="6" max="6" width="9.0"/>
    <col customWidth="1" min="7" max="7" width="10.73"/>
    <col customWidth="1" min="8" max="8" width="38.09"/>
  </cols>
  <sheetData>
    <row r="1">
      <c r="A1" s="148" t="s">
        <v>0</v>
      </c>
      <c r="B1" s="124" t="s">
        <v>1</v>
      </c>
      <c r="C1" s="124" t="s">
        <v>2</v>
      </c>
      <c r="D1" s="124" t="s">
        <v>2743</v>
      </c>
      <c r="E1" s="124" t="s">
        <v>2744</v>
      </c>
      <c r="F1" s="124" t="s">
        <v>2745</v>
      </c>
      <c r="G1" s="124" t="s">
        <v>2746</v>
      </c>
      <c r="H1" s="129" t="s">
        <v>5</v>
      </c>
    </row>
    <row r="2">
      <c r="A2" s="144" t="s">
        <v>6</v>
      </c>
      <c r="B2" s="87"/>
      <c r="C2" s="87"/>
      <c r="D2" s="87"/>
      <c r="E2" s="87"/>
      <c r="F2" s="87"/>
      <c r="G2" s="87"/>
      <c r="H2" s="88"/>
    </row>
    <row r="3">
      <c r="A3" s="147" t="s">
        <v>1304</v>
      </c>
      <c r="B3" s="8" t="s">
        <v>8</v>
      </c>
      <c r="C3" s="415" t="s">
        <v>12</v>
      </c>
      <c r="D3" s="91"/>
      <c r="E3" s="8">
        <v>1.0</v>
      </c>
      <c r="F3" s="91">
        <v>2.4</v>
      </c>
      <c r="G3" s="87"/>
      <c r="H3" s="92" t="s">
        <v>568</v>
      </c>
    </row>
    <row r="4">
      <c r="A4" s="147" t="s">
        <v>2747</v>
      </c>
      <c r="B4" s="8" t="s">
        <v>8</v>
      </c>
      <c r="C4" s="8" t="s">
        <v>16</v>
      </c>
      <c r="D4" s="91"/>
      <c r="E4" s="91"/>
      <c r="F4" s="91">
        <v>3.4</v>
      </c>
      <c r="G4" s="87"/>
      <c r="H4" s="92" t="s">
        <v>2748</v>
      </c>
    </row>
    <row r="5">
      <c r="A5" s="147" t="s">
        <v>2749</v>
      </c>
      <c r="B5" s="8" t="s">
        <v>8</v>
      </c>
      <c r="C5" s="8" t="s">
        <v>20</v>
      </c>
      <c r="D5" s="91"/>
      <c r="E5" s="91">
        <v>2.4</v>
      </c>
      <c r="F5" s="91">
        <v>2.4</v>
      </c>
      <c r="G5" s="8">
        <v>3.4</v>
      </c>
      <c r="H5" s="92" t="s">
        <v>2359</v>
      </c>
    </row>
    <row r="6">
      <c r="A6" s="147" t="s">
        <v>2750</v>
      </c>
      <c r="B6" s="8" t="s">
        <v>8</v>
      </c>
      <c r="C6" s="8" t="s">
        <v>16</v>
      </c>
      <c r="D6" s="91"/>
      <c r="E6" s="91"/>
      <c r="F6" s="87"/>
      <c r="G6" s="8">
        <v>2.4</v>
      </c>
      <c r="H6" s="137" t="s">
        <v>698</v>
      </c>
    </row>
    <row r="7">
      <c r="A7" s="147" t="s">
        <v>2751</v>
      </c>
      <c r="B7" s="8" t="s">
        <v>54</v>
      </c>
      <c r="C7" s="8" t="s">
        <v>16</v>
      </c>
      <c r="D7" s="91">
        <v>3.2</v>
      </c>
      <c r="E7" s="8">
        <v>2.2</v>
      </c>
      <c r="F7" s="8"/>
      <c r="G7" s="8"/>
      <c r="H7" s="92" t="s">
        <v>848</v>
      </c>
    </row>
    <row r="8">
      <c r="A8" s="147" t="s">
        <v>2752</v>
      </c>
      <c r="B8" s="8" t="s">
        <v>15</v>
      </c>
      <c r="C8" s="8" t="s">
        <v>12</v>
      </c>
      <c r="D8" s="87"/>
      <c r="E8" s="87"/>
      <c r="F8" s="8">
        <v>2.5</v>
      </c>
      <c r="G8" s="8"/>
      <c r="H8" s="137" t="s">
        <v>777</v>
      </c>
    </row>
    <row r="9">
      <c r="A9" s="147" t="s">
        <v>2753</v>
      </c>
      <c r="B9" s="8" t="s">
        <v>19</v>
      </c>
      <c r="C9" s="8" t="s">
        <v>16</v>
      </c>
      <c r="D9" s="91"/>
      <c r="E9" s="91">
        <v>1.5</v>
      </c>
      <c r="F9" s="87"/>
      <c r="G9" s="87"/>
      <c r="H9" s="92" t="s">
        <v>45</v>
      </c>
    </row>
    <row r="10">
      <c r="A10" s="147" t="s">
        <v>2754</v>
      </c>
      <c r="B10" s="8" t="s">
        <v>23</v>
      </c>
      <c r="C10" s="8" t="s">
        <v>12</v>
      </c>
      <c r="D10" s="8"/>
      <c r="E10" s="8">
        <v>0.6</v>
      </c>
      <c r="F10" s="91"/>
      <c r="G10" s="91"/>
      <c r="H10" s="137" t="s">
        <v>2755</v>
      </c>
    </row>
    <row r="11">
      <c r="A11" s="147" t="s">
        <v>2756</v>
      </c>
      <c r="B11" s="8" t="s">
        <v>23</v>
      </c>
      <c r="C11" s="8" t="s">
        <v>20</v>
      </c>
      <c r="D11" s="8"/>
      <c r="E11" s="8"/>
      <c r="F11" s="91">
        <v>0.6</v>
      </c>
      <c r="G11" s="91"/>
      <c r="H11" s="137" t="s">
        <v>2757</v>
      </c>
    </row>
    <row r="12">
      <c r="A12" s="147" t="s">
        <v>2758</v>
      </c>
      <c r="B12" s="8" t="s">
        <v>23</v>
      </c>
      <c r="C12" s="8" t="s">
        <v>12</v>
      </c>
      <c r="D12" s="8"/>
      <c r="E12" s="8"/>
      <c r="F12" s="91"/>
      <c r="G12" s="91">
        <v>1.5</v>
      </c>
      <c r="H12" s="137" t="s">
        <v>2759</v>
      </c>
    </row>
    <row r="13">
      <c r="A13" s="147"/>
      <c r="B13" s="8"/>
      <c r="C13" s="8"/>
      <c r="D13" s="91"/>
      <c r="E13" s="91"/>
      <c r="F13" s="91"/>
      <c r="G13" s="8"/>
      <c r="H13" s="207"/>
    </row>
    <row r="14">
      <c r="A14" s="147" t="s">
        <v>992</v>
      </c>
      <c r="B14" s="8"/>
      <c r="C14" s="8"/>
      <c r="D14" s="91"/>
      <c r="E14" s="91"/>
      <c r="F14" s="91"/>
      <c r="G14" s="8">
        <v>2.4</v>
      </c>
      <c r="H14" s="207"/>
    </row>
    <row r="15">
      <c r="A15" s="144" t="s">
        <v>2760</v>
      </c>
      <c r="B15" s="8" t="s">
        <v>8</v>
      </c>
      <c r="C15" s="8" t="s">
        <v>40</v>
      </c>
      <c r="D15" s="91"/>
      <c r="E15" s="91"/>
      <c r="F15" s="91"/>
      <c r="G15" s="8"/>
      <c r="H15" s="137" t="s">
        <v>698</v>
      </c>
    </row>
    <row r="16">
      <c r="A16" s="144" t="s">
        <v>2761</v>
      </c>
      <c r="B16" s="8" t="s">
        <v>8</v>
      </c>
      <c r="C16" s="8" t="s">
        <v>40</v>
      </c>
      <c r="D16" s="91"/>
      <c r="E16" s="91"/>
      <c r="F16" s="91"/>
      <c r="G16" s="8"/>
      <c r="H16" s="137" t="s">
        <v>2762</v>
      </c>
    </row>
    <row r="17">
      <c r="A17" s="144" t="s">
        <v>2763</v>
      </c>
      <c r="B17" s="8" t="s">
        <v>8</v>
      </c>
      <c r="C17" s="8" t="s">
        <v>40</v>
      </c>
      <c r="D17" s="91"/>
      <c r="E17" s="91"/>
      <c r="F17" s="8"/>
      <c r="G17" s="8"/>
      <c r="H17" s="137" t="s">
        <v>983</v>
      </c>
    </row>
    <row r="18">
      <c r="A18" s="144" t="s">
        <v>2764</v>
      </c>
      <c r="B18" s="8" t="s">
        <v>8</v>
      </c>
      <c r="C18" s="8" t="s">
        <v>40</v>
      </c>
      <c r="D18" s="91"/>
      <c r="E18" s="91"/>
      <c r="F18" s="8"/>
      <c r="G18" s="8"/>
      <c r="H18" s="137" t="s">
        <v>2765</v>
      </c>
    </row>
    <row r="19">
      <c r="A19" s="144" t="s">
        <v>2766</v>
      </c>
      <c r="B19" s="8" t="s">
        <v>54</v>
      </c>
      <c r="C19" s="8" t="s">
        <v>40</v>
      </c>
      <c r="D19" s="91"/>
      <c r="E19" s="91"/>
      <c r="F19" s="8"/>
      <c r="G19" s="8"/>
      <c r="H19" s="137" t="s">
        <v>310</v>
      </c>
    </row>
    <row r="20">
      <c r="A20" s="144" t="s">
        <v>2767</v>
      </c>
      <c r="B20" s="8" t="s">
        <v>8</v>
      </c>
      <c r="C20" s="8" t="s">
        <v>40</v>
      </c>
      <c r="D20" s="91"/>
      <c r="E20" s="91"/>
      <c r="F20" s="8"/>
      <c r="G20" s="8"/>
      <c r="H20" s="137" t="s">
        <v>207</v>
      </c>
    </row>
    <row r="21">
      <c r="A21" s="147" t="s">
        <v>1179</v>
      </c>
      <c r="B21" s="8"/>
      <c r="C21" s="8"/>
      <c r="D21" s="91"/>
      <c r="E21" s="91"/>
      <c r="F21" s="91">
        <v>1.8</v>
      </c>
      <c r="G21" s="8"/>
      <c r="H21" s="207"/>
    </row>
    <row r="22">
      <c r="A22" s="144" t="s">
        <v>2768</v>
      </c>
      <c r="B22" s="8" t="s">
        <v>15</v>
      </c>
      <c r="C22" s="8" t="s">
        <v>40</v>
      </c>
      <c r="D22" s="91"/>
      <c r="E22" s="91"/>
      <c r="F22" s="91"/>
      <c r="G22" s="8"/>
      <c r="H22" s="137" t="s">
        <v>84</v>
      </c>
    </row>
    <row r="23">
      <c r="A23" s="144" t="s">
        <v>2769</v>
      </c>
      <c r="B23" s="8" t="s">
        <v>141</v>
      </c>
      <c r="C23" s="8" t="s">
        <v>16</v>
      </c>
      <c r="D23" s="91"/>
      <c r="E23" s="91"/>
      <c r="F23" s="91"/>
      <c r="G23" s="8"/>
      <c r="H23" s="137" t="s">
        <v>2164</v>
      </c>
    </row>
    <row r="24">
      <c r="A24" s="144" t="s">
        <v>2770</v>
      </c>
      <c r="B24" s="8" t="s">
        <v>15</v>
      </c>
      <c r="C24" s="8" t="s">
        <v>12</v>
      </c>
      <c r="D24" s="91"/>
      <c r="E24" s="91"/>
      <c r="F24" s="8"/>
      <c r="G24" s="8"/>
      <c r="H24" s="137" t="s">
        <v>211</v>
      </c>
    </row>
    <row r="25">
      <c r="A25" s="144" t="s">
        <v>2771</v>
      </c>
      <c r="B25" s="8" t="s">
        <v>15</v>
      </c>
      <c r="C25" s="8" t="s">
        <v>20</v>
      </c>
      <c r="D25" s="91"/>
      <c r="E25" s="91"/>
      <c r="F25" s="8"/>
      <c r="G25" s="8"/>
      <c r="H25" s="137" t="s">
        <v>139</v>
      </c>
    </row>
    <row r="26">
      <c r="A26" s="144" t="s">
        <v>2772</v>
      </c>
      <c r="B26" s="8" t="s">
        <v>15</v>
      </c>
      <c r="C26" s="8" t="s">
        <v>9</v>
      </c>
      <c r="D26" s="91"/>
      <c r="E26" s="91"/>
      <c r="F26" s="8"/>
      <c r="G26" s="8"/>
      <c r="H26" s="137" t="s">
        <v>266</v>
      </c>
    </row>
    <row r="27">
      <c r="A27" s="147" t="s">
        <v>1182</v>
      </c>
      <c r="B27" s="8"/>
      <c r="C27" s="8"/>
      <c r="D27" s="91"/>
      <c r="E27" s="91">
        <v>1.6</v>
      </c>
      <c r="F27" s="91"/>
      <c r="G27" s="8"/>
      <c r="H27" s="207"/>
    </row>
    <row r="28">
      <c r="A28" s="144" t="s">
        <v>2773</v>
      </c>
      <c r="B28" s="8" t="s">
        <v>19</v>
      </c>
      <c r="C28" s="8" t="s">
        <v>20</v>
      </c>
      <c r="D28" s="91"/>
      <c r="E28" s="91"/>
      <c r="F28" s="91"/>
      <c r="G28" s="8"/>
      <c r="H28" s="137" t="s">
        <v>2774</v>
      </c>
    </row>
    <row r="29">
      <c r="A29" s="144" t="s">
        <v>2775</v>
      </c>
      <c r="B29" s="8" t="s">
        <v>19</v>
      </c>
      <c r="C29" s="8" t="s">
        <v>16</v>
      </c>
      <c r="D29" s="91"/>
      <c r="E29" s="91"/>
      <c r="F29" s="91"/>
      <c r="G29" s="8"/>
      <c r="H29" s="137" t="s">
        <v>45</v>
      </c>
    </row>
    <row r="30">
      <c r="A30" s="144" t="s">
        <v>2776</v>
      </c>
      <c r="B30" s="8" t="s">
        <v>19</v>
      </c>
      <c r="C30" s="8" t="s">
        <v>12</v>
      </c>
      <c r="D30" s="91"/>
      <c r="E30" s="91"/>
      <c r="F30" s="8"/>
      <c r="G30" s="8"/>
      <c r="H30" s="137" t="s">
        <v>284</v>
      </c>
    </row>
    <row r="31">
      <c r="A31" s="144" t="s">
        <v>2777</v>
      </c>
      <c r="B31" s="8" t="s">
        <v>19</v>
      </c>
      <c r="C31" s="8" t="s">
        <v>40</v>
      </c>
      <c r="D31" s="91"/>
      <c r="E31" s="91"/>
      <c r="F31" s="8"/>
      <c r="G31" s="8"/>
      <c r="H31" s="137" t="s">
        <v>114</v>
      </c>
    </row>
    <row r="32">
      <c r="A32" s="144" t="s">
        <v>2778</v>
      </c>
      <c r="B32" s="8" t="s">
        <v>19</v>
      </c>
      <c r="C32" s="8" t="s">
        <v>40</v>
      </c>
      <c r="D32" s="91"/>
      <c r="E32" s="91"/>
      <c r="F32" s="8"/>
      <c r="G32" s="8"/>
      <c r="H32" s="137" t="s">
        <v>345</v>
      </c>
    </row>
    <row r="33">
      <c r="A33" s="147" t="s">
        <v>1182</v>
      </c>
      <c r="B33" s="8"/>
      <c r="C33" s="8"/>
      <c r="D33" s="91">
        <v>1.0</v>
      </c>
      <c r="E33" s="91"/>
      <c r="F33" s="91"/>
      <c r="G33" s="8"/>
      <c r="H33" s="207"/>
    </row>
    <row r="34">
      <c r="A34" s="144" t="s">
        <v>2779</v>
      </c>
      <c r="B34" s="8" t="s">
        <v>19</v>
      </c>
      <c r="C34" s="8" t="s">
        <v>40</v>
      </c>
      <c r="D34" s="91"/>
      <c r="E34" s="91"/>
      <c r="F34" s="91"/>
      <c r="G34" s="8"/>
      <c r="H34" s="137" t="s">
        <v>279</v>
      </c>
    </row>
    <row r="35">
      <c r="A35" s="144" t="s">
        <v>2780</v>
      </c>
      <c r="B35" s="8" t="s">
        <v>19</v>
      </c>
      <c r="C35" s="8" t="s">
        <v>16</v>
      </c>
      <c r="D35" s="91"/>
      <c r="E35" s="91"/>
      <c r="F35" s="91"/>
      <c r="G35" s="8"/>
      <c r="H35" s="137" t="s">
        <v>857</v>
      </c>
    </row>
    <row r="36">
      <c r="A36" s="144"/>
      <c r="B36" s="8"/>
      <c r="C36" s="8"/>
      <c r="D36" s="91"/>
      <c r="E36" s="91"/>
      <c r="F36" s="8"/>
      <c r="G36" s="8"/>
      <c r="H36" s="207"/>
    </row>
    <row r="37">
      <c r="A37" s="52" t="s">
        <v>27</v>
      </c>
      <c r="B37" s="93"/>
      <c r="C37" s="93"/>
      <c r="D37" s="94">
        <f t="shared" ref="D37:G37" si="1">sum(D3:D36)</f>
        <v>4.2</v>
      </c>
      <c r="E37" s="94">
        <f t="shared" si="1"/>
        <v>9.3</v>
      </c>
      <c r="F37" s="94">
        <f t="shared" si="1"/>
        <v>13.1</v>
      </c>
      <c r="G37" s="94">
        <f t="shared" si="1"/>
        <v>9.7</v>
      </c>
      <c r="H37" s="97"/>
    </row>
    <row r="38">
      <c r="A38" s="159"/>
      <c r="H38" s="160"/>
    </row>
    <row r="39">
      <c r="A39" s="159"/>
      <c r="H39" s="160"/>
    </row>
    <row r="40">
      <c r="A40" s="148" t="s">
        <v>212</v>
      </c>
      <c r="B40" s="89"/>
      <c r="C40" s="89"/>
      <c r="D40" s="89"/>
      <c r="E40" s="89"/>
      <c r="F40" s="89"/>
      <c r="G40" s="89"/>
      <c r="H40" s="90"/>
      <c r="I40" s="79"/>
    </row>
    <row r="41">
      <c r="A41" s="52" t="s">
        <v>2781</v>
      </c>
      <c r="B41" s="93"/>
      <c r="C41" s="93"/>
      <c r="D41" s="94"/>
      <c r="E41" s="93"/>
      <c r="F41" s="96">
        <v>9.0</v>
      </c>
      <c r="G41" s="93"/>
      <c r="H41" s="95" t="s">
        <v>30</v>
      </c>
      <c r="I41" s="79"/>
    </row>
    <row r="42">
      <c r="A42" s="86"/>
      <c r="B42" s="87"/>
      <c r="C42" s="87"/>
      <c r="D42" s="87"/>
      <c r="E42" s="87"/>
      <c r="F42" s="87"/>
      <c r="G42" s="87"/>
      <c r="H42" s="88"/>
      <c r="I42" s="80"/>
    </row>
    <row r="43">
      <c r="A43" s="148" t="s">
        <v>226</v>
      </c>
      <c r="B43" s="89"/>
      <c r="C43" s="89"/>
      <c r="D43" s="89"/>
      <c r="E43" s="89"/>
      <c r="F43" s="89"/>
      <c r="G43" s="89"/>
      <c r="H43" s="90"/>
      <c r="I43" s="79"/>
    </row>
    <row r="44">
      <c r="A44" s="144" t="s">
        <v>2782</v>
      </c>
      <c r="B44" s="87"/>
      <c r="C44" s="87"/>
      <c r="D44" s="91"/>
      <c r="E44" s="87"/>
      <c r="F44" s="91">
        <v>5.0</v>
      </c>
      <c r="G44" s="87"/>
      <c r="H44" s="92" t="s">
        <v>2783</v>
      </c>
      <c r="I44" s="79"/>
    </row>
    <row r="45">
      <c r="A45" s="144" t="s">
        <v>2784</v>
      </c>
      <c r="B45" s="87"/>
      <c r="C45" s="87"/>
      <c r="D45" s="91"/>
      <c r="E45" s="87"/>
      <c r="F45" s="91"/>
      <c r="G45" s="8">
        <v>5.0</v>
      </c>
      <c r="H45" s="92" t="s">
        <v>2785</v>
      </c>
      <c r="I45" s="79"/>
    </row>
    <row r="46">
      <c r="A46" s="52" t="s">
        <v>233</v>
      </c>
      <c r="B46" s="93"/>
      <c r="C46" s="93"/>
      <c r="D46" s="94">
        <f t="shared" ref="D46:G46" si="2">sum(D44:D45)</f>
        <v>0</v>
      </c>
      <c r="E46" s="94">
        <f t="shared" si="2"/>
        <v>0</v>
      </c>
      <c r="F46" s="94">
        <f t="shared" si="2"/>
        <v>5</v>
      </c>
      <c r="G46" s="94">
        <f t="shared" si="2"/>
        <v>5</v>
      </c>
      <c r="H46" s="97"/>
      <c r="I46" s="79"/>
    </row>
    <row r="47">
      <c r="A47" s="86"/>
      <c r="B47" s="87"/>
      <c r="C47" s="87"/>
      <c r="D47" s="87"/>
      <c r="E47" s="87"/>
      <c r="F47" s="87"/>
      <c r="G47" s="87"/>
      <c r="H47" s="88"/>
      <c r="I47" s="80"/>
    </row>
    <row r="48">
      <c r="A48" s="148" t="s">
        <v>2112</v>
      </c>
      <c r="B48" s="89"/>
      <c r="C48" s="89"/>
      <c r="D48" s="89"/>
      <c r="E48" s="89"/>
      <c r="F48" s="89"/>
      <c r="G48" s="89"/>
      <c r="H48" s="90"/>
      <c r="I48" s="79"/>
    </row>
    <row r="49">
      <c r="A49" s="52" t="s">
        <v>2786</v>
      </c>
      <c r="B49" s="93"/>
      <c r="C49" s="93"/>
      <c r="D49" s="94">
        <v>10.0</v>
      </c>
      <c r="E49" s="93"/>
      <c r="F49" s="94"/>
      <c r="G49" s="93"/>
      <c r="H49" s="97"/>
      <c r="I49" s="79"/>
    </row>
    <row r="50">
      <c r="A50" s="86"/>
      <c r="B50" s="87"/>
      <c r="C50" s="87"/>
      <c r="D50" s="87"/>
      <c r="E50" s="87"/>
      <c r="F50" s="87"/>
      <c r="G50" s="87"/>
      <c r="H50" s="88"/>
      <c r="I50" s="80"/>
    </row>
    <row r="51">
      <c r="A51" s="413" t="s">
        <v>35</v>
      </c>
      <c r="B51" s="395"/>
      <c r="C51" s="395"/>
      <c r="D51" s="395"/>
      <c r="E51" s="395"/>
      <c r="F51" s="395"/>
      <c r="G51" s="395"/>
      <c r="H51" s="397"/>
      <c r="I51" s="62"/>
    </row>
    <row r="52">
      <c r="A52" s="409" t="s">
        <v>2787</v>
      </c>
      <c r="B52" s="60"/>
      <c r="C52" s="60"/>
      <c r="D52" s="410"/>
      <c r="E52" s="60"/>
      <c r="F52" s="410">
        <v>2.5</v>
      </c>
      <c r="G52" s="410">
        <v>2.5</v>
      </c>
      <c r="H52" s="414" t="s">
        <v>238</v>
      </c>
      <c r="I52" s="62"/>
    </row>
    <row r="57">
      <c r="A57" s="677" t="s">
        <v>2788</v>
      </c>
      <c r="B57" s="678"/>
    </row>
    <row r="58">
      <c r="A58" s="180" t="s">
        <v>2743</v>
      </c>
      <c r="B58" s="150">
        <f>D37+D41+D46+D49+D52</f>
        <v>14.2</v>
      </c>
    </row>
    <row r="59">
      <c r="A59" s="180" t="s">
        <v>2744</v>
      </c>
      <c r="B59" s="150">
        <f>E37+E41+E46+E49+E52</f>
        <v>9.3</v>
      </c>
    </row>
    <row r="60">
      <c r="A60" s="180" t="s">
        <v>2745</v>
      </c>
      <c r="B60" s="150">
        <f>F37+F41+F46+F52</f>
        <v>29.6</v>
      </c>
    </row>
    <row r="61">
      <c r="A61" s="197" t="s">
        <v>2746</v>
      </c>
      <c r="B61" s="199">
        <f>G37+G46+G41+G49+G52</f>
        <v>17.2</v>
      </c>
    </row>
  </sheetData>
  <dataValidations>
    <dataValidation type="list" allowBlank="1" showErrorMessage="1" sqref="B3:B12 B15:B20 B22:B26 B28:B32 B34:B35">
      <formula1>"SSS,SS,S,AAA,AA,A,Blue,Green"</formula1>
    </dataValidation>
    <dataValidation type="list" allowBlank="1" showErrorMessage="1" sqref="C3:C36">
      <formula1>"FAME,ART,FTH,CIV,TECH"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2.36"/>
    <col customWidth="1" min="7" max="7" width="5.27"/>
    <col customWidth="1" min="8" max="8" width="17.27"/>
    <col customWidth="1" min="9" max="9" width="14.0"/>
    <col customWidth="1" min="10" max="10" width="10.91"/>
    <col customWidth="1" min="12" max="12" width="10.55"/>
    <col customWidth="1" min="13" max="13" width="10.73"/>
  </cols>
  <sheetData>
    <row r="1">
      <c r="A1" s="138"/>
      <c r="B1" s="679" t="s">
        <v>1140</v>
      </c>
      <c r="C1" s="679" t="s">
        <v>1188</v>
      </c>
      <c r="D1" s="679" t="s">
        <v>1266</v>
      </c>
      <c r="E1" s="679" t="s">
        <v>1237</v>
      </c>
    </row>
    <row r="2">
      <c r="A2" s="680" t="s">
        <v>94</v>
      </c>
      <c r="B2" s="681"/>
      <c r="C2" s="681"/>
      <c r="D2" s="681"/>
      <c r="E2" s="682"/>
    </row>
    <row r="3">
      <c r="A3" s="683" t="s">
        <v>2789</v>
      </c>
      <c r="B3" s="684"/>
      <c r="C3" s="684"/>
      <c r="D3" s="684"/>
      <c r="E3" s="685"/>
      <c r="H3" s="686" t="s">
        <v>2790</v>
      </c>
      <c r="I3" s="687"/>
      <c r="J3" s="688"/>
      <c r="L3" s="689" t="s">
        <v>2791</v>
      </c>
      <c r="M3" s="690"/>
      <c r="N3" s="567"/>
    </row>
    <row r="4">
      <c r="A4" s="691" t="s">
        <v>2792</v>
      </c>
      <c r="B4" s="692">
        <f t="shared" ref="B4:E4" si="1">(B13-B11)/4</f>
        <v>160</v>
      </c>
      <c r="C4" s="692">
        <f t="shared" si="1"/>
        <v>14</v>
      </c>
      <c r="D4" s="692">
        <f t="shared" si="1"/>
        <v>10</v>
      </c>
      <c r="E4" s="693">
        <f t="shared" si="1"/>
        <v>10</v>
      </c>
      <c r="H4" s="694"/>
      <c r="I4" s="695" t="s">
        <v>2793</v>
      </c>
      <c r="J4" s="695" t="s">
        <v>450</v>
      </c>
      <c r="L4" s="694"/>
      <c r="M4" s="695" t="s">
        <v>2793</v>
      </c>
      <c r="N4" s="695" t="s">
        <v>450</v>
      </c>
    </row>
    <row r="5">
      <c r="A5" s="683" t="s">
        <v>2794</v>
      </c>
      <c r="B5" s="696">
        <f t="shared" ref="B5:E5" si="2">B6-B$28</f>
        <v>350</v>
      </c>
      <c r="C5" s="696">
        <f t="shared" si="2"/>
        <v>25</v>
      </c>
      <c r="D5" s="696">
        <f t="shared" si="2"/>
        <v>20</v>
      </c>
      <c r="E5" s="697">
        <f t="shared" si="2"/>
        <v>20</v>
      </c>
      <c r="H5" s="698" t="s">
        <v>2794</v>
      </c>
      <c r="I5" s="699">
        <v>2.0</v>
      </c>
      <c r="J5" s="699">
        <v>2.5</v>
      </c>
      <c r="L5" s="700" t="s">
        <v>2794</v>
      </c>
      <c r="M5" s="701">
        <f t="shared" ref="M5:M13" si="4">50*I5</f>
        <v>100</v>
      </c>
      <c r="N5" s="701">
        <f t="shared" ref="N5:N13" si="5">52.5*J5</f>
        <v>131.25</v>
      </c>
    </row>
    <row r="6">
      <c r="A6" s="702" t="s">
        <v>2795</v>
      </c>
      <c r="B6" s="696">
        <f t="shared" ref="B6:E6" si="3">B7-B$28</f>
        <v>505</v>
      </c>
      <c r="C6" s="696">
        <f t="shared" si="3"/>
        <v>39.5</v>
      </c>
      <c r="D6" s="696">
        <f t="shared" si="3"/>
        <v>30</v>
      </c>
      <c r="E6" s="697">
        <f t="shared" si="3"/>
        <v>30</v>
      </c>
      <c r="H6" s="695" t="s">
        <v>2795</v>
      </c>
      <c r="I6" s="703">
        <v>3.0</v>
      </c>
      <c r="J6" s="703">
        <v>3.5</v>
      </c>
      <c r="L6" s="704" t="s">
        <v>2795</v>
      </c>
      <c r="M6" s="694">
        <f t="shared" si="4"/>
        <v>150</v>
      </c>
      <c r="N6" s="694">
        <f t="shared" si="5"/>
        <v>183.75</v>
      </c>
    </row>
    <row r="7">
      <c r="A7" s="702" t="s">
        <v>2796</v>
      </c>
      <c r="B7" s="696">
        <f t="shared" ref="B7:E7" si="6">B8-B$28</f>
        <v>660</v>
      </c>
      <c r="C7" s="696">
        <f t="shared" si="6"/>
        <v>54</v>
      </c>
      <c r="D7" s="696">
        <f t="shared" si="6"/>
        <v>40</v>
      </c>
      <c r="E7" s="697">
        <f t="shared" si="6"/>
        <v>40</v>
      </c>
      <c r="H7" s="698" t="s">
        <v>2796</v>
      </c>
      <c r="I7" s="699">
        <v>4.0</v>
      </c>
      <c r="J7" s="699">
        <v>4.5</v>
      </c>
      <c r="L7" s="700" t="s">
        <v>2796</v>
      </c>
      <c r="M7" s="701">
        <f t="shared" si="4"/>
        <v>200</v>
      </c>
      <c r="N7" s="701">
        <f t="shared" si="5"/>
        <v>236.25</v>
      </c>
    </row>
    <row r="8">
      <c r="A8" s="702" t="s">
        <v>2797</v>
      </c>
      <c r="B8" s="696">
        <f t="shared" ref="B8:E8" si="7">B9-B$28</f>
        <v>815</v>
      </c>
      <c r="C8" s="696">
        <f t="shared" si="7"/>
        <v>68.5</v>
      </c>
      <c r="D8" s="696">
        <f t="shared" si="7"/>
        <v>50</v>
      </c>
      <c r="E8" s="697">
        <f t="shared" si="7"/>
        <v>50</v>
      </c>
      <c r="H8" s="695" t="s">
        <v>2797</v>
      </c>
      <c r="I8" s="703">
        <v>5.0</v>
      </c>
      <c r="J8" s="703">
        <v>5.5</v>
      </c>
      <c r="L8" s="704" t="s">
        <v>2797</v>
      </c>
      <c r="M8" s="694">
        <f t="shared" si="4"/>
        <v>250</v>
      </c>
      <c r="N8" s="694">
        <f t="shared" si="5"/>
        <v>288.75</v>
      </c>
    </row>
    <row r="9">
      <c r="A9" s="702" t="s">
        <v>2798</v>
      </c>
      <c r="B9" s="696">
        <f t="shared" ref="B9:E9" si="8">B10-B$28</f>
        <v>970</v>
      </c>
      <c r="C9" s="696">
        <f t="shared" si="8"/>
        <v>83</v>
      </c>
      <c r="D9" s="696">
        <f t="shared" si="8"/>
        <v>60</v>
      </c>
      <c r="E9" s="697">
        <f t="shared" si="8"/>
        <v>60</v>
      </c>
      <c r="H9" s="698" t="s">
        <v>2798</v>
      </c>
      <c r="I9" s="699">
        <v>6.0</v>
      </c>
      <c r="J9" s="699">
        <v>6.5</v>
      </c>
      <c r="L9" s="700" t="s">
        <v>2798</v>
      </c>
      <c r="M9" s="701">
        <f t="shared" si="4"/>
        <v>300</v>
      </c>
      <c r="N9" s="701">
        <f t="shared" si="5"/>
        <v>341.25</v>
      </c>
    </row>
    <row r="10">
      <c r="A10" s="702" t="s">
        <v>2799</v>
      </c>
      <c r="B10" s="696">
        <f t="shared" ref="B10:E10" si="9">B11-B$28</f>
        <v>1125</v>
      </c>
      <c r="C10" s="696">
        <f t="shared" si="9"/>
        <v>97.5</v>
      </c>
      <c r="D10" s="696">
        <f t="shared" si="9"/>
        <v>70</v>
      </c>
      <c r="E10" s="697">
        <f t="shared" si="9"/>
        <v>70</v>
      </c>
      <c r="H10" s="695" t="s">
        <v>2799</v>
      </c>
      <c r="I10" s="703">
        <v>7.0</v>
      </c>
      <c r="J10" s="703">
        <v>7.5</v>
      </c>
      <c r="L10" s="704" t="s">
        <v>2799</v>
      </c>
      <c r="M10" s="694">
        <f t="shared" si="4"/>
        <v>350</v>
      </c>
      <c r="N10" s="694">
        <f t="shared" si="5"/>
        <v>393.75</v>
      </c>
    </row>
    <row r="11">
      <c r="A11" s="702" t="s">
        <v>2800</v>
      </c>
      <c r="B11" s="696">
        <v>1280.0</v>
      </c>
      <c r="C11" s="696">
        <v>112.0</v>
      </c>
      <c r="D11" s="696">
        <v>80.0</v>
      </c>
      <c r="E11" s="697">
        <v>80.0</v>
      </c>
      <c r="H11" s="698" t="s">
        <v>2800</v>
      </c>
      <c r="I11" s="699">
        <v>8.0</v>
      </c>
      <c r="J11" s="699">
        <v>8.5</v>
      </c>
      <c r="L11" s="700" t="s">
        <v>2800</v>
      </c>
      <c r="M11" s="701">
        <f t="shared" si="4"/>
        <v>400</v>
      </c>
      <c r="N11" s="701">
        <f t="shared" si="5"/>
        <v>446.25</v>
      </c>
    </row>
    <row r="12">
      <c r="A12" s="702" t="s">
        <v>2801</v>
      </c>
      <c r="B12" s="696">
        <v>1440.0</v>
      </c>
      <c r="C12" s="696">
        <v>126.0</v>
      </c>
      <c r="D12" s="696">
        <v>90.0</v>
      </c>
      <c r="E12" s="697">
        <v>90.0</v>
      </c>
      <c r="H12" s="695" t="s">
        <v>2801</v>
      </c>
      <c r="I12" s="703">
        <v>9.0</v>
      </c>
      <c r="J12" s="703">
        <v>10.5</v>
      </c>
      <c r="L12" s="704" t="s">
        <v>2801</v>
      </c>
      <c r="M12" s="694">
        <f t="shared" si="4"/>
        <v>450</v>
      </c>
      <c r="N12" s="694">
        <f t="shared" si="5"/>
        <v>551.25</v>
      </c>
    </row>
    <row r="13">
      <c r="A13" s="705" t="s">
        <v>2802</v>
      </c>
      <c r="B13" s="706">
        <v>1920.0</v>
      </c>
      <c r="C13" s="706">
        <v>168.0</v>
      </c>
      <c r="D13" s="706">
        <v>120.0</v>
      </c>
      <c r="E13" s="707">
        <v>120.0</v>
      </c>
      <c r="H13" s="698" t="s">
        <v>2802</v>
      </c>
      <c r="I13" s="699">
        <v>12.0</v>
      </c>
      <c r="J13" s="699">
        <v>14.0</v>
      </c>
      <c r="L13" s="700" t="s">
        <v>2802</v>
      </c>
      <c r="M13" s="701">
        <f t="shared" si="4"/>
        <v>600</v>
      </c>
      <c r="N13" s="701">
        <f t="shared" si="5"/>
        <v>735</v>
      </c>
    </row>
    <row r="14">
      <c r="A14" s="159"/>
      <c r="E14" s="160"/>
    </row>
    <row r="15">
      <c r="A15" s="683" t="s">
        <v>2803</v>
      </c>
      <c r="B15" s="684"/>
      <c r="C15" s="684"/>
      <c r="D15" s="684"/>
      <c r="E15" s="685"/>
    </row>
    <row r="16">
      <c r="A16" s="691" t="s">
        <v>2792</v>
      </c>
      <c r="B16" s="692">
        <f t="shared" ref="B16:E16" si="10">(B25-B23)/4</f>
        <v>165</v>
      </c>
      <c r="C16" s="692">
        <f t="shared" si="10"/>
        <v>13.5</v>
      </c>
      <c r="D16" s="692">
        <f t="shared" si="10"/>
        <v>10</v>
      </c>
      <c r="E16" s="693">
        <f t="shared" si="10"/>
        <v>10</v>
      </c>
    </row>
    <row r="17">
      <c r="A17" s="683" t="s">
        <v>2794</v>
      </c>
      <c r="B17" s="696">
        <f t="shared" ref="B17:E17" si="11">B18-B$16</f>
        <v>330</v>
      </c>
      <c r="C17" s="696">
        <f t="shared" si="11"/>
        <v>27</v>
      </c>
      <c r="D17" s="696">
        <f t="shared" si="11"/>
        <v>20</v>
      </c>
      <c r="E17" s="697">
        <f t="shared" si="11"/>
        <v>20</v>
      </c>
      <c r="H17" s="708"/>
      <c r="I17" s="709" t="s">
        <v>1140</v>
      </c>
      <c r="J17" s="709" t="s">
        <v>1188</v>
      </c>
      <c r="K17" s="709" t="s">
        <v>1266</v>
      </c>
      <c r="L17" s="709" t="s">
        <v>1237</v>
      </c>
      <c r="M17" s="710" t="s">
        <v>2804</v>
      </c>
    </row>
    <row r="18">
      <c r="A18" s="702" t="s">
        <v>2795</v>
      </c>
      <c r="B18" s="696">
        <f t="shared" ref="B18:E18" si="12">B19-B$16</f>
        <v>495</v>
      </c>
      <c r="C18" s="696">
        <f t="shared" si="12"/>
        <v>40.5</v>
      </c>
      <c r="D18" s="696">
        <f t="shared" si="12"/>
        <v>30</v>
      </c>
      <c r="E18" s="697">
        <f t="shared" si="12"/>
        <v>30</v>
      </c>
      <c r="H18" s="711" t="str">
        <f>A3</f>
        <v>Tomb Guardian</v>
      </c>
      <c r="I18" s="712">
        <f t="shared" ref="I18:L18" si="13">B4</f>
        <v>160</v>
      </c>
      <c r="J18" s="713">
        <f t="shared" si="13"/>
        <v>14</v>
      </c>
      <c r="K18" s="712">
        <f t="shared" si="13"/>
        <v>10</v>
      </c>
      <c r="L18" s="712">
        <f t="shared" si="13"/>
        <v>10</v>
      </c>
      <c r="M18" s="714">
        <f t="shared" ref="M18:M47" si="16">I18/10+J18+K18+L18</f>
        <v>50</v>
      </c>
    </row>
    <row r="19">
      <c r="A19" s="702" t="s">
        <v>2796</v>
      </c>
      <c r="B19" s="696">
        <f t="shared" ref="B19:E19" si="14">B20-B$16</f>
        <v>660</v>
      </c>
      <c r="C19" s="696">
        <f t="shared" si="14"/>
        <v>54</v>
      </c>
      <c r="D19" s="696">
        <f t="shared" si="14"/>
        <v>40</v>
      </c>
      <c r="E19" s="697">
        <f t="shared" si="14"/>
        <v>40</v>
      </c>
      <c r="H19" s="715" t="str">
        <f>A15</f>
        <v>Undead Turtle</v>
      </c>
      <c r="I19" s="716">
        <f t="shared" ref="I19:L19" si="15">B16</f>
        <v>165</v>
      </c>
      <c r="J19" s="717">
        <f t="shared" si="15"/>
        <v>13.5</v>
      </c>
      <c r="K19" s="716">
        <f t="shared" si="15"/>
        <v>10</v>
      </c>
      <c r="L19" s="716">
        <f t="shared" si="15"/>
        <v>10</v>
      </c>
      <c r="M19" s="718">
        <f t="shared" si="16"/>
        <v>50</v>
      </c>
    </row>
    <row r="20">
      <c r="A20" s="702" t="s">
        <v>2797</v>
      </c>
      <c r="B20" s="696">
        <f t="shared" ref="B20:E20" si="17">B21-B$16</f>
        <v>825</v>
      </c>
      <c r="C20" s="696">
        <f t="shared" si="17"/>
        <v>67.5</v>
      </c>
      <c r="D20" s="696">
        <f t="shared" si="17"/>
        <v>50</v>
      </c>
      <c r="E20" s="697">
        <f t="shared" si="17"/>
        <v>50</v>
      </c>
      <c r="H20" s="715" t="str">
        <f>A27</f>
        <v>Wraith</v>
      </c>
      <c r="I20" s="716">
        <f t="shared" ref="I20:L20" si="18">B28</f>
        <v>155</v>
      </c>
      <c r="J20" s="717">
        <f t="shared" si="18"/>
        <v>14.5</v>
      </c>
      <c r="K20" s="716">
        <f t="shared" si="18"/>
        <v>10</v>
      </c>
      <c r="L20" s="716">
        <f t="shared" si="18"/>
        <v>10</v>
      </c>
      <c r="M20" s="718">
        <f t="shared" si="16"/>
        <v>50</v>
      </c>
    </row>
    <row r="21">
      <c r="A21" s="702" t="s">
        <v>2798</v>
      </c>
      <c r="B21" s="696">
        <f t="shared" ref="B21:E21" si="19">B22-B$16</f>
        <v>990</v>
      </c>
      <c r="C21" s="696">
        <f t="shared" si="19"/>
        <v>81</v>
      </c>
      <c r="D21" s="696">
        <f t="shared" si="19"/>
        <v>60</v>
      </c>
      <c r="E21" s="697">
        <f t="shared" si="19"/>
        <v>60</v>
      </c>
      <c r="H21" s="715" t="str">
        <f>A39</f>
        <v>Mummy</v>
      </c>
      <c r="I21" s="716">
        <f t="shared" ref="I21:L21" si="20">B40</f>
        <v>165</v>
      </c>
      <c r="J21" s="717">
        <f t="shared" si="20"/>
        <v>14</v>
      </c>
      <c r="K21" s="716">
        <f t="shared" si="20"/>
        <v>10.5</v>
      </c>
      <c r="L21" s="716">
        <f t="shared" si="20"/>
        <v>9</v>
      </c>
      <c r="M21" s="718">
        <f t="shared" si="16"/>
        <v>50</v>
      </c>
    </row>
    <row r="22">
      <c r="A22" s="702" t="s">
        <v>2799</v>
      </c>
      <c r="B22" s="696">
        <f t="shared" ref="B22:E22" si="21">B23-B$16</f>
        <v>1155</v>
      </c>
      <c r="C22" s="696">
        <f t="shared" si="21"/>
        <v>94.5</v>
      </c>
      <c r="D22" s="696">
        <f t="shared" si="21"/>
        <v>70</v>
      </c>
      <c r="E22" s="697">
        <f t="shared" si="21"/>
        <v>70</v>
      </c>
      <c r="H22" s="719" t="str">
        <f>A51</f>
        <v>Baby Bud</v>
      </c>
      <c r="I22" s="720">
        <f t="shared" ref="I22:L22" si="22">B52</f>
        <v>155</v>
      </c>
      <c r="J22" s="721">
        <f t="shared" si="22"/>
        <v>15</v>
      </c>
      <c r="K22" s="720">
        <f t="shared" si="22"/>
        <v>9</v>
      </c>
      <c r="L22" s="720">
        <f t="shared" si="22"/>
        <v>10.5</v>
      </c>
      <c r="M22" s="722">
        <f t="shared" si="16"/>
        <v>50</v>
      </c>
    </row>
    <row r="23">
      <c r="A23" s="702" t="s">
        <v>2800</v>
      </c>
      <c r="B23" s="696">
        <v>1320.0</v>
      </c>
      <c r="C23" s="696">
        <v>108.0</v>
      </c>
      <c r="D23" s="696">
        <v>80.0</v>
      </c>
      <c r="E23" s="697">
        <v>80.0</v>
      </c>
      <c r="H23" s="723" t="str">
        <f>A67</f>
        <v>Ironball Thrower</v>
      </c>
      <c r="I23" s="724">
        <f t="shared" ref="I23:L23" si="23">B68</f>
        <v>100</v>
      </c>
      <c r="J23" s="725">
        <f t="shared" si="23"/>
        <v>15</v>
      </c>
      <c r="K23" s="724">
        <f t="shared" si="23"/>
        <v>11</v>
      </c>
      <c r="L23" s="724">
        <f t="shared" si="23"/>
        <v>14</v>
      </c>
      <c r="M23" s="726">
        <f t="shared" si="16"/>
        <v>50</v>
      </c>
    </row>
    <row r="24">
      <c r="A24" s="702" t="s">
        <v>2801</v>
      </c>
      <c r="B24" s="696">
        <v>1485.0</v>
      </c>
      <c r="C24" s="696">
        <v>122.0</v>
      </c>
      <c r="D24" s="696">
        <v>90.0</v>
      </c>
      <c r="E24" s="697">
        <v>90.0</v>
      </c>
      <c r="H24" s="727" t="str">
        <f>A79</f>
        <v>Nightmare Steed</v>
      </c>
      <c r="I24" s="728">
        <f t="shared" ref="I24:L24" si="24">B80</f>
        <v>100</v>
      </c>
      <c r="J24" s="498">
        <f t="shared" si="24"/>
        <v>15</v>
      </c>
      <c r="K24" s="728">
        <f t="shared" si="24"/>
        <v>10.5</v>
      </c>
      <c r="L24" s="728">
        <f t="shared" si="24"/>
        <v>14.5</v>
      </c>
      <c r="M24" s="729">
        <f t="shared" si="16"/>
        <v>50</v>
      </c>
    </row>
    <row r="25">
      <c r="A25" s="705" t="s">
        <v>2802</v>
      </c>
      <c r="B25" s="706">
        <v>1980.0</v>
      </c>
      <c r="C25" s="706">
        <v>162.0</v>
      </c>
      <c r="D25" s="706">
        <v>120.0</v>
      </c>
      <c r="E25" s="707">
        <v>120.0</v>
      </c>
      <c r="H25" s="727" t="str">
        <f>A91</f>
        <v>Imp</v>
      </c>
      <c r="I25" s="728">
        <f t="shared" ref="I25:L25" si="25">B92</f>
        <v>110</v>
      </c>
      <c r="J25" s="498">
        <f t="shared" si="25"/>
        <v>15.5</v>
      </c>
      <c r="K25" s="728">
        <f t="shared" si="25"/>
        <v>10.5</v>
      </c>
      <c r="L25" s="728">
        <f t="shared" si="25"/>
        <v>13</v>
      </c>
      <c r="M25" s="729">
        <f t="shared" si="16"/>
        <v>50</v>
      </c>
    </row>
    <row r="26">
      <c r="A26" s="159"/>
      <c r="E26" s="160"/>
      <c r="H26" s="727" t="str">
        <f>A103</f>
        <v>Berserker</v>
      </c>
      <c r="I26" s="728">
        <f t="shared" ref="I26:L26" si="26">B104</f>
        <v>115</v>
      </c>
      <c r="J26" s="498">
        <f t="shared" si="26"/>
        <v>15</v>
      </c>
      <c r="K26" s="728">
        <f t="shared" si="26"/>
        <v>10</v>
      </c>
      <c r="L26" s="728">
        <f t="shared" si="26"/>
        <v>13.5</v>
      </c>
      <c r="M26" s="729">
        <f t="shared" si="16"/>
        <v>50</v>
      </c>
    </row>
    <row r="27">
      <c r="A27" s="683" t="s">
        <v>2805</v>
      </c>
      <c r="B27" s="684"/>
      <c r="C27" s="684"/>
      <c r="D27" s="684"/>
      <c r="E27" s="685"/>
      <c r="H27" s="730" t="str">
        <f>A115</f>
        <v>Vampire</v>
      </c>
      <c r="I27" s="731">
        <f t="shared" ref="I27:L27" si="27">B116</f>
        <v>105</v>
      </c>
      <c r="J27" s="732">
        <f t="shared" si="27"/>
        <v>16</v>
      </c>
      <c r="K27" s="731">
        <f t="shared" si="27"/>
        <v>9.5</v>
      </c>
      <c r="L27" s="731">
        <f t="shared" si="27"/>
        <v>14</v>
      </c>
      <c r="M27" s="733">
        <f t="shared" si="16"/>
        <v>50</v>
      </c>
    </row>
    <row r="28">
      <c r="A28" s="691" t="s">
        <v>2792</v>
      </c>
      <c r="B28" s="692">
        <f t="shared" ref="B28:E28" si="28">(B37-B35)/4</f>
        <v>155</v>
      </c>
      <c r="C28" s="692">
        <f t="shared" si="28"/>
        <v>14.5</v>
      </c>
      <c r="D28" s="692">
        <f t="shared" si="28"/>
        <v>10</v>
      </c>
      <c r="E28" s="693">
        <f t="shared" si="28"/>
        <v>10</v>
      </c>
      <c r="H28" s="734" t="str">
        <f>A131</f>
        <v>Koryeon Snail</v>
      </c>
      <c r="I28" s="735">
        <f t="shared" ref="I28:L28" si="29">B132</f>
        <v>155</v>
      </c>
      <c r="J28" s="736">
        <f t="shared" si="29"/>
        <v>10</v>
      </c>
      <c r="K28" s="735">
        <f t="shared" si="29"/>
        <v>9.5</v>
      </c>
      <c r="L28" s="735">
        <f t="shared" si="29"/>
        <v>15</v>
      </c>
      <c r="M28" s="737">
        <f t="shared" si="16"/>
        <v>50</v>
      </c>
    </row>
    <row r="29">
      <c r="A29" s="683" t="s">
        <v>2794</v>
      </c>
      <c r="B29" s="738">
        <f t="shared" ref="B29:E29" si="30">B30-B$4</f>
        <v>280</v>
      </c>
      <c r="C29" s="738">
        <f t="shared" si="30"/>
        <v>32</v>
      </c>
      <c r="D29" s="738">
        <f t="shared" si="30"/>
        <v>20</v>
      </c>
      <c r="E29" s="164">
        <f t="shared" si="30"/>
        <v>20</v>
      </c>
      <c r="H29" s="739" t="str">
        <f>A143</f>
        <v>Stan</v>
      </c>
      <c r="I29" s="740">
        <f t="shared" ref="I29:L29" si="31">B144</f>
        <v>155</v>
      </c>
      <c r="J29" s="741">
        <f t="shared" si="31"/>
        <v>10</v>
      </c>
      <c r="K29" s="740">
        <f t="shared" si="31"/>
        <v>8.5</v>
      </c>
      <c r="L29" s="740">
        <f t="shared" si="31"/>
        <v>16</v>
      </c>
      <c r="M29" s="742">
        <f t="shared" si="16"/>
        <v>50</v>
      </c>
    </row>
    <row r="30">
      <c r="A30" s="702" t="s">
        <v>2795</v>
      </c>
      <c r="B30" s="696">
        <f t="shared" ref="B30:E30" si="32">B31-B$4</f>
        <v>440</v>
      </c>
      <c r="C30" s="696">
        <f t="shared" si="32"/>
        <v>46</v>
      </c>
      <c r="D30" s="696">
        <f t="shared" si="32"/>
        <v>30</v>
      </c>
      <c r="E30" s="697">
        <f t="shared" si="32"/>
        <v>30</v>
      </c>
      <c r="H30" s="739" t="str">
        <f>A155</f>
        <v>Catcolyte</v>
      </c>
      <c r="I30" s="740">
        <f t="shared" ref="I30:L30" si="33">B156</f>
        <v>155</v>
      </c>
      <c r="J30" s="741">
        <f t="shared" si="33"/>
        <v>10</v>
      </c>
      <c r="K30" s="740">
        <f t="shared" si="33"/>
        <v>9</v>
      </c>
      <c r="L30" s="740">
        <f t="shared" si="33"/>
        <v>15.5</v>
      </c>
      <c r="M30" s="742">
        <f t="shared" si="16"/>
        <v>50</v>
      </c>
    </row>
    <row r="31">
      <c r="A31" s="702" t="s">
        <v>2796</v>
      </c>
      <c r="B31" s="696">
        <f t="shared" ref="B31:E31" si="34">B32-B$4</f>
        <v>600</v>
      </c>
      <c r="C31" s="696">
        <f t="shared" si="34"/>
        <v>60</v>
      </c>
      <c r="D31" s="696">
        <f t="shared" si="34"/>
        <v>40</v>
      </c>
      <c r="E31" s="697">
        <f t="shared" si="34"/>
        <v>40</v>
      </c>
      <c r="H31" s="739" t="str">
        <f>A167</f>
        <v>Sanctum Warrior</v>
      </c>
      <c r="I31" s="740">
        <f t="shared" ref="I31:L31" si="35">B168</f>
        <v>160</v>
      </c>
      <c r="J31" s="741">
        <f t="shared" si="35"/>
        <v>9.5</v>
      </c>
      <c r="K31" s="740">
        <f t="shared" si="35"/>
        <v>9</v>
      </c>
      <c r="L31" s="740">
        <f t="shared" si="35"/>
        <v>15.5</v>
      </c>
      <c r="M31" s="742">
        <f t="shared" si="16"/>
        <v>50</v>
      </c>
    </row>
    <row r="32">
      <c r="A32" s="702" t="s">
        <v>2797</v>
      </c>
      <c r="B32" s="696">
        <f t="shared" ref="B32:E32" si="36">B33-B$4</f>
        <v>760</v>
      </c>
      <c r="C32" s="696">
        <f t="shared" si="36"/>
        <v>74</v>
      </c>
      <c r="D32" s="696">
        <f t="shared" si="36"/>
        <v>50</v>
      </c>
      <c r="E32" s="697">
        <f t="shared" si="36"/>
        <v>50</v>
      </c>
      <c r="H32" s="743" t="str">
        <f>A179</f>
        <v>Gaiastapo</v>
      </c>
      <c r="I32" s="744">
        <f t="shared" ref="I32:L32" si="37">B180</f>
        <v>145</v>
      </c>
      <c r="J32" s="745">
        <f t="shared" si="37"/>
        <v>9</v>
      </c>
      <c r="K32" s="744">
        <f t="shared" si="37"/>
        <v>10</v>
      </c>
      <c r="L32" s="744">
        <f t="shared" si="37"/>
        <v>16.5</v>
      </c>
      <c r="M32" s="746">
        <f t="shared" si="16"/>
        <v>50</v>
      </c>
    </row>
    <row r="33">
      <c r="A33" s="702" t="s">
        <v>2798</v>
      </c>
      <c r="B33" s="696">
        <f t="shared" ref="B33:E33" si="38">B34-B$4</f>
        <v>920</v>
      </c>
      <c r="C33" s="696">
        <f t="shared" si="38"/>
        <v>88</v>
      </c>
      <c r="D33" s="696">
        <f t="shared" si="38"/>
        <v>60</v>
      </c>
      <c r="E33" s="697">
        <f t="shared" si="38"/>
        <v>60</v>
      </c>
      <c r="H33" s="747" t="str">
        <f>A195</f>
        <v>Chika</v>
      </c>
      <c r="I33" s="748">
        <f t="shared" ref="I33:L33" si="39">B196</f>
        <v>110</v>
      </c>
      <c r="J33" s="749">
        <f t="shared" si="39"/>
        <v>15</v>
      </c>
      <c r="K33" s="748">
        <f t="shared" si="39"/>
        <v>9</v>
      </c>
      <c r="L33" s="748">
        <f t="shared" si="39"/>
        <v>15</v>
      </c>
      <c r="M33" s="750">
        <f t="shared" si="16"/>
        <v>50</v>
      </c>
    </row>
    <row r="34">
      <c r="A34" s="702" t="s">
        <v>2799</v>
      </c>
      <c r="B34" s="696">
        <f t="shared" ref="B34:E34" si="40">B35-B$4</f>
        <v>1080</v>
      </c>
      <c r="C34" s="696">
        <f t="shared" si="40"/>
        <v>102</v>
      </c>
      <c r="D34" s="696">
        <f t="shared" si="40"/>
        <v>70</v>
      </c>
      <c r="E34" s="697">
        <f t="shared" si="40"/>
        <v>70</v>
      </c>
      <c r="H34" s="751" t="str">
        <f>A207</f>
        <v>Minorino</v>
      </c>
      <c r="I34" s="752">
        <f t="shared" ref="I34:L34" si="41">B208</f>
        <v>120</v>
      </c>
      <c r="J34" s="753">
        <f t="shared" si="41"/>
        <v>14.5</v>
      </c>
      <c r="K34" s="752">
        <f t="shared" si="41"/>
        <v>9</v>
      </c>
      <c r="L34" s="752">
        <f t="shared" si="41"/>
        <v>14.5</v>
      </c>
      <c r="M34" s="754">
        <f t="shared" si="16"/>
        <v>50</v>
      </c>
    </row>
    <row r="35">
      <c r="A35" s="702" t="s">
        <v>2800</v>
      </c>
      <c r="B35" s="696">
        <v>1240.0</v>
      </c>
      <c r="C35" s="696">
        <v>116.0</v>
      </c>
      <c r="D35" s="696">
        <v>80.0</v>
      </c>
      <c r="E35" s="697">
        <v>80.0</v>
      </c>
      <c r="H35" s="751" t="str">
        <f>A219</f>
        <v>Demonic Tentacle</v>
      </c>
      <c r="I35" s="752">
        <f t="shared" ref="I35:L35" si="42">B220</f>
        <v>110</v>
      </c>
      <c r="J35" s="753">
        <f t="shared" si="42"/>
        <v>14.5</v>
      </c>
      <c r="K35" s="752">
        <f t="shared" si="42"/>
        <v>9</v>
      </c>
      <c r="L35" s="752">
        <f t="shared" si="42"/>
        <v>15.5</v>
      </c>
      <c r="M35" s="754">
        <f t="shared" si="16"/>
        <v>50</v>
      </c>
    </row>
    <row r="36">
      <c r="A36" s="702" t="s">
        <v>2801</v>
      </c>
      <c r="B36" s="696">
        <v>1395.0</v>
      </c>
      <c r="C36" s="696">
        <v>131.0</v>
      </c>
      <c r="D36" s="696">
        <v>90.0</v>
      </c>
      <c r="E36" s="697">
        <v>90.0</v>
      </c>
      <c r="H36" s="751" t="str">
        <f>A231</f>
        <v>Little Monk</v>
      </c>
      <c r="I36" s="752">
        <f t="shared" ref="I36:L36" si="43">B232</f>
        <v>105</v>
      </c>
      <c r="J36" s="753">
        <f t="shared" si="43"/>
        <v>15</v>
      </c>
      <c r="K36" s="752">
        <f t="shared" si="43"/>
        <v>9.5</v>
      </c>
      <c r="L36" s="752">
        <f t="shared" si="43"/>
        <v>15</v>
      </c>
      <c r="M36" s="754">
        <f t="shared" si="16"/>
        <v>50</v>
      </c>
    </row>
    <row r="37">
      <c r="A37" s="705" t="s">
        <v>2802</v>
      </c>
      <c r="B37" s="706">
        <v>1860.0</v>
      </c>
      <c r="C37" s="706">
        <v>174.0</v>
      </c>
      <c r="D37" s="706">
        <v>120.0</v>
      </c>
      <c r="E37" s="707">
        <v>120.0</v>
      </c>
      <c r="H37" s="755" t="str">
        <f>A243</f>
        <v>Roachikun</v>
      </c>
      <c r="I37" s="756">
        <f t="shared" ref="I37:L37" si="44">B244</f>
        <v>95</v>
      </c>
      <c r="J37" s="757">
        <f t="shared" si="44"/>
        <v>15</v>
      </c>
      <c r="K37" s="756">
        <f t="shared" si="44"/>
        <v>9</v>
      </c>
      <c r="L37" s="756">
        <f t="shared" si="44"/>
        <v>16.5</v>
      </c>
      <c r="M37" s="758">
        <f t="shared" si="16"/>
        <v>50</v>
      </c>
    </row>
    <row r="38">
      <c r="A38" s="159"/>
      <c r="E38" s="160"/>
      <c r="H38" s="759" t="str">
        <f>A259</f>
        <v>Mechanic</v>
      </c>
      <c r="I38" s="760">
        <f t="shared" ref="I38:L38" si="45">B260</f>
        <v>120</v>
      </c>
      <c r="J38" s="760">
        <f t="shared" si="45"/>
        <v>11.5</v>
      </c>
      <c r="K38" s="760">
        <f t="shared" si="45"/>
        <v>10.5</v>
      </c>
      <c r="L38" s="760">
        <f t="shared" si="45"/>
        <v>16</v>
      </c>
      <c r="M38" s="761">
        <f t="shared" si="16"/>
        <v>50</v>
      </c>
    </row>
    <row r="39">
      <c r="A39" s="683" t="s">
        <v>2806</v>
      </c>
      <c r="B39" s="684"/>
      <c r="C39" s="684"/>
      <c r="D39" s="684"/>
      <c r="E39" s="685"/>
      <c r="H39" s="759" t="str">
        <f>A271</f>
        <v>Wood Golem</v>
      </c>
      <c r="I39" s="760">
        <f t="shared" ref="I39:L39" si="46">B272</f>
        <v>125</v>
      </c>
      <c r="J39" s="760">
        <f t="shared" si="46"/>
        <v>11.5</v>
      </c>
      <c r="K39" s="760">
        <f t="shared" si="46"/>
        <v>10.5</v>
      </c>
      <c r="L39" s="759">
        <f t="shared" si="46"/>
        <v>15.5</v>
      </c>
      <c r="M39" s="760">
        <f t="shared" si="16"/>
        <v>50</v>
      </c>
    </row>
    <row r="40">
      <c r="A40" s="691" t="s">
        <v>2792</v>
      </c>
      <c r="B40" s="692">
        <f t="shared" ref="B40:E40" si="47">(B49-B47)/4</f>
        <v>165</v>
      </c>
      <c r="C40" s="692">
        <f t="shared" si="47"/>
        <v>14</v>
      </c>
      <c r="D40" s="692">
        <f t="shared" si="47"/>
        <v>10.5</v>
      </c>
      <c r="E40" s="693">
        <f t="shared" si="47"/>
        <v>9</v>
      </c>
      <c r="H40" s="759" t="str">
        <f>A283</f>
        <v>Keyboard Warrior</v>
      </c>
      <c r="I40" s="760">
        <f t="shared" ref="I40:L40" si="48">B284</f>
        <v>125</v>
      </c>
      <c r="J40" s="760">
        <f t="shared" si="48"/>
        <v>11</v>
      </c>
      <c r="K40" s="760">
        <f t="shared" si="48"/>
        <v>11</v>
      </c>
      <c r="L40" s="759">
        <f t="shared" si="48"/>
        <v>15.5</v>
      </c>
      <c r="M40" s="760">
        <f t="shared" si="16"/>
        <v>50</v>
      </c>
    </row>
    <row r="41">
      <c r="A41" s="683" t="s">
        <v>2794</v>
      </c>
      <c r="B41" s="696">
        <f t="shared" ref="B41:E41" si="49">B42-B$40</f>
        <v>330</v>
      </c>
      <c r="C41" s="696">
        <f t="shared" si="49"/>
        <v>28</v>
      </c>
      <c r="D41" s="696">
        <f t="shared" si="49"/>
        <v>21</v>
      </c>
      <c r="E41" s="697">
        <f t="shared" si="49"/>
        <v>18</v>
      </c>
      <c r="H41" s="759" t="str">
        <f>A295</f>
        <v>Snail Mech</v>
      </c>
      <c r="I41" s="760">
        <f t="shared" ref="I41:L41" si="50">B296</f>
        <v>130</v>
      </c>
      <c r="J41" s="760">
        <f t="shared" si="50"/>
        <v>11.5</v>
      </c>
      <c r="K41" s="760">
        <f t="shared" si="50"/>
        <v>10.5</v>
      </c>
      <c r="L41" s="759">
        <f t="shared" si="50"/>
        <v>15</v>
      </c>
      <c r="M41" s="760">
        <f t="shared" si="16"/>
        <v>50</v>
      </c>
    </row>
    <row r="42">
      <c r="A42" s="702" t="s">
        <v>2795</v>
      </c>
      <c r="B42" s="696">
        <f t="shared" ref="B42:E42" si="51">B43-B$40</f>
        <v>495</v>
      </c>
      <c r="C42" s="696">
        <f t="shared" si="51"/>
        <v>42</v>
      </c>
      <c r="D42" s="696">
        <f t="shared" si="51"/>
        <v>31.5</v>
      </c>
      <c r="E42" s="697">
        <f t="shared" si="51"/>
        <v>27</v>
      </c>
      <c r="H42" s="759" t="str">
        <f>A307</f>
        <v>NeuroMecha</v>
      </c>
      <c r="I42" s="760">
        <f t="shared" ref="I42:L42" si="52">B308</f>
        <v>125</v>
      </c>
      <c r="J42" s="760">
        <f t="shared" si="52"/>
        <v>10</v>
      </c>
      <c r="K42" s="760">
        <f t="shared" si="52"/>
        <v>10</v>
      </c>
      <c r="L42" s="760">
        <f t="shared" si="52"/>
        <v>17.5</v>
      </c>
      <c r="M42" s="762">
        <f t="shared" si="16"/>
        <v>50</v>
      </c>
    </row>
    <row r="43">
      <c r="A43" s="702" t="s">
        <v>2796</v>
      </c>
      <c r="B43" s="696">
        <f t="shared" ref="B43:E43" si="53">B44-B$40</f>
        <v>660</v>
      </c>
      <c r="C43" s="696">
        <f t="shared" si="53"/>
        <v>56</v>
      </c>
      <c r="D43" s="696">
        <f t="shared" si="53"/>
        <v>42</v>
      </c>
      <c r="E43" s="697">
        <f t="shared" si="53"/>
        <v>36</v>
      </c>
      <c r="H43" s="763" t="str">
        <f>A323</f>
        <v>Drawn Dragon</v>
      </c>
      <c r="I43" s="764">
        <f t="shared" ref="I43:L43" si="54">B324</f>
        <v>110</v>
      </c>
      <c r="J43" s="765">
        <f t="shared" si="54"/>
        <v>16.5</v>
      </c>
      <c r="K43" s="764">
        <f t="shared" si="54"/>
        <v>10</v>
      </c>
      <c r="L43" s="764">
        <f t="shared" si="54"/>
        <v>15</v>
      </c>
      <c r="M43" s="766">
        <f t="shared" si="16"/>
        <v>52.5</v>
      </c>
    </row>
    <row r="44">
      <c r="A44" s="702" t="s">
        <v>2797</v>
      </c>
      <c r="B44" s="696">
        <f t="shared" ref="B44:E44" si="55">B45-B$40</f>
        <v>825</v>
      </c>
      <c r="C44" s="696">
        <f t="shared" si="55"/>
        <v>70</v>
      </c>
      <c r="D44" s="696">
        <f t="shared" si="55"/>
        <v>52.5</v>
      </c>
      <c r="E44" s="697">
        <f t="shared" si="55"/>
        <v>45</v>
      </c>
      <c r="H44" s="767" t="str">
        <f>A335</f>
        <v>Slug Dragonling</v>
      </c>
      <c r="I44" s="768">
        <f t="shared" ref="I44:L44" si="56">B336</f>
        <v>150</v>
      </c>
      <c r="J44" s="769">
        <f t="shared" si="56"/>
        <v>15</v>
      </c>
      <c r="K44" s="768">
        <f t="shared" si="56"/>
        <v>10</v>
      </c>
      <c r="L44" s="768">
        <f t="shared" si="56"/>
        <v>12.5</v>
      </c>
      <c r="M44" s="766">
        <f t="shared" si="16"/>
        <v>52.5</v>
      </c>
    </row>
    <row r="45">
      <c r="A45" s="702" t="s">
        <v>2798</v>
      </c>
      <c r="B45" s="696">
        <f t="shared" ref="B45:E45" si="57">B46-B$40</f>
        <v>990</v>
      </c>
      <c r="C45" s="696">
        <f t="shared" si="57"/>
        <v>84</v>
      </c>
      <c r="D45" s="696">
        <f t="shared" si="57"/>
        <v>63</v>
      </c>
      <c r="E45" s="697">
        <f t="shared" si="57"/>
        <v>54</v>
      </c>
      <c r="H45" s="767" t="str">
        <f>A347</f>
        <v>Nanosaur</v>
      </c>
      <c r="I45" s="768">
        <f t="shared" ref="I45:L45" si="58">B348</f>
        <v>130</v>
      </c>
      <c r="J45" s="769">
        <f t="shared" si="58"/>
        <v>15.5</v>
      </c>
      <c r="K45" s="768">
        <f t="shared" si="58"/>
        <v>10</v>
      </c>
      <c r="L45" s="768">
        <f t="shared" si="58"/>
        <v>14</v>
      </c>
      <c r="M45" s="766">
        <f t="shared" si="16"/>
        <v>52.5</v>
      </c>
    </row>
    <row r="46">
      <c r="A46" s="702" t="s">
        <v>2799</v>
      </c>
      <c r="B46" s="696">
        <f t="shared" ref="B46:E46" si="59">B47-B$40</f>
        <v>1155</v>
      </c>
      <c r="C46" s="696">
        <f t="shared" si="59"/>
        <v>98</v>
      </c>
      <c r="D46" s="696">
        <f t="shared" si="59"/>
        <v>73.5</v>
      </c>
      <c r="E46" s="697">
        <f t="shared" si="59"/>
        <v>63</v>
      </c>
      <c r="H46" s="767" t="str">
        <f>A359</f>
        <v>Frost Drake</v>
      </c>
      <c r="I46" s="768">
        <f t="shared" ref="I46:L46" si="60">B360</f>
        <v>100</v>
      </c>
      <c r="J46" s="769">
        <f t="shared" si="60"/>
        <v>17.5</v>
      </c>
      <c r="K46" s="768">
        <f t="shared" si="60"/>
        <v>10</v>
      </c>
      <c r="L46" s="768">
        <f t="shared" si="60"/>
        <v>15</v>
      </c>
      <c r="M46" s="766">
        <f t="shared" si="16"/>
        <v>52.5</v>
      </c>
    </row>
    <row r="47">
      <c r="A47" s="702" t="s">
        <v>2800</v>
      </c>
      <c r="B47" s="696">
        <v>1320.0</v>
      </c>
      <c r="C47" s="696">
        <v>112.0</v>
      </c>
      <c r="D47" s="696">
        <v>84.0</v>
      </c>
      <c r="E47" s="697">
        <v>72.0</v>
      </c>
      <c r="H47" s="770" t="str">
        <f>A371</f>
        <v>Jaden Embryo</v>
      </c>
      <c r="I47" s="771">
        <f t="shared" ref="I47:L47" si="61">B372</f>
        <v>100</v>
      </c>
      <c r="J47" s="772">
        <f t="shared" si="61"/>
        <v>18</v>
      </c>
      <c r="K47" s="771">
        <f t="shared" si="61"/>
        <v>8.5</v>
      </c>
      <c r="L47" s="771">
        <f t="shared" si="61"/>
        <v>16</v>
      </c>
      <c r="M47" s="773">
        <f t="shared" si="16"/>
        <v>52.5</v>
      </c>
    </row>
    <row r="48">
      <c r="A48" s="702" t="s">
        <v>2801</v>
      </c>
      <c r="B48" s="696">
        <v>1485.0</v>
      </c>
      <c r="C48" s="696">
        <v>126.0</v>
      </c>
      <c r="D48" s="696">
        <v>95.0</v>
      </c>
      <c r="E48" s="697">
        <v>81.0</v>
      </c>
    </row>
    <row r="49">
      <c r="A49" s="705" t="s">
        <v>2802</v>
      </c>
      <c r="B49" s="706">
        <v>1980.0</v>
      </c>
      <c r="C49" s="706">
        <v>168.0</v>
      </c>
      <c r="D49" s="706">
        <v>126.0</v>
      </c>
      <c r="E49" s="707">
        <v>108.0</v>
      </c>
    </row>
    <row r="50">
      <c r="A50" s="159"/>
      <c r="E50" s="160"/>
    </row>
    <row r="51">
      <c r="A51" s="683" t="s">
        <v>2807</v>
      </c>
      <c r="B51" s="684"/>
      <c r="C51" s="684"/>
      <c r="D51" s="684"/>
      <c r="E51" s="685"/>
    </row>
    <row r="52">
      <c r="A52" s="691" t="s">
        <v>2792</v>
      </c>
      <c r="B52" s="692">
        <f t="shared" ref="B52:E52" si="62">(B61-B59)/4</f>
        <v>155</v>
      </c>
      <c r="C52" s="692">
        <f t="shared" si="62"/>
        <v>15</v>
      </c>
      <c r="D52" s="692">
        <f t="shared" si="62"/>
        <v>9</v>
      </c>
      <c r="E52" s="693">
        <f t="shared" si="62"/>
        <v>10.5</v>
      </c>
    </row>
    <row r="53">
      <c r="A53" s="702" t="s">
        <v>2794</v>
      </c>
      <c r="B53" s="696">
        <v>310.0</v>
      </c>
      <c r="C53" s="696">
        <v>30.0</v>
      </c>
      <c r="D53" s="696">
        <v>18.0</v>
      </c>
      <c r="E53" s="697">
        <v>21.0</v>
      </c>
    </row>
    <row r="54">
      <c r="A54" s="702" t="s">
        <v>2795</v>
      </c>
      <c r="B54" s="696">
        <v>465.0</v>
      </c>
      <c r="C54" s="696">
        <v>45.0</v>
      </c>
      <c r="D54" s="696">
        <v>27.0</v>
      </c>
      <c r="E54" s="697">
        <v>32.0</v>
      </c>
    </row>
    <row r="55">
      <c r="A55" s="702" t="s">
        <v>2796</v>
      </c>
      <c r="B55" s="696">
        <v>620.0</v>
      </c>
      <c r="C55" s="696">
        <v>60.0</v>
      </c>
      <c r="D55" s="696">
        <v>36.0</v>
      </c>
      <c r="E55" s="697">
        <v>42.0</v>
      </c>
    </row>
    <row r="56">
      <c r="A56" s="702" t="s">
        <v>2797</v>
      </c>
      <c r="B56" s="696">
        <v>775.0</v>
      </c>
      <c r="C56" s="696">
        <v>75.0</v>
      </c>
      <c r="D56" s="696">
        <v>45.0</v>
      </c>
      <c r="E56" s="697">
        <v>53.0</v>
      </c>
    </row>
    <row r="57">
      <c r="A57" s="702" t="s">
        <v>2798</v>
      </c>
      <c r="B57" s="696">
        <v>930.0</v>
      </c>
      <c r="C57" s="696">
        <v>90.0</v>
      </c>
      <c r="D57" s="696">
        <v>54.0</v>
      </c>
      <c r="E57" s="697">
        <v>63.0</v>
      </c>
    </row>
    <row r="58">
      <c r="A58" s="702" t="s">
        <v>2799</v>
      </c>
      <c r="B58" s="696">
        <v>1085.0</v>
      </c>
      <c r="C58" s="696">
        <v>105.0</v>
      </c>
      <c r="D58" s="696">
        <v>63.0</v>
      </c>
      <c r="E58" s="697">
        <v>74.0</v>
      </c>
    </row>
    <row r="59">
      <c r="A59" s="702" t="s">
        <v>2800</v>
      </c>
      <c r="B59" s="696">
        <v>1240.0</v>
      </c>
      <c r="C59" s="696">
        <v>120.0</v>
      </c>
      <c r="D59" s="696">
        <v>72.0</v>
      </c>
      <c r="E59" s="697">
        <v>84.0</v>
      </c>
    </row>
    <row r="60">
      <c r="A60" s="702" t="s">
        <v>2801</v>
      </c>
      <c r="B60" s="696">
        <v>1395.0</v>
      </c>
      <c r="C60" s="696">
        <v>135.0</v>
      </c>
      <c r="D60" s="696">
        <v>81.0</v>
      </c>
      <c r="E60" s="697">
        <v>95.0</v>
      </c>
    </row>
    <row r="61">
      <c r="A61" s="705" t="s">
        <v>2802</v>
      </c>
      <c r="B61" s="706">
        <v>1860.0</v>
      </c>
      <c r="C61" s="706">
        <v>180.0</v>
      </c>
      <c r="D61" s="706">
        <v>108.0</v>
      </c>
      <c r="E61" s="707">
        <v>126.0</v>
      </c>
    </row>
    <row r="66">
      <c r="A66" s="680" t="s">
        <v>100</v>
      </c>
      <c r="B66" s="681"/>
      <c r="C66" s="681"/>
      <c r="D66" s="681"/>
      <c r="E66" s="682"/>
    </row>
    <row r="67">
      <c r="A67" s="774" t="s">
        <v>2808</v>
      </c>
      <c r="B67" s="684"/>
      <c r="C67" s="684"/>
      <c r="D67" s="684"/>
      <c r="E67" s="685"/>
    </row>
    <row r="68">
      <c r="A68" s="691" t="s">
        <v>2792</v>
      </c>
      <c r="B68" s="692">
        <f t="shared" ref="B68:E68" si="63">(B77-B75)/4</f>
        <v>100</v>
      </c>
      <c r="C68" s="692">
        <f t="shared" si="63"/>
        <v>15</v>
      </c>
      <c r="D68" s="692">
        <f t="shared" si="63"/>
        <v>11</v>
      </c>
      <c r="E68" s="693">
        <f t="shared" si="63"/>
        <v>14</v>
      </c>
    </row>
    <row r="69">
      <c r="A69" s="683" t="s">
        <v>2794</v>
      </c>
      <c r="B69" s="696">
        <f t="shared" ref="B69:E69" si="64">B70-B$68</f>
        <v>200</v>
      </c>
      <c r="C69" s="696">
        <f t="shared" si="64"/>
        <v>30</v>
      </c>
      <c r="D69" s="696">
        <f t="shared" si="64"/>
        <v>22</v>
      </c>
      <c r="E69" s="697">
        <f t="shared" si="64"/>
        <v>28</v>
      </c>
    </row>
    <row r="70">
      <c r="A70" s="702" t="s">
        <v>2795</v>
      </c>
      <c r="B70" s="696">
        <f t="shared" ref="B70:E70" si="65">B71-B$68</f>
        <v>300</v>
      </c>
      <c r="C70" s="696">
        <f t="shared" si="65"/>
        <v>45</v>
      </c>
      <c r="D70" s="696">
        <f t="shared" si="65"/>
        <v>33</v>
      </c>
      <c r="E70" s="697">
        <f t="shared" si="65"/>
        <v>42</v>
      </c>
    </row>
    <row r="71">
      <c r="A71" s="702" t="s">
        <v>2796</v>
      </c>
      <c r="B71" s="696">
        <f t="shared" ref="B71:E71" si="66">B72-B$68</f>
        <v>400</v>
      </c>
      <c r="C71" s="696">
        <f t="shared" si="66"/>
        <v>60</v>
      </c>
      <c r="D71" s="696">
        <f t="shared" si="66"/>
        <v>44</v>
      </c>
      <c r="E71" s="697">
        <f t="shared" si="66"/>
        <v>56</v>
      </c>
    </row>
    <row r="72">
      <c r="A72" s="702" t="s">
        <v>2797</v>
      </c>
      <c r="B72" s="696">
        <f t="shared" ref="B72:E72" si="67">B73-B$68</f>
        <v>500</v>
      </c>
      <c r="C72" s="696">
        <f t="shared" si="67"/>
        <v>75</v>
      </c>
      <c r="D72" s="696">
        <f t="shared" si="67"/>
        <v>55</v>
      </c>
      <c r="E72" s="697">
        <f t="shared" si="67"/>
        <v>70</v>
      </c>
    </row>
    <row r="73">
      <c r="A73" s="702" t="s">
        <v>2798</v>
      </c>
      <c r="B73" s="696">
        <f t="shared" ref="B73:E73" si="68">B74-B$68</f>
        <v>600</v>
      </c>
      <c r="C73" s="696">
        <f t="shared" si="68"/>
        <v>90</v>
      </c>
      <c r="D73" s="696">
        <f t="shared" si="68"/>
        <v>66</v>
      </c>
      <c r="E73" s="697">
        <f t="shared" si="68"/>
        <v>84</v>
      </c>
    </row>
    <row r="74">
      <c r="A74" s="702" t="s">
        <v>2799</v>
      </c>
      <c r="B74" s="696">
        <f t="shared" ref="B74:E74" si="69">B75-B$68</f>
        <v>700</v>
      </c>
      <c r="C74" s="696">
        <f t="shared" si="69"/>
        <v>105</v>
      </c>
      <c r="D74" s="696">
        <f t="shared" si="69"/>
        <v>77</v>
      </c>
      <c r="E74" s="697">
        <f t="shared" si="69"/>
        <v>98</v>
      </c>
    </row>
    <row r="75">
      <c r="A75" s="702" t="s">
        <v>2800</v>
      </c>
      <c r="B75" s="696">
        <v>800.0</v>
      </c>
      <c r="C75" s="696">
        <v>120.0</v>
      </c>
      <c r="D75" s="696">
        <v>88.0</v>
      </c>
      <c r="E75" s="697">
        <v>112.0</v>
      </c>
    </row>
    <row r="76">
      <c r="A76" s="702" t="s">
        <v>2801</v>
      </c>
      <c r="B76" s="696">
        <v>900.0</v>
      </c>
      <c r="C76" s="696">
        <v>135.0</v>
      </c>
      <c r="D76" s="696">
        <v>99.0</v>
      </c>
      <c r="E76" s="697">
        <v>126.0</v>
      </c>
    </row>
    <row r="77">
      <c r="A77" s="705" t="s">
        <v>2802</v>
      </c>
      <c r="B77" s="706">
        <v>1200.0</v>
      </c>
      <c r="C77" s="706">
        <v>180.0</v>
      </c>
      <c r="D77" s="706">
        <v>132.0</v>
      </c>
      <c r="E77" s="707">
        <v>168.0</v>
      </c>
    </row>
    <row r="78">
      <c r="A78" s="159"/>
      <c r="E78" s="160"/>
    </row>
    <row r="79">
      <c r="A79" s="774" t="s">
        <v>2809</v>
      </c>
      <c r="B79" s="684"/>
      <c r="C79" s="684"/>
      <c r="D79" s="684"/>
      <c r="E79" s="685"/>
    </row>
    <row r="80">
      <c r="A80" s="691" t="s">
        <v>2792</v>
      </c>
      <c r="B80" s="692">
        <f t="shared" ref="B80:E80" si="70">(B89-B87)/4</f>
        <v>100</v>
      </c>
      <c r="C80" s="692">
        <f t="shared" si="70"/>
        <v>15</v>
      </c>
      <c r="D80" s="692">
        <f t="shared" si="70"/>
        <v>10.5</v>
      </c>
      <c r="E80" s="693">
        <f t="shared" si="70"/>
        <v>14.5</v>
      </c>
    </row>
    <row r="81">
      <c r="A81" s="683" t="s">
        <v>2794</v>
      </c>
      <c r="B81" s="696">
        <f t="shared" ref="B81:E81" si="71">B82-B$80</f>
        <v>200</v>
      </c>
      <c r="C81" s="696">
        <f t="shared" si="71"/>
        <v>30</v>
      </c>
      <c r="D81" s="696">
        <f t="shared" si="71"/>
        <v>21</v>
      </c>
      <c r="E81" s="697">
        <f t="shared" si="71"/>
        <v>29</v>
      </c>
    </row>
    <row r="82">
      <c r="A82" s="702" t="s">
        <v>2795</v>
      </c>
      <c r="B82" s="696">
        <f t="shared" ref="B82:E82" si="72">B83-B$80</f>
        <v>300</v>
      </c>
      <c r="C82" s="696">
        <f t="shared" si="72"/>
        <v>45</v>
      </c>
      <c r="D82" s="696">
        <f t="shared" si="72"/>
        <v>31.5</v>
      </c>
      <c r="E82" s="697">
        <f t="shared" si="72"/>
        <v>43.5</v>
      </c>
    </row>
    <row r="83">
      <c r="A83" s="702" t="s">
        <v>2796</v>
      </c>
      <c r="B83" s="696">
        <f t="shared" ref="B83:E83" si="73">B84-B$80</f>
        <v>400</v>
      </c>
      <c r="C83" s="696">
        <f t="shared" si="73"/>
        <v>60</v>
      </c>
      <c r="D83" s="696">
        <f t="shared" si="73"/>
        <v>42</v>
      </c>
      <c r="E83" s="697">
        <f t="shared" si="73"/>
        <v>58</v>
      </c>
    </row>
    <row r="84">
      <c r="A84" s="702" t="s">
        <v>2797</v>
      </c>
      <c r="B84" s="696">
        <f t="shared" ref="B84:E84" si="74">B85-B$80</f>
        <v>500</v>
      </c>
      <c r="C84" s="696">
        <f t="shared" si="74"/>
        <v>75</v>
      </c>
      <c r="D84" s="696">
        <f t="shared" si="74"/>
        <v>52.5</v>
      </c>
      <c r="E84" s="697">
        <f t="shared" si="74"/>
        <v>72.5</v>
      </c>
    </row>
    <row r="85">
      <c r="A85" s="702" t="s">
        <v>2798</v>
      </c>
      <c r="B85" s="696">
        <f t="shared" ref="B85:E85" si="75">B86-B$80</f>
        <v>600</v>
      </c>
      <c r="C85" s="696">
        <f t="shared" si="75"/>
        <v>90</v>
      </c>
      <c r="D85" s="696">
        <f t="shared" si="75"/>
        <v>63</v>
      </c>
      <c r="E85" s="697">
        <f t="shared" si="75"/>
        <v>87</v>
      </c>
    </row>
    <row r="86">
      <c r="A86" s="702" t="s">
        <v>2799</v>
      </c>
      <c r="B86" s="696">
        <f t="shared" ref="B86:E86" si="76">B87-B$80</f>
        <v>700</v>
      </c>
      <c r="C86" s="696">
        <f t="shared" si="76"/>
        <v>105</v>
      </c>
      <c r="D86" s="696">
        <f t="shared" si="76"/>
        <v>73.5</v>
      </c>
      <c r="E86" s="697">
        <f t="shared" si="76"/>
        <v>101.5</v>
      </c>
    </row>
    <row r="87">
      <c r="A87" s="702" t="s">
        <v>2800</v>
      </c>
      <c r="B87" s="696">
        <v>800.0</v>
      </c>
      <c r="C87" s="696">
        <v>120.0</v>
      </c>
      <c r="D87" s="696">
        <v>84.0</v>
      </c>
      <c r="E87" s="697">
        <v>116.0</v>
      </c>
    </row>
    <row r="88">
      <c r="A88" s="702" t="s">
        <v>2801</v>
      </c>
      <c r="B88" s="696">
        <v>900.0</v>
      </c>
      <c r="C88" s="696">
        <v>135.0</v>
      </c>
      <c r="D88" s="696">
        <v>95.0</v>
      </c>
      <c r="E88" s="697">
        <v>131.0</v>
      </c>
    </row>
    <row r="89">
      <c r="A89" s="705" t="s">
        <v>2802</v>
      </c>
      <c r="B89" s="706">
        <v>1200.0</v>
      </c>
      <c r="C89" s="706">
        <v>180.0</v>
      </c>
      <c r="D89" s="706">
        <v>126.0</v>
      </c>
      <c r="E89" s="707">
        <v>174.0</v>
      </c>
    </row>
    <row r="90">
      <c r="A90" s="159"/>
      <c r="E90" s="160"/>
    </row>
    <row r="91">
      <c r="A91" s="774" t="s">
        <v>2810</v>
      </c>
      <c r="B91" s="684"/>
      <c r="C91" s="684"/>
      <c r="D91" s="684"/>
      <c r="E91" s="685"/>
    </row>
    <row r="92">
      <c r="A92" s="691" t="s">
        <v>2792</v>
      </c>
      <c r="B92" s="692">
        <f t="shared" ref="B92:E92" si="77">(B101-B99)/4</f>
        <v>110</v>
      </c>
      <c r="C92" s="692">
        <f t="shared" si="77"/>
        <v>15.5</v>
      </c>
      <c r="D92" s="692">
        <f t="shared" si="77"/>
        <v>10.5</v>
      </c>
      <c r="E92" s="693">
        <f t="shared" si="77"/>
        <v>13</v>
      </c>
    </row>
    <row r="93">
      <c r="A93" s="683" t="s">
        <v>2794</v>
      </c>
      <c r="B93" s="696">
        <f t="shared" ref="B93:E93" si="78">B94-B$92</f>
        <v>220</v>
      </c>
      <c r="C93" s="696">
        <f t="shared" si="78"/>
        <v>31</v>
      </c>
      <c r="D93" s="696">
        <f t="shared" si="78"/>
        <v>21</v>
      </c>
      <c r="E93" s="697">
        <f t="shared" si="78"/>
        <v>26</v>
      </c>
    </row>
    <row r="94">
      <c r="A94" s="702" t="s">
        <v>2795</v>
      </c>
      <c r="B94" s="696">
        <f t="shared" ref="B94:E94" si="79">B95-B$92</f>
        <v>330</v>
      </c>
      <c r="C94" s="696">
        <f t="shared" si="79"/>
        <v>46.5</v>
      </c>
      <c r="D94" s="696">
        <f t="shared" si="79"/>
        <v>31.5</v>
      </c>
      <c r="E94" s="697">
        <f t="shared" si="79"/>
        <v>39</v>
      </c>
    </row>
    <row r="95">
      <c r="A95" s="702" t="s">
        <v>2796</v>
      </c>
      <c r="B95" s="696">
        <f t="shared" ref="B95:E95" si="80">B96-B$92</f>
        <v>440</v>
      </c>
      <c r="C95" s="696">
        <f t="shared" si="80"/>
        <v>62</v>
      </c>
      <c r="D95" s="696">
        <f t="shared" si="80"/>
        <v>42</v>
      </c>
      <c r="E95" s="697">
        <f t="shared" si="80"/>
        <v>52</v>
      </c>
    </row>
    <row r="96">
      <c r="A96" s="702" t="s">
        <v>2797</v>
      </c>
      <c r="B96" s="696">
        <f t="shared" ref="B96:E96" si="81">B97-B$92</f>
        <v>550</v>
      </c>
      <c r="C96" s="696">
        <f t="shared" si="81"/>
        <v>77.5</v>
      </c>
      <c r="D96" s="696">
        <f t="shared" si="81"/>
        <v>52.5</v>
      </c>
      <c r="E96" s="697">
        <f t="shared" si="81"/>
        <v>65</v>
      </c>
    </row>
    <row r="97">
      <c r="A97" s="702" t="s">
        <v>2798</v>
      </c>
      <c r="B97" s="696">
        <f t="shared" ref="B97:E97" si="82">B98-B$92</f>
        <v>660</v>
      </c>
      <c r="C97" s="696">
        <f t="shared" si="82"/>
        <v>93</v>
      </c>
      <c r="D97" s="696">
        <f t="shared" si="82"/>
        <v>63</v>
      </c>
      <c r="E97" s="697">
        <f t="shared" si="82"/>
        <v>78</v>
      </c>
    </row>
    <row r="98">
      <c r="A98" s="702" t="s">
        <v>2799</v>
      </c>
      <c r="B98" s="696">
        <f t="shared" ref="B98:E98" si="83">B99-B$92</f>
        <v>770</v>
      </c>
      <c r="C98" s="696">
        <f t="shared" si="83"/>
        <v>108.5</v>
      </c>
      <c r="D98" s="696">
        <f t="shared" si="83"/>
        <v>73.5</v>
      </c>
      <c r="E98" s="697">
        <f t="shared" si="83"/>
        <v>91</v>
      </c>
    </row>
    <row r="99">
      <c r="A99" s="702" t="s">
        <v>2800</v>
      </c>
      <c r="B99" s="696">
        <v>880.0</v>
      </c>
      <c r="C99" s="696">
        <v>124.0</v>
      </c>
      <c r="D99" s="696">
        <v>84.0</v>
      </c>
      <c r="E99" s="697">
        <v>104.0</v>
      </c>
    </row>
    <row r="100">
      <c r="A100" s="702" t="s">
        <v>2801</v>
      </c>
      <c r="B100" s="696">
        <v>990.0</v>
      </c>
      <c r="C100" s="696">
        <v>140.0</v>
      </c>
      <c r="D100" s="696">
        <v>95.0</v>
      </c>
      <c r="E100" s="697">
        <v>117.0</v>
      </c>
    </row>
    <row r="101">
      <c r="A101" s="705" t="s">
        <v>2802</v>
      </c>
      <c r="B101" s="706">
        <v>1320.0</v>
      </c>
      <c r="C101" s="706">
        <v>186.0</v>
      </c>
      <c r="D101" s="706">
        <v>126.0</v>
      </c>
      <c r="E101" s="707">
        <v>156.0</v>
      </c>
    </row>
    <row r="102">
      <c r="A102" s="159"/>
      <c r="E102" s="160"/>
    </row>
    <row r="103">
      <c r="A103" s="774" t="s">
        <v>2811</v>
      </c>
      <c r="B103" s="684"/>
      <c r="C103" s="684"/>
      <c r="D103" s="684"/>
      <c r="E103" s="685"/>
    </row>
    <row r="104">
      <c r="A104" s="691" t="s">
        <v>2792</v>
      </c>
      <c r="B104" s="692">
        <f t="shared" ref="B104:E104" si="84">(B113-B111)/4</f>
        <v>115</v>
      </c>
      <c r="C104" s="692">
        <f t="shared" si="84"/>
        <v>15</v>
      </c>
      <c r="D104" s="692">
        <f t="shared" si="84"/>
        <v>10</v>
      </c>
      <c r="E104" s="693">
        <f t="shared" si="84"/>
        <v>13.5</v>
      </c>
    </row>
    <row r="105">
      <c r="A105" s="683" t="s">
        <v>2794</v>
      </c>
      <c r="B105" s="696">
        <v>230.0</v>
      </c>
      <c r="C105" s="696">
        <v>30.0</v>
      </c>
      <c r="D105" s="696">
        <v>20.0</v>
      </c>
      <c r="E105" s="697">
        <v>27.0</v>
      </c>
    </row>
    <row r="106">
      <c r="A106" s="702" t="s">
        <v>2795</v>
      </c>
      <c r="B106" s="696">
        <v>345.0</v>
      </c>
      <c r="C106" s="696">
        <v>45.0</v>
      </c>
      <c r="D106" s="696">
        <v>30.0</v>
      </c>
      <c r="E106" s="697">
        <v>41.0</v>
      </c>
    </row>
    <row r="107">
      <c r="A107" s="702" t="s">
        <v>2796</v>
      </c>
      <c r="B107" s="696">
        <v>460.0</v>
      </c>
      <c r="C107" s="696">
        <v>60.0</v>
      </c>
      <c r="D107" s="696">
        <v>40.0</v>
      </c>
      <c r="E107" s="697">
        <v>54.0</v>
      </c>
    </row>
    <row r="108">
      <c r="A108" s="702" t="s">
        <v>2797</v>
      </c>
      <c r="B108" s="696">
        <v>575.0</v>
      </c>
      <c r="C108" s="696">
        <v>75.0</v>
      </c>
      <c r="D108" s="696">
        <v>50.0</v>
      </c>
      <c r="E108" s="697">
        <v>68.0</v>
      </c>
    </row>
    <row r="109">
      <c r="A109" s="702" t="s">
        <v>2798</v>
      </c>
      <c r="B109" s="696">
        <v>690.0</v>
      </c>
      <c r="C109" s="696">
        <v>90.0</v>
      </c>
      <c r="D109" s="696">
        <v>60.0</v>
      </c>
      <c r="E109" s="697">
        <v>81.0</v>
      </c>
    </row>
    <row r="110">
      <c r="A110" s="702" t="s">
        <v>2799</v>
      </c>
      <c r="B110" s="696">
        <v>805.0</v>
      </c>
      <c r="C110" s="696">
        <v>105.0</v>
      </c>
      <c r="D110" s="696">
        <v>70.0</v>
      </c>
      <c r="E110" s="697">
        <v>95.0</v>
      </c>
    </row>
    <row r="111">
      <c r="A111" s="702" t="s">
        <v>2800</v>
      </c>
      <c r="B111" s="696">
        <v>920.0</v>
      </c>
      <c r="C111" s="696">
        <v>120.0</v>
      </c>
      <c r="D111" s="696">
        <v>80.0</v>
      </c>
      <c r="E111" s="697">
        <v>108.0</v>
      </c>
    </row>
    <row r="112">
      <c r="A112" s="702" t="s">
        <v>2801</v>
      </c>
      <c r="B112" s="696">
        <v>1035.0</v>
      </c>
      <c r="C112" s="696">
        <v>135.0</v>
      </c>
      <c r="D112" s="696">
        <v>90.0</v>
      </c>
      <c r="E112" s="697">
        <v>122.0</v>
      </c>
    </row>
    <row r="113">
      <c r="A113" s="705" t="s">
        <v>2802</v>
      </c>
      <c r="B113" s="706">
        <v>1380.0</v>
      </c>
      <c r="C113" s="706">
        <v>180.0</v>
      </c>
      <c r="D113" s="706">
        <v>120.0</v>
      </c>
      <c r="E113" s="707">
        <v>162.0</v>
      </c>
    </row>
    <row r="114">
      <c r="A114" s="159"/>
      <c r="E114" s="160"/>
    </row>
    <row r="115">
      <c r="A115" s="774" t="s">
        <v>2812</v>
      </c>
      <c r="B115" s="684"/>
      <c r="C115" s="684"/>
      <c r="D115" s="684"/>
      <c r="E115" s="685"/>
    </row>
    <row r="116">
      <c r="A116" s="691" t="s">
        <v>2792</v>
      </c>
      <c r="B116" s="692">
        <f t="shared" ref="B116:E116" si="85">(B125-B123)/4</f>
        <v>105</v>
      </c>
      <c r="C116" s="692">
        <f t="shared" si="85"/>
        <v>16</v>
      </c>
      <c r="D116" s="692">
        <f t="shared" si="85"/>
        <v>9.5</v>
      </c>
      <c r="E116" s="693">
        <f t="shared" si="85"/>
        <v>14</v>
      </c>
    </row>
    <row r="117">
      <c r="A117" s="702" t="s">
        <v>2794</v>
      </c>
      <c r="B117" s="696">
        <f t="shared" ref="B117:E117" si="86">B118-B$116</f>
        <v>210</v>
      </c>
      <c r="C117" s="696">
        <f t="shared" si="86"/>
        <v>32</v>
      </c>
      <c r="D117" s="696">
        <f t="shared" si="86"/>
        <v>19</v>
      </c>
      <c r="E117" s="697">
        <f t="shared" si="86"/>
        <v>28</v>
      </c>
    </row>
    <row r="118">
      <c r="A118" s="702" t="s">
        <v>2795</v>
      </c>
      <c r="B118" s="696">
        <f t="shared" ref="B118:E118" si="87">B119-B$116</f>
        <v>315</v>
      </c>
      <c r="C118" s="696">
        <f t="shared" si="87"/>
        <v>48</v>
      </c>
      <c r="D118" s="696">
        <f t="shared" si="87"/>
        <v>28.5</v>
      </c>
      <c r="E118" s="697">
        <f t="shared" si="87"/>
        <v>42</v>
      </c>
    </row>
    <row r="119">
      <c r="A119" s="702" t="s">
        <v>2796</v>
      </c>
      <c r="B119" s="696">
        <f t="shared" ref="B119:E119" si="88">B120-B$116</f>
        <v>420</v>
      </c>
      <c r="C119" s="696">
        <f t="shared" si="88"/>
        <v>64</v>
      </c>
      <c r="D119" s="696">
        <f t="shared" si="88"/>
        <v>38</v>
      </c>
      <c r="E119" s="697">
        <f t="shared" si="88"/>
        <v>56</v>
      </c>
    </row>
    <row r="120">
      <c r="A120" s="702" t="s">
        <v>2797</v>
      </c>
      <c r="B120" s="696">
        <f t="shared" ref="B120:E120" si="89">B121-B$116</f>
        <v>525</v>
      </c>
      <c r="C120" s="696">
        <f t="shared" si="89"/>
        <v>80</v>
      </c>
      <c r="D120" s="696">
        <f t="shared" si="89"/>
        <v>47.5</v>
      </c>
      <c r="E120" s="697">
        <f t="shared" si="89"/>
        <v>70</v>
      </c>
    </row>
    <row r="121">
      <c r="A121" s="702" t="s">
        <v>2798</v>
      </c>
      <c r="B121" s="696">
        <f t="shared" ref="B121:E121" si="90">B122-B$116</f>
        <v>630</v>
      </c>
      <c r="C121" s="696">
        <f t="shared" si="90"/>
        <v>96</v>
      </c>
      <c r="D121" s="696">
        <f t="shared" si="90"/>
        <v>57</v>
      </c>
      <c r="E121" s="697">
        <f t="shared" si="90"/>
        <v>84</v>
      </c>
    </row>
    <row r="122">
      <c r="A122" s="702" t="s">
        <v>2799</v>
      </c>
      <c r="B122" s="696">
        <f t="shared" ref="B122:E122" si="91">B123-B$116</f>
        <v>735</v>
      </c>
      <c r="C122" s="696">
        <f t="shared" si="91"/>
        <v>112</v>
      </c>
      <c r="D122" s="696">
        <f t="shared" si="91"/>
        <v>66.5</v>
      </c>
      <c r="E122" s="697">
        <f t="shared" si="91"/>
        <v>98</v>
      </c>
    </row>
    <row r="123">
      <c r="A123" s="702" t="s">
        <v>2800</v>
      </c>
      <c r="B123" s="696">
        <v>840.0</v>
      </c>
      <c r="C123" s="696">
        <v>128.0</v>
      </c>
      <c r="D123" s="696">
        <v>76.0</v>
      </c>
      <c r="E123" s="697">
        <v>112.0</v>
      </c>
    </row>
    <row r="124">
      <c r="A124" s="702" t="s">
        <v>2801</v>
      </c>
      <c r="B124" s="696">
        <v>945.0</v>
      </c>
      <c r="C124" s="696">
        <v>144.0</v>
      </c>
      <c r="D124" s="696">
        <v>86.0</v>
      </c>
      <c r="E124" s="697">
        <v>126.0</v>
      </c>
    </row>
    <row r="125">
      <c r="A125" s="705" t="s">
        <v>2802</v>
      </c>
      <c r="B125" s="706">
        <v>1260.0</v>
      </c>
      <c r="C125" s="706">
        <v>192.0</v>
      </c>
      <c r="D125" s="706">
        <v>114.0</v>
      </c>
      <c r="E125" s="707">
        <v>168.0</v>
      </c>
    </row>
    <row r="130">
      <c r="A130" s="680" t="s">
        <v>107</v>
      </c>
      <c r="B130" s="681"/>
      <c r="C130" s="681"/>
      <c r="D130" s="681"/>
      <c r="E130" s="682"/>
    </row>
    <row r="131">
      <c r="A131" s="683" t="s">
        <v>2813</v>
      </c>
      <c r="B131" s="684"/>
      <c r="C131" s="684"/>
      <c r="D131" s="684"/>
      <c r="E131" s="685"/>
    </row>
    <row r="132">
      <c r="A132" s="691" t="s">
        <v>2792</v>
      </c>
      <c r="B132" s="692">
        <f t="shared" ref="B132:E132" si="92">(B141-B139)/4</f>
        <v>155</v>
      </c>
      <c r="C132" s="692">
        <f t="shared" si="92"/>
        <v>10</v>
      </c>
      <c r="D132" s="692">
        <f t="shared" si="92"/>
        <v>9.5</v>
      </c>
      <c r="E132" s="693">
        <f t="shared" si="92"/>
        <v>15</v>
      </c>
    </row>
    <row r="133">
      <c r="A133" s="702" t="s">
        <v>2794</v>
      </c>
      <c r="B133" s="696">
        <f t="shared" ref="B133:E133" si="93">B134-B$132</f>
        <v>310</v>
      </c>
      <c r="C133" s="696">
        <f t="shared" si="93"/>
        <v>20</v>
      </c>
      <c r="D133" s="696">
        <f t="shared" si="93"/>
        <v>19</v>
      </c>
      <c r="E133" s="697">
        <f t="shared" si="93"/>
        <v>30</v>
      </c>
    </row>
    <row r="134">
      <c r="A134" s="702" t="s">
        <v>2795</v>
      </c>
      <c r="B134" s="696">
        <f t="shared" ref="B134:E134" si="94">B135-B$132</f>
        <v>465</v>
      </c>
      <c r="C134" s="696">
        <f t="shared" si="94"/>
        <v>30</v>
      </c>
      <c r="D134" s="696">
        <f t="shared" si="94"/>
        <v>28.5</v>
      </c>
      <c r="E134" s="697">
        <f t="shared" si="94"/>
        <v>45</v>
      </c>
    </row>
    <row r="135">
      <c r="A135" s="702" t="s">
        <v>2796</v>
      </c>
      <c r="B135" s="696">
        <f t="shared" ref="B135:E135" si="95">B136-B$132</f>
        <v>620</v>
      </c>
      <c r="C135" s="696">
        <f t="shared" si="95"/>
        <v>40</v>
      </c>
      <c r="D135" s="696">
        <f t="shared" si="95"/>
        <v>38</v>
      </c>
      <c r="E135" s="697">
        <f t="shared" si="95"/>
        <v>60</v>
      </c>
    </row>
    <row r="136">
      <c r="A136" s="702" t="s">
        <v>2797</v>
      </c>
      <c r="B136" s="696">
        <f t="shared" ref="B136:E136" si="96">B137-B$132</f>
        <v>775</v>
      </c>
      <c r="C136" s="696">
        <f t="shared" si="96"/>
        <v>50</v>
      </c>
      <c r="D136" s="696">
        <f t="shared" si="96"/>
        <v>47.5</v>
      </c>
      <c r="E136" s="697">
        <f t="shared" si="96"/>
        <v>75</v>
      </c>
    </row>
    <row r="137">
      <c r="A137" s="702" t="s">
        <v>2798</v>
      </c>
      <c r="B137" s="696">
        <f t="shared" ref="B137:E137" si="97">B138-B$132</f>
        <v>930</v>
      </c>
      <c r="C137" s="696">
        <f t="shared" si="97"/>
        <v>60</v>
      </c>
      <c r="D137" s="696">
        <f t="shared" si="97"/>
        <v>57</v>
      </c>
      <c r="E137" s="697">
        <f t="shared" si="97"/>
        <v>90</v>
      </c>
    </row>
    <row r="138">
      <c r="A138" s="702" t="s">
        <v>2799</v>
      </c>
      <c r="B138" s="696">
        <f t="shared" ref="B138:E138" si="98">B139-B$132</f>
        <v>1085</v>
      </c>
      <c r="C138" s="696">
        <f t="shared" si="98"/>
        <v>70</v>
      </c>
      <c r="D138" s="696">
        <f t="shared" si="98"/>
        <v>66.5</v>
      </c>
      <c r="E138" s="697">
        <f t="shared" si="98"/>
        <v>105</v>
      </c>
    </row>
    <row r="139">
      <c r="A139" s="702" t="s">
        <v>2800</v>
      </c>
      <c r="B139" s="696">
        <v>1240.0</v>
      </c>
      <c r="C139" s="696">
        <v>80.0</v>
      </c>
      <c r="D139" s="696">
        <v>76.0</v>
      </c>
      <c r="E139" s="697">
        <v>120.0</v>
      </c>
    </row>
    <row r="140">
      <c r="A140" s="702" t="s">
        <v>2801</v>
      </c>
      <c r="B140" s="696">
        <v>1395.0</v>
      </c>
      <c r="C140" s="696">
        <v>90.0</v>
      </c>
      <c r="D140" s="696">
        <v>86.0</v>
      </c>
      <c r="E140" s="697">
        <v>135.0</v>
      </c>
    </row>
    <row r="141">
      <c r="A141" s="705" t="s">
        <v>2802</v>
      </c>
      <c r="B141" s="706">
        <v>1860.0</v>
      </c>
      <c r="C141" s="706">
        <v>120.0</v>
      </c>
      <c r="D141" s="706">
        <v>114.0</v>
      </c>
      <c r="E141" s="707">
        <v>180.0</v>
      </c>
    </row>
    <row r="142">
      <c r="A142" s="159"/>
      <c r="E142" s="160"/>
    </row>
    <row r="143">
      <c r="A143" s="683" t="s">
        <v>2814</v>
      </c>
      <c r="B143" s="684"/>
      <c r="C143" s="684"/>
      <c r="D143" s="684"/>
      <c r="E143" s="685"/>
    </row>
    <row r="144">
      <c r="A144" s="691" t="s">
        <v>2792</v>
      </c>
      <c r="B144" s="692">
        <f t="shared" ref="B144:E144" si="99">(B153-B151)/4</f>
        <v>155</v>
      </c>
      <c r="C144" s="692">
        <f t="shared" si="99"/>
        <v>10</v>
      </c>
      <c r="D144" s="692">
        <f t="shared" si="99"/>
        <v>8.5</v>
      </c>
      <c r="E144" s="693">
        <f t="shared" si="99"/>
        <v>16</v>
      </c>
    </row>
    <row r="145">
      <c r="A145" s="702" t="s">
        <v>2794</v>
      </c>
      <c r="B145" s="696">
        <f t="shared" ref="B145:E145" si="100">B146-B$144</f>
        <v>310</v>
      </c>
      <c r="C145" s="696">
        <f t="shared" si="100"/>
        <v>20</v>
      </c>
      <c r="D145" s="696">
        <f t="shared" si="100"/>
        <v>17</v>
      </c>
      <c r="E145" s="697">
        <f t="shared" si="100"/>
        <v>32</v>
      </c>
    </row>
    <row r="146">
      <c r="A146" s="702" t="s">
        <v>2795</v>
      </c>
      <c r="B146" s="696">
        <f t="shared" ref="B146:E146" si="101">B147-B$144</f>
        <v>465</v>
      </c>
      <c r="C146" s="696">
        <f t="shared" si="101"/>
        <v>30</v>
      </c>
      <c r="D146" s="696">
        <f t="shared" si="101"/>
        <v>25.5</v>
      </c>
      <c r="E146" s="697">
        <f t="shared" si="101"/>
        <v>48</v>
      </c>
    </row>
    <row r="147">
      <c r="A147" s="702" t="s">
        <v>2796</v>
      </c>
      <c r="B147" s="696">
        <f t="shared" ref="B147:E147" si="102">B148-B$144</f>
        <v>620</v>
      </c>
      <c r="C147" s="696">
        <f t="shared" si="102"/>
        <v>40</v>
      </c>
      <c r="D147" s="696">
        <f t="shared" si="102"/>
        <v>34</v>
      </c>
      <c r="E147" s="697">
        <f t="shared" si="102"/>
        <v>64</v>
      </c>
    </row>
    <row r="148">
      <c r="A148" s="702" t="s">
        <v>2797</v>
      </c>
      <c r="B148" s="696">
        <f t="shared" ref="B148:E148" si="103">B149-B$144</f>
        <v>775</v>
      </c>
      <c r="C148" s="696">
        <f t="shared" si="103"/>
        <v>50</v>
      </c>
      <c r="D148" s="696">
        <f t="shared" si="103"/>
        <v>42.5</v>
      </c>
      <c r="E148" s="697">
        <f t="shared" si="103"/>
        <v>80</v>
      </c>
    </row>
    <row r="149">
      <c r="A149" s="702" t="s">
        <v>2798</v>
      </c>
      <c r="B149" s="696">
        <f t="shared" ref="B149:E149" si="104">B150-B$144</f>
        <v>930</v>
      </c>
      <c r="C149" s="696">
        <f t="shared" si="104"/>
        <v>60</v>
      </c>
      <c r="D149" s="696">
        <f t="shared" si="104"/>
        <v>51</v>
      </c>
      <c r="E149" s="697">
        <f t="shared" si="104"/>
        <v>96</v>
      </c>
    </row>
    <row r="150">
      <c r="A150" s="702" t="s">
        <v>2799</v>
      </c>
      <c r="B150" s="696">
        <f t="shared" ref="B150:E150" si="105">B151-B$144</f>
        <v>1085</v>
      </c>
      <c r="C150" s="696">
        <f t="shared" si="105"/>
        <v>70</v>
      </c>
      <c r="D150" s="696">
        <f t="shared" si="105"/>
        <v>59.5</v>
      </c>
      <c r="E150" s="697">
        <f t="shared" si="105"/>
        <v>112</v>
      </c>
    </row>
    <row r="151">
      <c r="A151" s="702" t="s">
        <v>2800</v>
      </c>
      <c r="B151" s="696">
        <v>1240.0</v>
      </c>
      <c r="C151" s="696">
        <v>80.0</v>
      </c>
      <c r="D151" s="696">
        <v>68.0</v>
      </c>
      <c r="E151" s="697">
        <v>128.0</v>
      </c>
    </row>
    <row r="152">
      <c r="A152" s="702" t="s">
        <v>2801</v>
      </c>
      <c r="B152" s="696">
        <v>1395.0</v>
      </c>
      <c r="C152" s="696">
        <v>90.0</v>
      </c>
      <c r="D152" s="696">
        <v>77.0</v>
      </c>
      <c r="E152" s="697">
        <v>144.0</v>
      </c>
    </row>
    <row r="153">
      <c r="A153" s="705" t="s">
        <v>2802</v>
      </c>
      <c r="B153" s="706">
        <v>1860.0</v>
      </c>
      <c r="C153" s="706">
        <v>120.0</v>
      </c>
      <c r="D153" s="706">
        <v>102.0</v>
      </c>
      <c r="E153" s="707">
        <v>192.0</v>
      </c>
    </row>
    <row r="154">
      <c r="A154" s="159"/>
      <c r="E154" s="160"/>
    </row>
    <row r="155">
      <c r="A155" s="683" t="s">
        <v>2815</v>
      </c>
      <c r="B155" s="684"/>
      <c r="C155" s="684"/>
      <c r="D155" s="684"/>
      <c r="E155" s="685"/>
    </row>
    <row r="156">
      <c r="A156" s="691" t="s">
        <v>2792</v>
      </c>
      <c r="B156" s="692">
        <f t="shared" ref="B156:E156" si="106">(B165-B163)/4</f>
        <v>155</v>
      </c>
      <c r="C156" s="692">
        <f t="shared" si="106"/>
        <v>10</v>
      </c>
      <c r="D156" s="692">
        <f t="shared" si="106"/>
        <v>9</v>
      </c>
      <c r="E156" s="693">
        <f t="shared" si="106"/>
        <v>15.5</v>
      </c>
    </row>
    <row r="157">
      <c r="A157" s="702" t="s">
        <v>2794</v>
      </c>
      <c r="B157" s="696">
        <f t="shared" ref="B157:E157" si="107">B158-B$156</f>
        <v>310</v>
      </c>
      <c r="C157" s="696">
        <f t="shared" si="107"/>
        <v>20</v>
      </c>
      <c r="D157" s="696">
        <f t="shared" si="107"/>
        <v>18</v>
      </c>
      <c r="E157" s="697">
        <f t="shared" si="107"/>
        <v>31</v>
      </c>
    </row>
    <row r="158">
      <c r="A158" s="702" t="s">
        <v>2795</v>
      </c>
      <c r="B158" s="696">
        <f t="shared" ref="B158:E158" si="108">B159-B$156</f>
        <v>465</v>
      </c>
      <c r="C158" s="696">
        <f t="shared" si="108"/>
        <v>30</v>
      </c>
      <c r="D158" s="696">
        <f t="shared" si="108"/>
        <v>27</v>
      </c>
      <c r="E158" s="697">
        <f t="shared" si="108"/>
        <v>46.5</v>
      </c>
    </row>
    <row r="159">
      <c r="A159" s="702" t="s">
        <v>2796</v>
      </c>
      <c r="B159" s="696">
        <f t="shared" ref="B159:E159" si="109">B160-B$156</f>
        <v>620</v>
      </c>
      <c r="C159" s="696">
        <f t="shared" si="109"/>
        <v>40</v>
      </c>
      <c r="D159" s="696">
        <f t="shared" si="109"/>
        <v>36</v>
      </c>
      <c r="E159" s="697">
        <f t="shared" si="109"/>
        <v>62</v>
      </c>
    </row>
    <row r="160">
      <c r="A160" s="702" t="s">
        <v>2797</v>
      </c>
      <c r="B160" s="696">
        <f t="shared" ref="B160:E160" si="110">B161-B$156</f>
        <v>775</v>
      </c>
      <c r="C160" s="696">
        <f t="shared" si="110"/>
        <v>50</v>
      </c>
      <c r="D160" s="696">
        <f t="shared" si="110"/>
        <v>45</v>
      </c>
      <c r="E160" s="697">
        <f t="shared" si="110"/>
        <v>77.5</v>
      </c>
    </row>
    <row r="161">
      <c r="A161" s="702" t="s">
        <v>2798</v>
      </c>
      <c r="B161" s="696">
        <f t="shared" ref="B161:E161" si="111">B162-B$156</f>
        <v>930</v>
      </c>
      <c r="C161" s="696">
        <f t="shared" si="111"/>
        <v>60</v>
      </c>
      <c r="D161" s="696">
        <f t="shared" si="111"/>
        <v>54</v>
      </c>
      <c r="E161" s="697">
        <f t="shared" si="111"/>
        <v>93</v>
      </c>
    </row>
    <row r="162">
      <c r="A162" s="702" t="s">
        <v>2799</v>
      </c>
      <c r="B162" s="696">
        <f t="shared" ref="B162:E162" si="112">B163-B$156</f>
        <v>1085</v>
      </c>
      <c r="C162" s="696">
        <f t="shared" si="112"/>
        <v>70</v>
      </c>
      <c r="D162" s="696">
        <f t="shared" si="112"/>
        <v>63</v>
      </c>
      <c r="E162" s="697">
        <f t="shared" si="112"/>
        <v>108.5</v>
      </c>
    </row>
    <row r="163">
      <c r="A163" s="702" t="s">
        <v>2800</v>
      </c>
      <c r="B163" s="696">
        <v>1240.0</v>
      </c>
      <c r="C163" s="696">
        <v>80.0</v>
      </c>
      <c r="D163" s="696">
        <v>72.0</v>
      </c>
      <c r="E163" s="697">
        <v>124.0</v>
      </c>
    </row>
    <row r="164">
      <c r="A164" s="702" t="s">
        <v>2801</v>
      </c>
      <c r="B164" s="696">
        <v>1395.0</v>
      </c>
      <c r="C164" s="696">
        <v>90.0</v>
      </c>
      <c r="D164" s="696">
        <v>81.0</v>
      </c>
      <c r="E164" s="697">
        <v>140.0</v>
      </c>
    </row>
    <row r="165">
      <c r="A165" s="705" t="s">
        <v>2802</v>
      </c>
      <c r="B165" s="706">
        <v>1860.0</v>
      </c>
      <c r="C165" s="706">
        <v>120.0</v>
      </c>
      <c r="D165" s="706">
        <v>108.0</v>
      </c>
      <c r="E165" s="707">
        <v>186.0</v>
      </c>
    </row>
    <row r="166">
      <c r="A166" s="159"/>
      <c r="E166" s="160"/>
    </row>
    <row r="167">
      <c r="A167" s="683" t="s">
        <v>2816</v>
      </c>
      <c r="B167" s="684"/>
      <c r="C167" s="684"/>
      <c r="D167" s="684"/>
      <c r="E167" s="685"/>
    </row>
    <row r="168">
      <c r="A168" s="691" t="s">
        <v>2792</v>
      </c>
      <c r="B168" s="692">
        <f t="shared" ref="B168:E168" si="113">(B177-B175)/4</f>
        <v>160</v>
      </c>
      <c r="C168" s="692">
        <f t="shared" si="113"/>
        <v>9.5</v>
      </c>
      <c r="D168" s="692">
        <f t="shared" si="113"/>
        <v>9</v>
      </c>
      <c r="E168" s="693">
        <f t="shared" si="113"/>
        <v>15.5</v>
      </c>
    </row>
    <row r="169">
      <c r="A169" s="702" t="s">
        <v>2794</v>
      </c>
      <c r="B169" s="696">
        <f t="shared" ref="B169:E169" si="114">B170-B$168</f>
        <v>320</v>
      </c>
      <c r="C169" s="696">
        <f t="shared" si="114"/>
        <v>19</v>
      </c>
      <c r="D169" s="696">
        <f t="shared" si="114"/>
        <v>18</v>
      </c>
      <c r="E169" s="697">
        <f t="shared" si="114"/>
        <v>31</v>
      </c>
    </row>
    <row r="170">
      <c r="A170" s="702" t="s">
        <v>2795</v>
      </c>
      <c r="B170" s="696">
        <f t="shared" ref="B170:E170" si="115">B171-B$168</f>
        <v>480</v>
      </c>
      <c r="C170" s="696">
        <f t="shared" si="115"/>
        <v>28.5</v>
      </c>
      <c r="D170" s="696">
        <f t="shared" si="115"/>
        <v>27</v>
      </c>
      <c r="E170" s="697">
        <f t="shared" si="115"/>
        <v>46.5</v>
      </c>
    </row>
    <row r="171">
      <c r="A171" s="702" t="s">
        <v>2796</v>
      </c>
      <c r="B171" s="696">
        <f t="shared" ref="B171:E171" si="116">B172-B$168</f>
        <v>640</v>
      </c>
      <c r="C171" s="696">
        <f t="shared" si="116"/>
        <v>38</v>
      </c>
      <c r="D171" s="696">
        <f t="shared" si="116"/>
        <v>36</v>
      </c>
      <c r="E171" s="697">
        <f t="shared" si="116"/>
        <v>62</v>
      </c>
    </row>
    <row r="172">
      <c r="A172" s="702" t="s">
        <v>2797</v>
      </c>
      <c r="B172" s="696">
        <f t="shared" ref="B172:E172" si="117">B173-B$168</f>
        <v>800</v>
      </c>
      <c r="C172" s="696">
        <f t="shared" si="117"/>
        <v>47.5</v>
      </c>
      <c r="D172" s="696">
        <f t="shared" si="117"/>
        <v>45</v>
      </c>
      <c r="E172" s="697">
        <f t="shared" si="117"/>
        <v>77.5</v>
      </c>
    </row>
    <row r="173">
      <c r="A173" s="702" t="s">
        <v>2798</v>
      </c>
      <c r="B173" s="696">
        <f t="shared" ref="B173:E173" si="118">B174-B$168</f>
        <v>960</v>
      </c>
      <c r="C173" s="696">
        <f t="shared" si="118"/>
        <v>57</v>
      </c>
      <c r="D173" s="696">
        <f t="shared" si="118"/>
        <v>54</v>
      </c>
      <c r="E173" s="697">
        <f t="shared" si="118"/>
        <v>93</v>
      </c>
    </row>
    <row r="174">
      <c r="A174" s="702" t="s">
        <v>2799</v>
      </c>
      <c r="B174" s="696">
        <f t="shared" ref="B174:E174" si="119">B175-B$168</f>
        <v>1120</v>
      </c>
      <c r="C174" s="696">
        <f t="shared" si="119"/>
        <v>66.5</v>
      </c>
      <c r="D174" s="696">
        <f t="shared" si="119"/>
        <v>63</v>
      </c>
      <c r="E174" s="697">
        <f t="shared" si="119"/>
        <v>108.5</v>
      </c>
    </row>
    <row r="175">
      <c r="A175" s="702" t="s">
        <v>2800</v>
      </c>
      <c r="B175" s="696">
        <v>1280.0</v>
      </c>
      <c r="C175" s="696">
        <v>76.0</v>
      </c>
      <c r="D175" s="696">
        <v>72.0</v>
      </c>
      <c r="E175" s="697">
        <v>124.0</v>
      </c>
    </row>
    <row r="176">
      <c r="A176" s="702" t="s">
        <v>2801</v>
      </c>
      <c r="B176" s="696">
        <v>1440.0</v>
      </c>
      <c r="C176" s="696">
        <v>86.0</v>
      </c>
      <c r="D176" s="696">
        <v>81.0</v>
      </c>
      <c r="E176" s="697">
        <v>140.0</v>
      </c>
    </row>
    <row r="177">
      <c r="A177" s="705" t="s">
        <v>2802</v>
      </c>
      <c r="B177" s="706">
        <v>1920.0</v>
      </c>
      <c r="C177" s="706">
        <v>114.0</v>
      </c>
      <c r="D177" s="706">
        <v>108.0</v>
      </c>
      <c r="E177" s="707">
        <v>186.0</v>
      </c>
    </row>
    <row r="178">
      <c r="A178" s="159"/>
      <c r="E178" s="160"/>
    </row>
    <row r="179">
      <c r="A179" s="683" t="s">
        <v>2817</v>
      </c>
      <c r="B179" s="684"/>
      <c r="C179" s="684"/>
      <c r="D179" s="684"/>
      <c r="E179" s="685"/>
    </row>
    <row r="180">
      <c r="A180" s="691" t="s">
        <v>2792</v>
      </c>
      <c r="B180" s="692">
        <f t="shared" ref="B180:E180" si="120">(B189-B187)/4</f>
        <v>145</v>
      </c>
      <c r="C180" s="692">
        <f t="shared" si="120"/>
        <v>9</v>
      </c>
      <c r="D180" s="692">
        <f t="shared" si="120"/>
        <v>10</v>
      </c>
      <c r="E180" s="693">
        <f t="shared" si="120"/>
        <v>16.5</v>
      </c>
    </row>
    <row r="181">
      <c r="A181" s="702" t="s">
        <v>2794</v>
      </c>
      <c r="B181" s="696">
        <v>290.0</v>
      </c>
      <c r="C181" s="696">
        <v>18.0</v>
      </c>
      <c r="D181" s="696">
        <v>20.0</v>
      </c>
      <c r="E181" s="697">
        <v>33.0</v>
      </c>
    </row>
    <row r="182">
      <c r="A182" s="702" t="s">
        <v>2795</v>
      </c>
      <c r="B182" s="696">
        <v>435.0</v>
      </c>
      <c r="C182" s="696">
        <v>27.0</v>
      </c>
      <c r="D182" s="696">
        <v>30.0</v>
      </c>
      <c r="E182" s="697">
        <v>50.0</v>
      </c>
    </row>
    <row r="183">
      <c r="A183" s="702" t="s">
        <v>2796</v>
      </c>
      <c r="B183" s="696">
        <v>580.0</v>
      </c>
      <c r="C183" s="696">
        <v>36.0</v>
      </c>
      <c r="D183" s="696">
        <v>40.0</v>
      </c>
      <c r="E183" s="697">
        <v>66.0</v>
      </c>
    </row>
    <row r="184">
      <c r="A184" s="702" t="s">
        <v>2797</v>
      </c>
      <c r="B184" s="696">
        <v>725.0</v>
      </c>
      <c r="C184" s="696">
        <v>45.0</v>
      </c>
      <c r="D184" s="696">
        <v>50.0</v>
      </c>
      <c r="E184" s="697">
        <v>83.0</v>
      </c>
    </row>
    <row r="185">
      <c r="A185" s="702" t="s">
        <v>2798</v>
      </c>
      <c r="B185" s="696">
        <v>870.0</v>
      </c>
      <c r="C185" s="696">
        <v>54.0</v>
      </c>
      <c r="D185" s="696">
        <v>60.0</v>
      </c>
      <c r="E185" s="697">
        <v>99.0</v>
      </c>
    </row>
    <row r="186">
      <c r="A186" s="702" t="s">
        <v>2799</v>
      </c>
      <c r="B186" s="696">
        <v>1015.0</v>
      </c>
      <c r="C186" s="696">
        <v>63.0</v>
      </c>
      <c r="D186" s="696">
        <v>70.0</v>
      </c>
      <c r="E186" s="697">
        <v>116.0</v>
      </c>
    </row>
    <row r="187">
      <c r="A187" s="702" t="s">
        <v>2800</v>
      </c>
      <c r="B187" s="696">
        <v>1160.0</v>
      </c>
      <c r="C187" s="696">
        <v>72.0</v>
      </c>
      <c r="D187" s="696">
        <v>80.0</v>
      </c>
      <c r="E187" s="697">
        <v>132.0</v>
      </c>
    </row>
    <row r="188">
      <c r="A188" s="702" t="s">
        <v>2801</v>
      </c>
      <c r="B188" s="696">
        <v>1305.0</v>
      </c>
      <c r="C188" s="696">
        <v>81.0</v>
      </c>
      <c r="D188" s="696">
        <v>90.0</v>
      </c>
      <c r="E188" s="697">
        <v>149.0</v>
      </c>
    </row>
    <row r="189">
      <c r="A189" s="705" t="s">
        <v>2802</v>
      </c>
      <c r="B189" s="706">
        <v>1740.0</v>
      </c>
      <c r="C189" s="706">
        <v>108.0</v>
      </c>
      <c r="D189" s="706">
        <v>120.0</v>
      </c>
      <c r="E189" s="707">
        <v>198.0</v>
      </c>
    </row>
    <row r="194">
      <c r="A194" s="680" t="s">
        <v>110</v>
      </c>
      <c r="B194" s="681"/>
      <c r="C194" s="681"/>
      <c r="D194" s="681"/>
      <c r="E194" s="682"/>
    </row>
    <row r="195">
      <c r="A195" s="774" t="s">
        <v>2818</v>
      </c>
      <c r="B195" s="684"/>
      <c r="C195" s="684"/>
      <c r="D195" s="684"/>
      <c r="E195" s="685"/>
    </row>
    <row r="196">
      <c r="A196" s="691" t="s">
        <v>2792</v>
      </c>
      <c r="B196" s="692">
        <f t="shared" ref="B196:E196" si="121">(B205-B203)/4</f>
        <v>110</v>
      </c>
      <c r="C196" s="692">
        <f t="shared" si="121"/>
        <v>15</v>
      </c>
      <c r="D196" s="692">
        <f t="shared" si="121"/>
        <v>9</v>
      </c>
      <c r="E196" s="693">
        <f t="shared" si="121"/>
        <v>15</v>
      </c>
    </row>
    <row r="197">
      <c r="A197" s="702" t="s">
        <v>2794</v>
      </c>
      <c r="B197" s="696">
        <f t="shared" ref="B197:E197" si="122">B198-B$196</f>
        <v>220</v>
      </c>
      <c r="C197" s="696">
        <f t="shared" si="122"/>
        <v>30</v>
      </c>
      <c r="D197" s="696">
        <f t="shared" si="122"/>
        <v>18</v>
      </c>
      <c r="E197" s="697">
        <f t="shared" si="122"/>
        <v>30</v>
      </c>
    </row>
    <row r="198">
      <c r="A198" s="702" t="s">
        <v>2795</v>
      </c>
      <c r="B198" s="696">
        <f t="shared" ref="B198:E198" si="123">B199-B$196</f>
        <v>330</v>
      </c>
      <c r="C198" s="696">
        <f t="shared" si="123"/>
        <v>45</v>
      </c>
      <c r="D198" s="696">
        <f t="shared" si="123"/>
        <v>27</v>
      </c>
      <c r="E198" s="697">
        <f t="shared" si="123"/>
        <v>45</v>
      </c>
    </row>
    <row r="199">
      <c r="A199" s="702" t="s">
        <v>2796</v>
      </c>
      <c r="B199" s="696">
        <f t="shared" ref="B199:E199" si="124">B200-B$196</f>
        <v>440</v>
      </c>
      <c r="C199" s="696">
        <f t="shared" si="124"/>
        <v>60</v>
      </c>
      <c r="D199" s="696">
        <f t="shared" si="124"/>
        <v>36</v>
      </c>
      <c r="E199" s="697">
        <f t="shared" si="124"/>
        <v>60</v>
      </c>
    </row>
    <row r="200">
      <c r="A200" s="702" t="s">
        <v>2797</v>
      </c>
      <c r="B200" s="696">
        <f t="shared" ref="B200:E200" si="125">B201-B$196</f>
        <v>550</v>
      </c>
      <c r="C200" s="696">
        <f t="shared" si="125"/>
        <v>75</v>
      </c>
      <c r="D200" s="696">
        <f t="shared" si="125"/>
        <v>45</v>
      </c>
      <c r="E200" s="697">
        <f t="shared" si="125"/>
        <v>75</v>
      </c>
    </row>
    <row r="201">
      <c r="A201" s="702" t="s">
        <v>2798</v>
      </c>
      <c r="B201" s="696">
        <f t="shared" ref="B201:E201" si="126">B202-B$196</f>
        <v>660</v>
      </c>
      <c r="C201" s="696">
        <f t="shared" si="126"/>
        <v>90</v>
      </c>
      <c r="D201" s="696">
        <f t="shared" si="126"/>
        <v>54</v>
      </c>
      <c r="E201" s="697">
        <f t="shared" si="126"/>
        <v>90</v>
      </c>
    </row>
    <row r="202">
      <c r="A202" s="702" t="s">
        <v>2799</v>
      </c>
      <c r="B202" s="696">
        <f t="shared" ref="B202:E202" si="127">B203-B$196</f>
        <v>770</v>
      </c>
      <c r="C202" s="696">
        <f t="shared" si="127"/>
        <v>105</v>
      </c>
      <c r="D202" s="696">
        <f t="shared" si="127"/>
        <v>63</v>
      </c>
      <c r="E202" s="697">
        <f t="shared" si="127"/>
        <v>105</v>
      </c>
    </row>
    <row r="203">
      <c r="A203" s="702" t="s">
        <v>2800</v>
      </c>
      <c r="B203" s="696">
        <v>880.0</v>
      </c>
      <c r="C203" s="696">
        <v>120.0</v>
      </c>
      <c r="D203" s="696">
        <v>72.0</v>
      </c>
      <c r="E203" s="697">
        <v>120.0</v>
      </c>
    </row>
    <row r="204">
      <c r="A204" s="702" t="s">
        <v>2801</v>
      </c>
      <c r="B204" s="696">
        <v>990.0</v>
      </c>
      <c r="C204" s="696">
        <v>135.0</v>
      </c>
      <c r="D204" s="696">
        <v>81.0</v>
      </c>
      <c r="E204" s="697">
        <v>135.0</v>
      </c>
    </row>
    <row r="205">
      <c r="A205" s="705" t="s">
        <v>2802</v>
      </c>
      <c r="B205" s="706">
        <v>1320.0</v>
      </c>
      <c r="C205" s="706">
        <v>180.0</v>
      </c>
      <c r="D205" s="706">
        <v>108.0</v>
      </c>
      <c r="E205" s="707">
        <v>180.0</v>
      </c>
    </row>
    <row r="206">
      <c r="A206" s="159"/>
      <c r="E206" s="160"/>
    </row>
    <row r="207">
      <c r="A207" s="774" t="s">
        <v>2819</v>
      </c>
      <c r="B207" s="684"/>
      <c r="C207" s="684"/>
      <c r="D207" s="684"/>
      <c r="E207" s="685"/>
    </row>
    <row r="208">
      <c r="A208" s="691" t="s">
        <v>2792</v>
      </c>
      <c r="B208" s="692">
        <f t="shared" ref="B208:E208" si="128">(B217-B215)/4</f>
        <v>120</v>
      </c>
      <c r="C208" s="692">
        <f t="shared" si="128"/>
        <v>14.5</v>
      </c>
      <c r="D208" s="692">
        <f t="shared" si="128"/>
        <v>9</v>
      </c>
      <c r="E208" s="693">
        <f t="shared" si="128"/>
        <v>14.5</v>
      </c>
    </row>
    <row r="209">
      <c r="A209" s="702" t="s">
        <v>2794</v>
      </c>
      <c r="B209" s="696">
        <f t="shared" ref="B209:E209" si="129">B210-B$208</f>
        <v>240</v>
      </c>
      <c r="C209" s="696">
        <f t="shared" si="129"/>
        <v>29</v>
      </c>
      <c r="D209" s="696">
        <f t="shared" si="129"/>
        <v>18</v>
      </c>
      <c r="E209" s="697">
        <f t="shared" si="129"/>
        <v>29</v>
      </c>
    </row>
    <row r="210">
      <c r="A210" s="702" t="s">
        <v>2795</v>
      </c>
      <c r="B210" s="696">
        <f t="shared" ref="B210:E210" si="130">B211-B$208</f>
        <v>360</v>
      </c>
      <c r="C210" s="696">
        <f t="shared" si="130"/>
        <v>43.5</v>
      </c>
      <c r="D210" s="696">
        <f t="shared" si="130"/>
        <v>27</v>
      </c>
      <c r="E210" s="697">
        <f t="shared" si="130"/>
        <v>43.5</v>
      </c>
    </row>
    <row r="211">
      <c r="A211" s="702" t="s">
        <v>2796</v>
      </c>
      <c r="B211" s="696">
        <f t="shared" ref="B211:E211" si="131">B212-B$208</f>
        <v>480</v>
      </c>
      <c r="C211" s="696">
        <f t="shared" si="131"/>
        <v>58</v>
      </c>
      <c r="D211" s="696">
        <f t="shared" si="131"/>
        <v>36</v>
      </c>
      <c r="E211" s="697">
        <f t="shared" si="131"/>
        <v>58</v>
      </c>
    </row>
    <row r="212">
      <c r="A212" s="702" t="s">
        <v>2797</v>
      </c>
      <c r="B212" s="696">
        <f t="shared" ref="B212:E212" si="132">B213-B$208</f>
        <v>600</v>
      </c>
      <c r="C212" s="696">
        <f t="shared" si="132"/>
        <v>72.5</v>
      </c>
      <c r="D212" s="696">
        <f t="shared" si="132"/>
        <v>45</v>
      </c>
      <c r="E212" s="697">
        <f t="shared" si="132"/>
        <v>72.5</v>
      </c>
    </row>
    <row r="213">
      <c r="A213" s="702" t="s">
        <v>2798</v>
      </c>
      <c r="B213" s="696">
        <f t="shared" ref="B213:E213" si="133">B214-B$208</f>
        <v>720</v>
      </c>
      <c r="C213" s="696">
        <f t="shared" si="133"/>
        <v>87</v>
      </c>
      <c r="D213" s="696">
        <f t="shared" si="133"/>
        <v>54</v>
      </c>
      <c r="E213" s="697">
        <f t="shared" si="133"/>
        <v>87</v>
      </c>
    </row>
    <row r="214">
      <c r="A214" s="702" t="s">
        <v>2799</v>
      </c>
      <c r="B214" s="696">
        <f t="shared" ref="B214:E214" si="134">B215-B$208</f>
        <v>840</v>
      </c>
      <c r="C214" s="696">
        <f t="shared" si="134"/>
        <v>101.5</v>
      </c>
      <c r="D214" s="696">
        <f t="shared" si="134"/>
        <v>63</v>
      </c>
      <c r="E214" s="697">
        <f t="shared" si="134"/>
        <v>101.5</v>
      </c>
    </row>
    <row r="215">
      <c r="A215" s="702" t="s">
        <v>2800</v>
      </c>
      <c r="B215" s="696">
        <v>960.0</v>
      </c>
      <c r="C215" s="696">
        <v>116.0</v>
      </c>
      <c r="D215" s="696">
        <v>72.0</v>
      </c>
      <c r="E215" s="697">
        <v>116.0</v>
      </c>
    </row>
    <row r="216">
      <c r="A216" s="702" t="s">
        <v>2801</v>
      </c>
      <c r="B216" s="696">
        <v>1080.0</v>
      </c>
      <c r="C216" s="696">
        <v>131.0</v>
      </c>
      <c r="D216" s="696">
        <v>81.0</v>
      </c>
      <c r="E216" s="697">
        <v>131.0</v>
      </c>
    </row>
    <row r="217">
      <c r="A217" s="705" t="s">
        <v>2802</v>
      </c>
      <c r="B217" s="706">
        <v>1440.0</v>
      </c>
      <c r="C217" s="706">
        <v>174.0</v>
      </c>
      <c r="D217" s="706">
        <v>108.0</v>
      </c>
      <c r="E217" s="707">
        <v>174.0</v>
      </c>
    </row>
    <row r="218">
      <c r="A218" s="159"/>
      <c r="E218" s="160"/>
    </row>
    <row r="219">
      <c r="A219" s="774" t="s">
        <v>2820</v>
      </c>
      <c r="B219" s="684"/>
      <c r="C219" s="684"/>
      <c r="D219" s="684"/>
      <c r="E219" s="685"/>
    </row>
    <row r="220">
      <c r="A220" s="691" t="s">
        <v>2792</v>
      </c>
      <c r="B220" s="692">
        <f t="shared" ref="B220:E220" si="135">(B229-B227)/4</f>
        <v>110</v>
      </c>
      <c r="C220" s="692">
        <f t="shared" si="135"/>
        <v>14.5</v>
      </c>
      <c r="D220" s="692">
        <f t="shared" si="135"/>
        <v>9</v>
      </c>
      <c r="E220" s="693">
        <f t="shared" si="135"/>
        <v>15.5</v>
      </c>
    </row>
    <row r="221">
      <c r="A221" s="702" t="s">
        <v>2794</v>
      </c>
      <c r="B221" s="696">
        <f t="shared" ref="B221:E221" si="136">B222-B$220</f>
        <v>220</v>
      </c>
      <c r="C221" s="696">
        <f t="shared" si="136"/>
        <v>29</v>
      </c>
      <c r="D221" s="696">
        <f t="shared" si="136"/>
        <v>18</v>
      </c>
      <c r="E221" s="697">
        <f t="shared" si="136"/>
        <v>31</v>
      </c>
    </row>
    <row r="222">
      <c r="A222" s="702" t="s">
        <v>2795</v>
      </c>
      <c r="B222" s="696">
        <f t="shared" ref="B222:E222" si="137">B223-B$220</f>
        <v>330</v>
      </c>
      <c r="C222" s="696">
        <f t="shared" si="137"/>
        <v>43.5</v>
      </c>
      <c r="D222" s="696">
        <f t="shared" si="137"/>
        <v>27</v>
      </c>
      <c r="E222" s="697">
        <f t="shared" si="137"/>
        <v>46.5</v>
      </c>
    </row>
    <row r="223">
      <c r="A223" s="702" t="s">
        <v>2796</v>
      </c>
      <c r="B223" s="696">
        <f t="shared" ref="B223:E223" si="138">B224-B$220</f>
        <v>440</v>
      </c>
      <c r="C223" s="696">
        <f t="shared" si="138"/>
        <v>58</v>
      </c>
      <c r="D223" s="696">
        <f t="shared" si="138"/>
        <v>36</v>
      </c>
      <c r="E223" s="697">
        <f t="shared" si="138"/>
        <v>62</v>
      </c>
    </row>
    <row r="224">
      <c r="A224" s="702" t="s">
        <v>2797</v>
      </c>
      <c r="B224" s="696">
        <f t="shared" ref="B224:E224" si="139">B225-B$220</f>
        <v>550</v>
      </c>
      <c r="C224" s="696">
        <f t="shared" si="139"/>
        <v>72.5</v>
      </c>
      <c r="D224" s="696">
        <f t="shared" si="139"/>
        <v>45</v>
      </c>
      <c r="E224" s="697">
        <f t="shared" si="139"/>
        <v>77.5</v>
      </c>
    </row>
    <row r="225">
      <c r="A225" s="702" t="s">
        <v>2798</v>
      </c>
      <c r="B225" s="696">
        <f t="shared" ref="B225:E225" si="140">B226-B$220</f>
        <v>660</v>
      </c>
      <c r="C225" s="696">
        <f t="shared" si="140"/>
        <v>87</v>
      </c>
      <c r="D225" s="696">
        <f t="shared" si="140"/>
        <v>54</v>
      </c>
      <c r="E225" s="697">
        <f t="shared" si="140"/>
        <v>93</v>
      </c>
    </row>
    <row r="226">
      <c r="A226" s="702" t="s">
        <v>2799</v>
      </c>
      <c r="B226" s="696">
        <f t="shared" ref="B226:E226" si="141">B227-B$220</f>
        <v>770</v>
      </c>
      <c r="C226" s="696">
        <f t="shared" si="141"/>
        <v>101.5</v>
      </c>
      <c r="D226" s="696">
        <f t="shared" si="141"/>
        <v>63</v>
      </c>
      <c r="E226" s="697">
        <f t="shared" si="141"/>
        <v>108.5</v>
      </c>
    </row>
    <row r="227">
      <c r="A227" s="702" t="s">
        <v>2800</v>
      </c>
      <c r="B227" s="696">
        <v>880.0</v>
      </c>
      <c r="C227" s="696">
        <v>116.0</v>
      </c>
      <c r="D227" s="696">
        <v>72.0</v>
      </c>
      <c r="E227" s="697">
        <v>124.0</v>
      </c>
    </row>
    <row r="228">
      <c r="A228" s="702" t="s">
        <v>2801</v>
      </c>
      <c r="B228" s="696">
        <v>990.0</v>
      </c>
      <c r="C228" s="696">
        <v>131.0</v>
      </c>
      <c r="D228" s="696">
        <v>81.0</v>
      </c>
      <c r="E228" s="697">
        <v>140.0</v>
      </c>
    </row>
    <row r="229">
      <c r="A229" s="705" t="s">
        <v>2802</v>
      </c>
      <c r="B229" s="706">
        <v>1320.0</v>
      </c>
      <c r="C229" s="706">
        <v>174.0</v>
      </c>
      <c r="D229" s="706">
        <v>108.0</v>
      </c>
      <c r="E229" s="707">
        <v>186.0</v>
      </c>
    </row>
    <row r="230">
      <c r="A230" s="159"/>
      <c r="E230" s="160"/>
    </row>
    <row r="231">
      <c r="A231" s="774" t="s">
        <v>2821</v>
      </c>
      <c r="B231" s="684"/>
      <c r="C231" s="684"/>
      <c r="D231" s="684"/>
      <c r="E231" s="685"/>
    </row>
    <row r="232">
      <c r="A232" s="691" t="s">
        <v>2792</v>
      </c>
      <c r="B232" s="692">
        <f t="shared" ref="B232:E232" si="142">(B241-B239)/4</f>
        <v>105</v>
      </c>
      <c r="C232" s="692">
        <f t="shared" si="142"/>
        <v>15</v>
      </c>
      <c r="D232" s="692">
        <f t="shared" si="142"/>
        <v>9.5</v>
      </c>
      <c r="E232" s="693">
        <f t="shared" si="142"/>
        <v>15</v>
      </c>
    </row>
    <row r="233">
      <c r="A233" s="702" t="s">
        <v>2794</v>
      </c>
      <c r="B233" s="696">
        <f t="shared" ref="B233:E233" si="143">B234-B$232</f>
        <v>210</v>
      </c>
      <c r="C233" s="696">
        <f t="shared" si="143"/>
        <v>30</v>
      </c>
      <c r="D233" s="696">
        <f t="shared" si="143"/>
        <v>19</v>
      </c>
      <c r="E233" s="697">
        <f t="shared" si="143"/>
        <v>30</v>
      </c>
    </row>
    <row r="234">
      <c r="A234" s="702" t="s">
        <v>2795</v>
      </c>
      <c r="B234" s="696">
        <f t="shared" ref="B234:E234" si="144">B235-B$232</f>
        <v>315</v>
      </c>
      <c r="C234" s="696">
        <f t="shared" si="144"/>
        <v>45</v>
      </c>
      <c r="D234" s="696">
        <f t="shared" si="144"/>
        <v>28.5</v>
      </c>
      <c r="E234" s="697">
        <f t="shared" si="144"/>
        <v>45</v>
      </c>
    </row>
    <row r="235">
      <c r="A235" s="702" t="s">
        <v>2796</v>
      </c>
      <c r="B235" s="696">
        <f t="shared" ref="B235:E235" si="145">B236-B$232</f>
        <v>420</v>
      </c>
      <c r="C235" s="696">
        <f t="shared" si="145"/>
        <v>60</v>
      </c>
      <c r="D235" s="696">
        <f t="shared" si="145"/>
        <v>38</v>
      </c>
      <c r="E235" s="697">
        <f t="shared" si="145"/>
        <v>60</v>
      </c>
    </row>
    <row r="236">
      <c r="A236" s="702" t="s">
        <v>2797</v>
      </c>
      <c r="B236" s="696">
        <f t="shared" ref="B236:E236" si="146">B237-B$232</f>
        <v>525</v>
      </c>
      <c r="C236" s="696">
        <f t="shared" si="146"/>
        <v>75</v>
      </c>
      <c r="D236" s="696">
        <f t="shared" si="146"/>
        <v>47.5</v>
      </c>
      <c r="E236" s="697">
        <f t="shared" si="146"/>
        <v>75</v>
      </c>
    </row>
    <row r="237">
      <c r="A237" s="702" t="s">
        <v>2798</v>
      </c>
      <c r="B237" s="696">
        <f t="shared" ref="B237:E237" si="147">B238-B$232</f>
        <v>630</v>
      </c>
      <c r="C237" s="696">
        <f t="shared" si="147"/>
        <v>90</v>
      </c>
      <c r="D237" s="696">
        <f t="shared" si="147"/>
        <v>57</v>
      </c>
      <c r="E237" s="697">
        <f t="shared" si="147"/>
        <v>90</v>
      </c>
    </row>
    <row r="238">
      <c r="A238" s="702" t="s">
        <v>2799</v>
      </c>
      <c r="B238" s="696">
        <f t="shared" ref="B238:E238" si="148">B239-B$232</f>
        <v>735</v>
      </c>
      <c r="C238" s="696">
        <f t="shared" si="148"/>
        <v>105</v>
      </c>
      <c r="D238" s="696">
        <f t="shared" si="148"/>
        <v>66.5</v>
      </c>
      <c r="E238" s="697">
        <f t="shared" si="148"/>
        <v>105</v>
      </c>
    </row>
    <row r="239">
      <c r="A239" s="702" t="s">
        <v>2800</v>
      </c>
      <c r="B239" s="696">
        <v>840.0</v>
      </c>
      <c r="C239" s="696">
        <v>120.0</v>
      </c>
      <c r="D239" s="696">
        <v>76.0</v>
      </c>
      <c r="E239" s="697">
        <v>120.0</v>
      </c>
    </row>
    <row r="240">
      <c r="A240" s="702" t="s">
        <v>2801</v>
      </c>
      <c r="B240" s="696">
        <v>945.0</v>
      </c>
      <c r="C240" s="696">
        <v>135.0</v>
      </c>
      <c r="D240" s="696">
        <v>86.0</v>
      </c>
      <c r="E240" s="697">
        <v>135.0</v>
      </c>
    </row>
    <row r="241">
      <c r="A241" s="705" t="s">
        <v>2802</v>
      </c>
      <c r="B241" s="706">
        <v>1260.0</v>
      </c>
      <c r="C241" s="706">
        <v>180.0</v>
      </c>
      <c r="D241" s="706">
        <v>114.0</v>
      </c>
      <c r="E241" s="707">
        <v>180.0</v>
      </c>
    </row>
    <row r="242">
      <c r="A242" s="159"/>
      <c r="E242" s="160"/>
    </row>
    <row r="243">
      <c r="A243" s="774" t="s">
        <v>2822</v>
      </c>
      <c r="B243" s="684"/>
      <c r="C243" s="684"/>
      <c r="D243" s="684"/>
      <c r="E243" s="685"/>
    </row>
    <row r="244">
      <c r="A244" s="691" t="s">
        <v>2792</v>
      </c>
      <c r="B244" s="692">
        <f t="shared" ref="B244:E244" si="149">(B253-B251)/4</f>
        <v>95</v>
      </c>
      <c r="C244" s="692">
        <f t="shared" si="149"/>
        <v>15</v>
      </c>
      <c r="D244" s="692">
        <f t="shared" si="149"/>
        <v>9</v>
      </c>
      <c r="E244" s="693">
        <f t="shared" si="149"/>
        <v>16.5</v>
      </c>
    </row>
    <row r="245">
      <c r="A245" s="702" t="s">
        <v>2794</v>
      </c>
      <c r="B245" s="696">
        <v>190.0</v>
      </c>
      <c r="C245" s="696">
        <v>30.0</v>
      </c>
      <c r="D245" s="696">
        <v>18.0</v>
      </c>
      <c r="E245" s="697">
        <v>33.0</v>
      </c>
    </row>
    <row r="246">
      <c r="A246" s="702" t="s">
        <v>2795</v>
      </c>
      <c r="B246" s="696">
        <v>285.0</v>
      </c>
      <c r="C246" s="696">
        <v>45.0</v>
      </c>
      <c r="D246" s="696">
        <v>27.0</v>
      </c>
      <c r="E246" s="697">
        <v>50.0</v>
      </c>
    </row>
    <row r="247">
      <c r="A247" s="702" t="s">
        <v>2796</v>
      </c>
      <c r="B247" s="696">
        <v>380.0</v>
      </c>
      <c r="C247" s="696">
        <v>60.0</v>
      </c>
      <c r="D247" s="696">
        <v>36.0</v>
      </c>
      <c r="E247" s="697">
        <v>66.0</v>
      </c>
    </row>
    <row r="248">
      <c r="A248" s="702" t="s">
        <v>2797</v>
      </c>
      <c r="B248" s="696">
        <v>475.0</v>
      </c>
      <c r="C248" s="696">
        <v>75.0</v>
      </c>
      <c r="D248" s="696">
        <v>45.0</v>
      </c>
      <c r="E248" s="697">
        <v>83.0</v>
      </c>
    </row>
    <row r="249">
      <c r="A249" s="702" t="s">
        <v>2798</v>
      </c>
      <c r="B249" s="696">
        <v>570.0</v>
      </c>
      <c r="C249" s="696">
        <v>90.0</v>
      </c>
      <c r="D249" s="696">
        <v>54.0</v>
      </c>
      <c r="E249" s="697">
        <v>99.0</v>
      </c>
    </row>
    <row r="250">
      <c r="A250" s="702" t="s">
        <v>2799</v>
      </c>
      <c r="B250" s="696">
        <v>665.0</v>
      </c>
      <c r="C250" s="696">
        <v>105.0</v>
      </c>
      <c r="D250" s="696">
        <v>63.0</v>
      </c>
      <c r="E250" s="697">
        <v>116.0</v>
      </c>
    </row>
    <row r="251">
      <c r="A251" s="702" t="s">
        <v>2800</v>
      </c>
      <c r="B251" s="696">
        <v>760.0</v>
      </c>
      <c r="C251" s="696">
        <v>120.0</v>
      </c>
      <c r="D251" s="696">
        <v>72.0</v>
      </c>
      <c r="E251" s="697">
        <v>132.0</v>
      </c>
    </row>
    <row r="252">
      <c r="A252" s="702" t="s">
        <v>2801</v>
      </c>
      <c r="B252" s="696">
        <v>855.0</v>
      </c>
      <c r="C252" s="696">
        <v>135.0</v>
      </c>
      <c r="D252" s="696">
        <v>81.0</v>
      </c>
      <c r="E252" s="697">
        <v>149.0</v>
      </c>
    </row>
    <row r="253">
      <c r="A253" s="705" t="s">
        <v>2802</v>
      </c>
      <c r="B253" s="706">
        <v>1140.0</v>
      </c>
      <c r="C253" s="706">
        <v>180.0</v>
      </c>
      <c r="D253" s="706">
        <v>108.0</v>
      </c>
      <c r="E253" s="707">
        <v>198.0</v>
      </c>
    </row>
    <row r="258">
      <c r="A258" s="680" t="s">
        <v>115</v>
      </c>
      <c r="B258" s="681"/>
      <c r="C258" s="681"/>
      <c r="D258" s="681"/>
      <c r="E258" s="682"/>
    </row>
    <row r="259">
      <c r="A259" s="774" t="s">
        <v>2823</v>
      </c>
      <c r="B259" s="684"/>
      <c r="C259" s="684"/>
      <c r="D259" s="684"/>
      <c r="E259" s="685"/>
    </row>
    <row r="260">
      <c r="A260" s="691" t="s">
        <v>2792</v>
      </c>
      <c r="B260" s="692">
        <f t="shared" ref="B260:E260" si="150">B261/2</f>
        <v>120</v>
      </c>
      <c r="C260" s="692">
        <f t="shared" si="150"/>
        <v>11.5</v>
      </c>
      <c r="D260" s="692">
        <f t="shared" si="150"/>
        <v>10.5</v>
      </c>
      <c r="E260" s="692">
        <f t="shared" si="150"/>
        <v>16</v>
      </c>
    </row>
    <row r="261">
      <c r="A261" s="702" t="s">
        <v>2794</v>
      </c>
      <c r="B261" s="696">
        <v>240.0</v>
      </c>
      <c r="C261" s="696">
        <v>23.0</v>
      </c>
      <c r="D261" s="696">
        <v>21.0</v>
      </c>
      <c r="E261" s="697">
        <v>32.0</v>
      </c>
    </row>
    <row r="262">
      <c r="A262" s="702" t="s">
        <v>2795</v>
      </c>
      <c r="B262" s="696">
        <f t="shared" ref="B262:E262" si="151">B261+B$260</f>
        <v>360</v>
      </c>
      <c r="C262" s="696">
        <f t="shared" si="151"/>
        <v>34.5</v>
      </c>
      <c r="D262" s="696">
        <f t="shared" si="151"/>
        <v>31.5</v>
      </c>
      <c r="E262" s="697">
        <f t="shared" si="151"/>
        <v>48</v>
      </c>
    </row>
    <row r="263">
      <c r="A263" s="702" t="s">
        <v>2796</v>
      </c>
      <c r="B263" s="696">
        <f t="shared" ref="B263:E263" si="152">B262+B$260</f>
        <v>480</v>
      </c>
      <c r="C263" s="696">
        <f t="shared" si="152"/>
        <v>46</v>
      </c>
      <c r="D263" s="696">
        <f t="shared" si="152"/>
        <v>42</v>
      </c>
      <c r="E263" s="697">
        <f t="shared" si="152"/>
        <v>64</v>
      </c>
    </row>
    <row r="264">
      <c r="A264" s="702" t="s">
        <v>2797</v>
      </c>
      <c r="B264" s="696">
        <f t="shared" ref="B264:E264" si="153">B263+B$260</f>
        <v>600</v>
      </c>
      <c r="C264" s="696">
        <f t="shared" si="153"/>
        <v>57.5</v>
      </c>
      <c r="D264" s="696">
        <f t="shared" si="153"/>
        <v>52.5</v>
      </c>
      <c r="E264" s="697">
        <f t="shared" si="153"/>
        <v>80</v>
      </c>
    </row>
    <row r="265">
      <c r="A265" s="702" t="s">
        <v>2798</v>
      </c>
      <c r="B265" s="696">
        <f t="shared" ref="B265:E265" si="154">B264+B$260</f>
        <v>720</v>
      </c>
      <c r="C265" s="696">
        <f t="shared" si="154"/>
        <v>69</v>
      </c>
      <c r="D265" s="696">
        <f t="shared" si="154"/>
        <v>63</v>
      </c>
      <c r="E265" s="697">
        <f t="shared" si="154"/>
        <v>96</v>
      </c>
    </row>
    <row r="266">
      <c r="A266" s="702" t="s">
        <v>2799</v>
      </c>
      <c r="B266" s="696">
        <f t="shared" ref="B266:E266" si="155">B265+B$260</f>
        <v>840</v>
      </c>
      <c r="C266" s="696">
        <f t="shared" si="155"/>
        <v>80.5</v>
      </c>
      <c r="D266" s="696">
        <f t="shared" si="155"/>
        <v>73.5</v>
      </c>
      <c r="E266" s="697">
        <f t="shared" si="155"/>
        <v>112</v>
      </c>
    </row>
    <row r="267">
      <c r="A267" s="702" t="s">
        <v>2800</v>
      </c>
      <c r="B267" s="696">
        <f t="shared" ref="B267:E267" si="156">B266+B$260</f>
        <v>960</v>
      </c>
      <c r="C267" s="696">
        <f t="shared" si="156"/>
        <v>92</v>
      </c>
      <c r="D267" s="696">
        <f t="shared" si="156"/>
        <v>84</v>
      </c>
      <c r="E267" s="697">
        <f t="shared" si="156"/>
        <v>128</v>
      </c>
    </row>
    <row r="268">
      <c r="A268" s="702" t="s">
        <v>2801</v>
      </c>
      <c r="B268" s="696">
        <v>1080.0</v>
      </c>
      <c r="C268" s="696">
        <v>104.0</v>
      </c>
      <c r="D268" s="696">
        <v>95.0</v>
      </c>
      <c r="E268" s="697">
        <v>144.0</v>
      </c>
    </row>
    <row r="269">
      <c r="A269" s="705" t="s">
        <v>2802</v>
      </c>
      <c r="B269" s="706">
        <f t="shared" ref="B269:E269" si="157">B268+3*B260</f>
        <v>1440</v>
      </c>
      <c r="C269" s="706">
        <f t="shared" si="157"/>
        <v>138.5</v>
      </c>
      <c r="D269" s="706">
        <f t="shared" si="157"/>
        <v>126.5</v>
      </c>
      <c r="E269" s="707">
        <f t="shared" si="157"/>
        <v>192</v>
      </c>
    </row>
    <row r="270">
      <c r="A270" s="159"/>
      <c r="E270" s="160"/>
    </row>
    <row r="271">
      <c r="A271" s="774" t="s">
        <v>2824</v>
      </c>
      <c r="B271" s="684"/>
      <c r="C271" s="684"/>
      <c r="D271" s="684"/>
      <c r="E271" s="685"/>
    </row>
    <row r="272">
      <c r="A272" s="691" t="s">
        <v>2792</v>
      </c>
      <c r="B272" s="692">
        <f t="shared" ref="B272:E272" si="158">B273/2</f>
        <v>125</v>
      </c>
      <c r="C272" s="692">
        <f t="shared" si="158"/>
        <v>11.5</v>
      </c>
      <c r="D272" s="692">
        <f t="shared" si="158"/>
        <v>10.5</v>
      </c>
      <c r="E272" s="693">
        <f t="shared" si="158"/>
        <v>15.5</v>
      </c>
    </row>
    <row r="273">
      <c r="A273" s="702" t="s">
        <v>2794</v>
      </c>
      <c r="B273" s="696">
        <v>250.0</v>
      </c>
      <c r="C273" s="696">
        <v>23.0</v>
      </c>
      <c r="D273" s="696">
        <v>21.0</v>
      </c>
      <c r="E273" s="697">
        <v>31.0</v>
      </c>
    </row>
    <row r="274">
      <c r="A274" s="702" t="s">
        <v>2795</v>
      </c>
      <c r="B274" s="775">
        <f t="shared" ref="B274:E274" si="159">B273+B$272</f>
        <v>375</v>
      </c>
      <c r="C274" s="775">
        <f t="shared" si="159"/>
        <v>34.5</v>
      </c>
      <c r="D274" s="775">
        <f t="shared" si="159"/>
        <v>31.5</v>
      </c>
      <c r="E274" s="776">
        <f t="shared" si="159"/>
        <v>46.5</v>
      </c>
    </row>
    <row r="275">
      <c r="A275" s="702" t="s">
        <v>2796</v>
      </c>
      <c r="B275" s="775">
        <f t="shared" ref="B275:E275" si="160">B274+B$272</f>
        <v>500</v>
      </c>
      <c r="C275" s="775">
        <f t="shared" si="160"/>
        <v>46</v>
      </c>
      <c r="D275" s="775">
        <f t="shared" si="160"/>
        <v>42</v>
      </c>
      <c r="E275" s="776">
        <f t="shared" si="160"/>
        <v>62</v>
      </c>
    </row>
    <row r="276">
      <c r="A276" s="702" t="s">
        <v>2797</v>
      </c>
      <c r="B276" s="775">
        <f t="shared" ref="B276:E276" si="161">B275+B$272</f>
        <v>625</v>
      </c>
      <c r="C276" s="775">
        <f t="shared" si="161"/>
        <v>57.5</v>
      </c>
      <c r="D276" s="775">
        <f t="shared" si="161"/>
        <v>52.5</v>
      </c>
      <c r="E276" s="776">
        <f t="shared" si="161"/>
        <v>77.5</v>
      </c>
    </row>
    <row r="277">
      <c r="A277" s="702" t="s">
        <v>2798</v>
      </c>
      <c r="B277" s="775">
        <f t="shared" ref="B277:E277" si="162">B276+B$272</f>
        <v>750</v>
      </c>
      <c r="C277" s="775">
        <f t="shared" si="162"/>
        <v>69</v>
      </c>
      <c r="D277" s="775">
        <f t="shared" si="162"/>
        <v>63</v>
      </c>
      <c r="E277" s="776">
        <f t="shared" si="162"/>
        <v>93</v>
      </c>
    </row>
    <row r="278">
      <c r="A278" s="702" t="s">
        <v>2799</v>
      </c>
      <c r="B278" s="775">
        <f t="shared" ref="B278:E278" si="163">B277+B$272</f>
        <v>875</v>
      </c>
      <c r="C278" s="775">
        <f t="shared" si="163"/>
        <v>80.5</v>
      </c>
      <c r="D278" s="775">
        <f t="shared" si="163"/>
        <v>73.5</v>
      </c>
      <c r="E278" s="776">
        <f t="shared" si="163"/>
        <v>108.5</v>
      </c>
    </row>
    <row r="279">
      <c r="A279" s="702" t="s">
        <v>2800</v>
      </c>
      <c r="B279" s="775">
        <f t="shared" ref="B279:E279" si="164">B278+B$272</f>
        <v>1000</v>
      </c>
      <c r="C279" s="775">
        <f t="shared" si="164"/>
        <v>92</v>
      </c>
      <c r="D279" s="775">
        <f t="shared" si="164"/>
        <v>84</v>
      </c>
      <c r="E279" s="776">
        <f t="shared" si="164"/>
        <v>124</v>
      </c>
    </row>
    <row r="280">
      <c r="A280" s="702" t="s">
        <v>2801</v>
      </c>
      <c r="B280" s="696">
        <v>1125.0</v>
      </c>
      <c r="C280" s="696">
        <v>104.0</v>
      </c>
      <c r="D280" s="696">
        <v>95.0</v>
      </c>
      <c r="E280" s="697">
        <v>140.0</v>
      </c>
    </row>
    <row r="281">
      <c r="A281" s="705" t="s">
        <v>2802</v>
      </c>
      <c r="B281" s="706">
        <f t="shared" ref="B281:E281" si="165">B280+3*B272</f>
        <v>1500</v>
      </c>
      <c r="C281" s="706">
        <f t="shared" si="165"/>
        <v>138.5</v>
      </c>
      <c r="D281" s="706">
        <f t="shared" si="165"/>
        <v>126.5</v>
      </c>
      <c r="E281" s="707">
        <f t="shared" si="165"/>
        <v>186.5</v>
      </c>
    </row>
    <row r="282">
      <c r="A282" s="777"/>
      <c r="B282" s="778"/>
      <c r="C282" s="778"/>
      <c r="D282" s="778"/>
      <c r="E282" s="779"/>
    </row>
    <row r="283">
      <c r="A283" s="774" t="s">
        <v>2825</v>
      </c>
      <c r="B283" s="684"/>
      <c r="C283" s="684"/>
      <c r="D283" s="684"/>
      <c r="E283" s="685"/>
    </row>
    <row r="284">
      <c r="A284" s="691" t="s">
        <v>2792</v>
      </c>
      <c r="B284" s="692">
        <f t="shared" ref="B284:E284" si="166">B285/2</f>
        <v>125</v>
      </c>
      <c r="C284" s="692">
        <f t="shared" si="166"/>
        <v>11</v>
      </c>
      <c r="D284" s="692">
        <f t="shared" si="166"/>
        <v>11</v>
      </c>
      <c r="E284" s="693">
        <f t="shared" si="166"/>
        <v>15.5</v>
      </c>
    </row>
    <row r="285">
      <c r="A285" s="702" t="s">
        <v>2794</v>
      </c>
      <c r="B285" s="696">
        <v>250.0</v>
      </c>
      <c r="C285" s="696">
        <v>22.0</v>
      </c>
      <c r="D285" s="696">
        <v>22.0</v>
      </c>
      <c r="E285" s="697">
        <v>31.0</v>
      </c>
    </row>
    <row r="286">
      <c r="A286" s="702" t="s">
        <v>2795</v>
      </c>
      <c r="B286" s="775">
        <f t="shared" ref="B286:E286" si="167">B285+B$284</f>
        <v>375</v>
      </c>
      <c r="C286" s="775">
        <f t="shared" si="167"/>
        <v>33</v>
      </c>
      <c r="D286" s="775">
        <f t="shared" si="167"/>
        <v>33</v>
      </c>
      <c r="E286" s="776">
        <f t="shared" si="167"/>
        <v>46.5</v>
      </c>
    </row>
    <row r="287">
      <c r="A287" s="702" t="s">
        <v>2796</v>
      </c>
      <c r="B287" s="775">
        <f t="shared" ref="B287:E287" si="168">B286+B$284</f>
        <v>500</v>
      </c>
      <c r="C287" s="775">
        <f t="shared" si="168"/>
        <v>44</v>
      </c>
      <c r="D287" s="775">
        <f t="shared" si="168"/>
        <v>44</v>
      </c>
      <c r="E287" s="776">
        <f t="shared" si="168"/>
        <v>62</v>
      </c>
    </row>
    <row r="288">
      <c r="A288" s="702" t="s">
        <v>2797</v>
      </c>
      <c r="B288" s="775">
        <f t="shared" ref="B288:E288" si="169">B287+B$284</f>
        <v>625</v>
      </c>
      <c r="C288" s="775">
        <f t="shared" si="169"/>
        <v>55</v>
      </c>
      <c r="D288" s="775">
        <f t="shared" si="169"/>
        <v>55</v>
      </c>
      <c r="E288" s="776">
        <f t="shared" si="169"/>
        <v>77.5</v>
      </c>
    </row>
    <row r="289">
      <c r="A289" s="702" t="s">
        <v>2798</v>
      </c>
      <c r="B289" s="775">
        <f t="shared" ref="B289:E289" si="170">B288+B$284</f>
        <v>750</v>
      </c>
      <c r="C289" s="775">
        <f t="shared" si="170"/>
        <v>66</v>
      </c>
      <c r="D289" s="775">
        <f t="shared" si="170"/>
        <v>66</v>
      </c>
      <c r="E289" s="776">
        <f t="shared" si="170"/>
        <v>93</v>
      </c>
    </row>
    <row r="290">
      <c r="A290" s="702" t="s">
        <v>2799</v>
      </c>
      <c r="B290" s="775">
        <f t="shared" ref="B290:E290" si="171">B289+B$284</f>
        <v>875</v>
      </c>
      <c r="C290" s="775">
        <f t="shared" si="171"/>
        <v>77</v>
      </c>
      <c r="D290" s="775">
        <f t="shared" si="171"/>
        <v>77</v>
      </c>
      <c r="E290" s="776">
        <f t="shared" si="171"/>
        <v>108.5</v>
      </c>
    </row>
    <row r="291">
      <c r="A291" s="702" t="s">
        <v>2800</v>
      </c>
      <c r="B291" s="775">
        <f t="shared" ref="B291:E291" si="172">B290+B$284</f>
        <v>1000</v>
      </c>
      <c r="C291" s="775">
        <f t="shared" si="172"/>
        <v>88</v>
      </c>
      <c r="D291" s="775">
        <f t="shared" si="172"/>
        <v>88</v>
      </c>
      <c r="E291" s="776">
        <f t="shared" si="172"/>
        <v>124</v>
      </c>
    </row>
    <row r="292">
      <c r="A292" s="702" t="s">
        <v>2801</v>
      </c>
      <c r="B292" s="696">
        <v>1125.0</v>
      </c>
      <c r="C292" s="696">
        <v>99.0</v>
      </c>
      <c r="D292" s="696">
        <v>99.0</v>
      </c>
      <c r="E292" s="697">
        <v>140.0</v>
      </c>
    </row>
    <row r="293">
      <c r="A293" s="705" t="s">
        <v>2802</v>
      </c>
      <c r="B293" s="706">
        <f t="shared" ref="B293:E293" si="173">B292+3*B284</f>
        <v>1500</v>
      </c>
      <c r="C293" s="706">
        <f t="shared" si="173"/>
        <v>132</v>
      </c>
      <c r="D293" s="706">
        <f t="shared" si="173"/>
        <v>132</v>
      </c>
      <c r="E293" s="707">
        <f t="shared" si="173"/>
        <v>186.5</v>
      </c>
    </row>
    <row r="294">
      <c r="A294" s="159"/>
      <c r="E294" s="160"/>
    </row>
    <row r="295">
      <c r="A295" s="774" t="s">
        <v>2826</v>
      </c>
      <c r="B295" s="684"/>
      <c r="C295" s="684"/>
      <c r="D295" s="684"/>
      <c r="E295" s="685"/>
    </row>
    <row r="296">
      <c r="A296" s="691" t="s">
        <v>2792</v>
      </c>
      <c r="B296" s="692">
        <f t="shared" ref="B296:E296" si="174">B297/2</f>
        <v>130</v>
      </c>
      <c r="C296" s="692">
        <f t="shared" si="174"/>
        <v>11.5</v>
      </c>
      <c r="D296" s="692">
        <f t="shared" si="174"/>
        <v>10.5</v>
      </c>
      <c r="E296" s="693">
        <f t="shared" si="174"/>
        <v>15</v>
      </c>
    </row>
    <row r="297">
      <c r="A297" s="702" t="s">
        <v>2794</v>
      </c>
      <c r="B297" s="696">
        <v>260.0</v>
      </c>
      <c r="C297" s="696">
        <v>23.0</v>
      </c>
      <c r="D297" s="696">
        <v>21.0</v>
      </c>
      <c r="E297" s="697">
        <v>30.0</v>
      </c>
    </row>
    <row r="298">
      <c r="A298" s="702" t="s">
        <v>2795</v>
      </c>
      <c r="B298" s="775">
        <f t="shared" ref="B298:E298" si="175">B297+B$296</f>
        <v>390</v>
      </c>
      <c r="C298" s="775">
        <f t="shared" si="175"/>
        <v>34.5</v>
      </c>
      <c r="D298" s="775">
        <f t="shared" si="175"/>
        <v>31.5</v>
      </c>
      <c r="E298" s="776">
        <f t="shared" si="175"/>
        <v>45</v>
      </c>
    </row>
    <row r="299">
      <c r="A299" s="702" t="s">
        <v>2796</v>
      </c>
      <c r="B299" s="775">
        <f t="shared" ref="B299:E299" si="176">B298+B$296</f>
        <v>520</v>
      </c>
      <c r="C299" s="775">
        <f t="shared" si="176"/>
        <v>46</v>
      </c>
      <c r="D299" s="775">
        <f t="shared" si="176"/>
        <v>42</v>
      </c>
      <c r="E299" s="776">
        <f t="shared" si="176"/>
        <v>60</v>
      </c>
    </row>
    <row r="300">
      <c r="A300" s="702" t="s">
        <v>2797</v>
      </c>
      <c r="B300" s="775">
        <f t="shared" ref="B300:E300" si="177">B299+B$296</f>
        <v>650</v>
      </c>
      <c r="C300" s="775">
        <f t="shared" si="177"/>
        <v>57.5</v>
      </c>
      <c r="D300" s="775">
        <f t="shared" si="177"/>
        <v>52.5</v>
      </c>
      <c r="E300" s="776">
        <f t="shared" si="177"/>
        <v>75</v>
      </c>
    </row>
    <row r="301">
      <c r="A301" s="702" t="s">
        <v>2798</v>
      </c>
      <c r="B301" s="775">
        <f t="shared" ref="B301:E301" si="178">B300+B$296</f>
        <v>780</v>
      </c>
      <c r="C301" s="775">
        <f t="shared" si="178"/>
        <v>69</v>
      </c>
      <c r="D301" s="775">
        <f t="shared" si="178"/>
        <v>63</v>
      </c>
      <c r="E301" s="776">
        <f t="shared" si="178"/>
        <v>90</v>
      </c>
    </row>
    <row r="302">
      <c r="A302" s="702" t="s">
        <v>2799</v>
      </c>
      <c r="B302" s="775">
        <f t="shared" ref="B302:E302" si="179">B301+B$296</f>
        <v>910</v>
      </c>
      <c r="C302" s="775">
        <f t="shared" si="179"/>
        <v>80.5</v>
      </c>
      <c r="D302" s="775">
        <f t="shared" si="179"/>
        <v>73.5</v>
      </c>
      <c r="E302" s="776">
        <f t="shared" si="179"/>
        <v>105</v>
      </c>
    </row>
    <row r="303">
      <c r="A303" s="702" t="s">
        <v>2800</v>
      </c>
      <c r="B303" s="775">
        <f t="shared" ref="B303:E303" si="180">B302+B$296</f>
        <v>1040</v>
      </c>
      <c r="C303" s="775">
        <f t="shared" si="180"/>
        <v>92</v>
      </c>
      <c r="D303" s="775">
        <f t="shared" si="180"/>
        <v>84</v>
      </c>
      <c r="E303" s="776">
        <f t="shared" si="180"/>
        <v>120</v>
      </c>
    </row>
    <row r="304">
      <c r="A304" s="702" t="s">
        <v>2801</v>
      </c>
      <c r="B304" s="696">
        <v>1170.0</v>
      </c>
      <c r="C304" s="696">
        <v>104.0</v>
      </c>
      <c r="D304" s="696">
        <v>95.0</v>
      </c>
      <c r="E304" s="697">
        <v>135.0</v>
      </c>
    </row>
    <row r="305">
      <c r="A305" s="705" t="s">
        <v>2802</v>
      </c>
      <c r="B305" s="706">
        <f t="shared" ref="B305:E305" si="181">B304+3*B296</f>
        <v>1560</v>
      </c>
      <c r="C305" s="706">
        <f t="shared" si="181"/>
        <v>138.5</v>
      </c>
      <c r="D305" s="706">
        <f t="shared" si="181"/>
        <v>126.5</v>
      </c>
      <c r="E305" s="707">
        <f t="shared" si="181"/>
        <v>180</v>
      </c>
    </row>
    <row r="306">
      <c r="A306" s="159"/>
      <c r="E306" s="160"/>
    </row>
    <row r="307">
      <c r="A307" s="774" t="s">
        <v>2827</v>
      </c>
      <c r="B307" s="684"/>
      <c r="C307" s="684"/>
      <c r="D307" s="684"/>
      <c r="E307" s="685"/>
    </row>
    <row r="308">
      <c r="A308" s="691" t="s">
        <v>2792</v>
      </c>
      <c r="B308" s="692">
        <v>125.0</v>
      </c>
      <c r="C308" s="692">
        <v>10.0</v>
      </c>
      <c r="D308" s="692">
        <v>10.0</v>
      </c>
      <c r="E308" s="693">
        <v>17.5</v>
      </c>
    </row>
    <row r="309">
      <c r="A309" s="702" t="s">
        <v>2794</v>
      </c>
      <c r="B309" s="696">
        <f t="shared" ref="B309:E309" si="182">B308*2</f>
        <v>250</v>
      </c>
      <c r="C309" s="696">
        <f t="shared" si="182"/>
        <v>20</v>
      </c>
      <c r="D309" s="696">
        <f t="shared" si="182"/>
        <v>20</v>
      </c>
      <c r="E309" s="696">
        <f t="shared" si="182"/>
        <v>35</v>
      </c>
    </row>
    <row r="310">
      <c r="A310" s="702" t="s">
        <v>2795</v>
      </c>
      <c r="B310" s="775">
        <f t="shared" ref="B310:E310" si="183">B309+B$296</f>
        <v>380</v>
      </c>
      <c r="C310" s="775">
        <f t="shared" si="183"/>
        <v>31.5</v>
      </c>
      <c r="D310" s="775">
        <f t="shared" si="183"/>
        <v>30.5</v>
      </c>
      <c r="E310" s="776">
        <f t="shared" si="183"/>
        <v>50</v>
      </c>
    </row>
    <row r="311">
      <c r="A311" s="702" t="s">
        <v>2796</v>
      </c>
      <c r="B311" s="775">
        <f t="shared" ref="B311:E311" si="184">B310+B$296</f>
        <v>510</v>
      </c>
      <c r="C311" s="775">
        <f t="shared" si="184"/>
        <v>43</v>
      </c>
      <c r="D311" s="775">
        <f t="shared" si="184"/>
        <v>41</v>
      </c>
      <c r="E311" s="776">
        <f t="shared" si="184"/>
        <v>65</v>
      </c>
    </row>
    <row r="312">
      <c r="A312" s="702" t="s">
        <v>2797</v>
      </c>
      <c r="B312" s="775">
        <f t="shared" ref="B312:E312" si="185">B311+B$296</f>
        <v>640</v>
      </c>
      <c r="C312" s="775">
        <f t="shared" si="185"/>
        <v>54.5</v>
      </c>
      <c r="D312" s="775">
        <f t="shared" si="185"/>
        <v>51.5</v>
      </c>
      <c r="E312" s="776">
        <f t="shared" si="185"/>
        <v>80</v>
      </c>
    </row>
    <row r="313">
      <c r="A313" s="702" t="s">
        <v>2798</v>
      </c>
      <c r="B313" s="775">
        <f t="shared" ref="B313:E313" si="186">B312+B$296</f>
        <v>770</v>
      </c>
      <c r="C313" s="775">
        <f t="shared" si="186"/>
        <v>66</v>
      </c>
      <c r="D313" s="775">
        <f t="shared" si="186"/>
        <v>62</v>
      </c>
      <c r="E313" s="776">
        <f t="shared" si="186"/>
        <v>95</v>
      </c>
    </row>
    <row r="314">
      <c r="A314" s="702" t="s">
        <v>2799</v>
      </c>
      <c r="B314" s="775">
        <f t="shared" ref="B314:E314" si="187">B313+B$296</f>
        <v>900</v>
      </c>
      <c r="C314" s="775">
        <f t="shared" si="187"/>
        <v>77.5</v>
      </c>
      <c r="D314" s="775">
        <f t="shared" si="187"/>
        <v>72.5</v>
      </c>
      <c r="E314" s="776">
        <f t="shared" si="187"/>
        <v>110</v>
      </c>
    </row>
    <row r="315">
      <c r="A315" s="702" t="s">
        <v>2800</v>
      </c>
      <c r="B315" s="775">
        <f t="shared" ref="B315:E315" si="188">B314+B$296</f>
        <v>1030</v>
      </c>
      <c r="C315" s="775">
        <f t="shared" si="188"/>
        <v>89</v>
      </c>
      <c r="D315" s="775">
        <f t="shared" si="188"/>
        <v>83</v>
      </c>
      <c r="E315" s="776">
        <f t="shared" si="188"/>
        <v>125</v>
      </c>
    </row>
    <row r="316">
      <c r="A316" s="702" t="s">
        <v>2801</v>
      </c>
      <c r="B316" s="696">
        <v>1170.0</v>
      </c>
      <c r="C316" s="696">
        <v>104.0</v>
      </c>
      <c r="D316" s="696">
        <v>95.0</v>
      </c>
      <c r="E316" s="697">
        <v>135.0</v>
      </c>
    </row>
    <row r="317">
      <c r="A317" s="705" t="s">
        <v>2802</v>
      </c>
      <c r="B317" s="706">
        <f t="shared" ref="B317:E317" si="189">B316+3*B308</f>
        <v>1545</v>
      </c>
      <c r="C317" s="706">
        <f t="shared" si="189"/>
        <v>134</v>
      </c>
      <c r="D317" s="706">
        <f t="shared" si="189"/>
        <v>125</v>
      </c>
      <c r="E317" s="707">
        <f t="shared" si="189"/>
        <v>187.5</v>
      </c>
    </row>
    <row r="318">
      <c r="A318" s="780"/>
      <c r="E318" s="160"/>
    </row>
    <row r="319">
      <c r="A319" s="780"/>
      <c r="E319" s="160"/>
    </row>
    <row r="320">
      <c r="A320" s="780"/>
      <c r="E320" s="160"/>
    </row>
    <row r="321">
      <c r="A321" s="780"/>
      <c r="E321" s="160"/>
    </row>
    <row r="322">
      <c r="A322" s="680" t="s">
        <v>120</v>
      </c>
      <c r="B322" s="681"/>
      <c r="C322" s="681"/>
      <c r="D322" s="681"/>
      <c r="E322" s="682"/>
    </row>
    <row r="323">
      <c r="A323" s="683" t="s">
        <v>2828</v>
      </c>
      <c r="B323" s="684"/>
      <c r="C323" s="684"/>
      <c r="D323" s="684"/>
      <c r="E323" s="685"/>
    </row>
    <row r="324">
      <c r="A324" s="691" t="s">
        <v>2792</v>
      </c>
      <c r="B324" s="692">
        <f t="shared" ref="B324:E324" si="190">(B332-B331)/2</f>
        <v>110</v>
      </c>
      <c r="C324" s="692">
        <f t="shared" si="190"/>
        <v>16.5</v>
      </c>
      <c r="D324" s="692">
        <f t="shared" si="190"/>
        <v>10</v>
      </c>
      <c r="E324" s="693">
        <f t="shared" si="190"/>
        <v>15</v>
      </c>
    </row>
    <row r="325">
      <c r="A325" s="702" t="s">
        <v>2794</v>
      </c>
      <c r="B325" s="696">
        <f t="shared" ref="B325:E325" si="191">B326-B$324</f>
        <v>275</v>
      </c>
      <c r="C325" s="696">
        <f t="shared" si="191"/>
        <v>41</v>
      </c>
      <c r="D325" s="696">
        <f t="shared" si="191"/>
        <v>25</v>
      </c>
      <c r="E325" s="697">
        <f t="shared" si="191"/>
        <v>38</v>
      </c>
    </row>
    <row r="326">
      <c r="A326" s="702" t="s">
        <v>2795</v>
      </c>
      <c r="B326" s="696">
        <f t="shared" ref="B326:E326" si="192">B327-B$324</f>
        <v>385</v>
      </c>
      <c r="C326" s="696">
        <f t="shared" si="192"/>
        <v>57.5</v>
      </c>
      <c r="D326" s="696">
        <f t="shared" si="192"/>
        <v>35</v>
      </c>
      <c r="E326" s="697">
        <f t="shared" si="192"/>
        <v>53</v>
      </c>
    </row>
    <row r="327">
      <c r="A327" s="702" t="s">
        <v>2796</v>
      </c>
      <c r="B327" s="696">
        <f t="shared" ref="B327:E327" si="193">B328-B$324</f>
        <v>495</v>
      </c>
      <c r="C327" s="696">
        <f t="shared" si="193"/>
        <v>74</v>
      </c>
      <c r="D327" s="696">
        <f t="shared" si="193"/>
        <v>45</v>
      </c>
      <c r="E327" s="697">
        <f t="shared" si="193"/>
        <v>68</v>
      </c>
    </row>
    <row r="328">
      <c r="A328" s="702" t="s">
        <v>2797</v>
      </c>
      <c r="B328" s="696">
        <f t="shared" ref="B328:E328" si="194">B329-B$324</f>
        <v>605</v>
      </c>
      <c r="C328" s="696">
        <f t="shared" si="194"/>
        <v>90.5</v>
      </c>
      <c r="D328" s="696">
        <f t="shared" si="194"/>
        <v>55</v>
      </c>
      <c r="E328" s="697">
        <f t="shared" si="194"/>
        <v>83</v>
      </c>
    </row>
    <row r="329">
      <c r="A329" s="702" t="s">
        <v>2798</v>
      </c>
      <c r="B329" s="696">
        <f t="shared" ref="B329:E329" si="195">B330-B$324</f>
        <v>715</v>
      </c>
      <c r="C329" s="696">
        <f t="shared" si="195"/>
        <v>107</v>
      </c>
      <c r="D329" s="696">
        <f t="shared" si="195"/>
        <v>65</v>
      </c>
      <c r="E329" s="697">
        <f t="shared" si="195"/>
        <v>98</v>
      </c>
    </row>
    <row r="330">
      <c r="A330" s="702" t="s">
        <v>2799</v>
      </c>
      <c r="B330" s="696">
        <f t="shared" ref="B330:E330" si="196">B331-B$324</f>
        <v>825</v>
      </c>
      <c r="C330" s="696">
        <f t="shared" si="196"/>
        <v>123.5</v>
      </c>
      <c r="D330" s="696">
        <f t="shared" si="196"/>
        <v>75</v>
      </c>
      <c r="E330" s="697">
        <f t="shared" si="196"/>
        <v>113</v>
      </c>
    </row>
    <row r="331">
      <c r="A331" s="702" t="s">
        <v>2800</v>
      </c>
      <c r="B331" s="696">
        <v>935.0</v>
      </c>
      <c r="C331" s="696">
        <v>140.0</v>
      </c>
      <c r="D331" s="696">
        <v>85.0</v>
      </c>
      <c r="E331" s="697">
        <v>128.0</v>
      </c>
    </row>
    <row r="332">
      <c r="A332" s="702" t="s">
        <v>2801</v>
      </c>
      <c r="B332" s="696">
        <v>1155.0</v>
      </c>
      <c r="C332" s="696">
        <v>173.0</v>
      </c>
      <c r="D332" s="696">
        <v>105.0</v>
      </c>
      <c r="E332" s="697">
        <v>158.0</v>
      </c>
    </row>
    <row r="333">
      <c r="A333" s="705" t="s">
        <v>2802</v>
      </c>
      <c r="B333" s="706">
        <v>1540.0</v>
      </c>
      <c r="C333" s="706">
        <v>231.0</v>
      </c>
      <c r="D333" s="706">
        <v>140.0</v>
      </c>
      <c r="E333" s="707">
        <v>210.0</v>
      </c>
    </row>
    <row r="334">
      <c r="A334" s="159"/>
      <c r="E334" s="160"/>
    </row>
    <row r="335">
      <c r="A335" s="683" t="s">
        <v>2829</v>
      </c>
      <c r="B335" s="684"/>
      <c r="C335" s="684"/>
      <c r="D335" s="684"/>
      <c r="E335" s="685"/>
    </row>
    <row r="336">
      <c r="A336" s="691" t="s">
        <v>2792</v>
      </c>
      <c r="B336" s="692">
        <f t="shared" ref="B336:E336" si="197">(B344-B343)/2</f>
        <v>150</v>
      </c>
      <c r="C336" s="692">
        <f t="shared" si="197"/>
        <v>15</v>
      </c>
      <c r="D336" s="692">
        <f t="shared" si="197"/>
        <v>10</v>
      </c>
      <c r="E336" s="693">
        <f t="shared" si="197"/>
        <v>12.5</v>
      </c>
    </row>
    <row r="337">
      <c r="A337" s="702" t="s">
        <v>2794</v>
      </c>
      <c r="B337" s="696">
        <f t="shared" ref="B337:E337" si="198">B338-B$336</f>
        <v>375</v>
      </c>
      <c r="C337" s="696">
        <f t="shared" si="198"/>
        <v>38</v>
      </c>
      <c r="D337" s="696">
        <f t="shared" si="198"/>
        <v>25</v>
      </c>
      <c r="E337" s="697">
        <f t="shared" si="198"/>
        <v>31</v>
      </c>
    </row>
    <row r="338">
      <c r="A338" s="702" t="s">
        <v>2795</v>
      </c>
      <c r="B338" s="696">
        <f t="shared" ref="B338:E338" si="199">B339-B$336</f>
        <v>525</v>
      </c>
      <c r="C338" s="696">
        <f t="shared" si="199"/>
        <v>53</v>
      </c>
      <c r="D338" s="696">
        <f t="shared" si="199"/>
        <v>35</v>
      </c>
      <c r="E338" s="697">
        <f t="shared" si="199"/>
        <v>43.5</v>
      </c>
    </row>
    <row r="339">
      <c r="A339" s="702" t="s">
        <v>2796</v>
      </c>
      <c r="B339" s="696">
        <f t="shared" ref="B339:E339" si="200">B340-B$336</f>
        <v>675</v>
      </c>
      <c r="C339" s="696">
        <f t="shared" si="200"/>
        <v>68</v>
      </c>
      <c r="D339" s="696">
        <f t="shared" si="200"/>
        <v>45</v>
      </c>
      <c r="E339" s="697">
        <f t="shared" si="200"/>
        <v>56</v>
      </c>
    </row>
    <row r="340">
      <c r="A340" s="702" t="s">
        <v>2797</v>
      </c>
      <c r="B340" s="696">
        <f t="shared" ref="B340:E340" si="201">B341-B$336</f>
        <v>825</v>
      </c>
      <c r="C340" s="696">
        <f t="shared" si="201"/>
        <v>83</v>
      </c>
      <c r="D340" s="696">
        <f t="shared" si="201"/>
        <v>55</v>
      </c>
      <c r="E340" s="697">
        <f t="shared" si="201"/>
        <v>68.5</v>
      </c>
    </row>
    <row r="341">
      <c r="A341" s="702" t="s">
        <v>2798</v>
      </c>
      <c r="B341" s="696">
        <f t="shared" ref="B341:E341" si="202">B342-B$336</f>
        <v>975</v>
      </c>
      <c r="C341" s="696">
        <f t="shared" si="202"/>
        <v>98</v>
      </c>
      <c r="D341" s="696">
        <f t="shared" si="202"/>
        <v>65</v>
      </c>
      <c r="E341" s="697">
        <f t="shared" si="202"/>
        <v>81</v>
      </c>
    </row>
    <row r="342">
      <c r="A342" s="702" t="s">
        <v>2799</v>
      </c>
      <c r="B342" s="696">
        <f t="shared" ref="B342:E342" si="203">B343-B$336</f>
        <v>1125</v>
      </c>
      <c r="C342" s="696">
        <f t="shared" si="203"/>
        <v>113</v>
      </c>
      <c r="D342" s="696">
        <f t="shared" si="203"/>
        <v>75</v>
      </c>
      <c r="E342" s="697">
        <f t="shared" si="203"/>
        <v>93.5</v>
      </c>
    </row>
    <row r="343">
      <c r="A343" s="702" t="s">
        <v>2800</v>
      </c>
      <c r="B343" s="696">
        <v>1275.0</v>
      </c>
      <c r="C343" s="696">
        <v>128.0</v>
      </c>
      <c r="D343" s="696">
        <v>85.0</v>
      </c>
      <c r="E343" s="697">
        <v>106.0</v>
      </c>
    </row>
    <row r="344">
      <c r="A344" s="702" t="s">
        <v>2801</v>
      </c>
      <c r="B344" s="696">
        <v>1575.0</v>
      </c>
      <c r="C344" s="696">
        <v>158.0</v>
      </c>
      <c r="D344" s="696">
        <v>105.0</v>
      </c>
      <c r="E344" s="697">
        <v>131.0</v>
      </c>
    </row>
    <row r="345">
      <c r="A345" s="705" t="s">
        <v>2802</v>
      </c>
      <c r="B345" s="706">
        <v>2100.0</v>
      </c>
      <c r="C345" s="706">
        <v>210.0</v>
      </c>
      <c r="D345" s="706">
        <v>140.0</v>
      </c>
      <c r="E345" s="707">
        <v>175.0</v>
      </c>
    </row>
    <row r="346">
      <c r="A346" s="159"/>
      <c r="E346" s="160"/>
    </row>
    <row r="347">
      <c r="A347" s="683" t="s">
        <v>2830</v>
      </c>
      <c r="B347" s="684"/>
      <c r="C347" s="684"/>
      <c r="D347" s="684"/>
      <c r="E347" s="685"/>
    </row>
    <row r="348">
      <c r="A348" s="691" t="s">
        <v>2792</v>
      </c>
      <c r="B348" s="692">
        <f t="shared" ref="B348:E348" si="204">(B356-B355)/2</f>
        <v>130</v>
      </c>
      <c r="C348" s="692">
        <f t="shared" si="204"/>
        <v>15.5</v>
      </c>
      <c r="D348" s="692">
        <f t="shared" si="204"/>
        <v>10</v>
      </c>
      <c r="E348" s="693">
        <f t="shared" si="204"/>
        <v>14</v>
      </c>
    </row>
    <row r="349">
      <c r="A349" s="702" t="s">
        <v>2794</v>
      </c>
      <c r="B349" s="696">
        <f t="shared" ref="B349:E349" si="205">B350-B$348</f>
        <v>325</v>
      </c>
      <c r="C349" s="696">
        <f t="shared" si="205"/>
        <v>39</v>
      </c>
      <c r="D349" s="696">
        <f t="shared" si="205"/>
        <v>25</v>
      </c>
      <c r="E349" s="697">
        <f t="shared" si="205"/>
        <v>35</v>
      </c>
    </row>
    <row r="350">
      <c r="A350" s="702" t="s">
        <v>2795</v>
      </c>
      <c r="B350" s="696">
        <f t="shared" ref="B350:E350" si="206">B351-B$348</f>
        <v>455</v>
      </c>
      <c r="C350" s="696">
        <f t="shared" si="206"/>
        <v>54.5</v>
      </c>
      <c r="D350" s="696">
        <f t="shared" si="206"/>
        <v>35</v>
      </c>
      <c r="E350" s="697">
        <f t="shared" si="206"/>
        <v>49</v>
      </c>
    </row>
    <row r="351">
      <c r="A351" s="702" t="s">
        <v>2796</v>
      </c>
      <c r="B351" s="696">
        <f t="shared" ref="B351:E351" si="207">B352-B$348</f>
        <v>585</v>
      </c>
      <c r="C351" s="696">
        <f t="shared" si="207"/>
        <v>70</v>
      </c>
      <c r="D351" s="696">
        <f t="shared" si="207"/>
        <v>45</v>
      </c>
      <c r="E351" s="697">
        <f t="shared" si="207"/>
        <v>63</v>
      </c>
    </row>
    <row r="352">
      <c r="A352" s="702" t="s">
        <v>2797</v>
      </c>
      <c r="B352" s="696">
        <f t="shared" ref="B352:E352" si="208">B353-B$348</f>
        <v>715</v>
      </c>
      <c r="C352" s="696">
        <f t="shared" si="208"/>
        <v>85.5</v>
      </c>
      <c r="D352" s="696">
        <f t="shared" si="208"/>
        <v>55</v>
      </c>
      <c r="E352" s="697">
        <f t="shared" si="208"/>
        <v>77</v>
      </c>
    </row>
    <row r="353">
      <c r="A353" s="702" t="s">
        <v>2798</v>
      </c>
      <c r="B353" s="696">
        <f t="shared" ref="B353:E353" si="209">B354-B$348</f>
        <v>845</v>
      </c>
      <c r="C353" s="696">
        <f t="shared" si="209"/>
        <v>101</v>
      </c>
      <c r="D353" s="696">
        <f t="shared" si="209"/>
        <v>65</v>
      </c>
      <c r="E353" s="697">
        <f t="shared" si="209"/>
        <v>91</v>
      </c>
    </row>
    <row r="354">
      <c r="A354" s="702" t="s">
        <v>2799</v>
      </c>
      <c r="B354" s="696">
        <f t="shared" ref="B354:E354" si="210">B355-B$348</f>
        <v>975</v>
      </c>
      <c r="C354" s="696">
        <f t="shared" si="210"/>
        <v>116.5</v>
      </c>
      <c r="D354" s="696">
        <f t="shared" si="210"/>
        <v>75</v>
      </c>
      <c r="E354" s="697">
        <f t="shared" si="210"/>
        <v>105</v>
      </c>
    </row>
    <row r="355">
      <c r="A355" s="702" t="s">
        <v>2800</v>
      </c>
      <c r="B355" s="696">
        <v>1105.0</v>
      </c>
      <c r="C355" s="696">
        <v>132.0</v>
      </c>
      <c r="D355" s="696">
        <v>85.0</v>
      </c>
      <c r="E355" s="697">
        <v>119.0</v>
      </c>
    </row>
    <row r="356">
      <c r="A356" s="702" t="s">
        <v>2801</v>
      </c>
      <c r="B356" s="696">
        <v>1365.0</v>
      </c>
      <c r="C356" s="696">
        <v>163.0</v>
      </c>
      <c r="D356" s="696">
        <v>105.0</v>
      </c>
      <c r="E356" s="697">
        <v>147.0</v>
      </c>
    </row>
    <row r="357">
      <c r="A357" s="705" t="s">
        <v>2802</v>
      </c>
      <c r="B357" s="706">
        <v>1820.0</v>
      </c>
      <c r="C357" s="706">
        <v>217.0</v>
      </c>
      <c r="D357" s="706">
        <v>140.0</v>
      </c>
      <c r="E357" s="707">
        <v>196.0</v>
      </c>
    </row>
    <row r="358">
      <c r="A358" s="159"/>
      <c r="E358" s="160"/>
    </row>
    <row r="359">
      <c r="A359" s="683" t="s">
        <v>2831</v>
      </c>
      <c r="B359" s="684"/>
      <c r="C359" s="684"/>
      <c r="D359" s="684"/>
      <c r="E359" s="685"/>
    </row>
    <row r="360">
      <c r="A360" s="691" t="s">
        <v>2792</v>
      </c>
      <c r="B360" s="692">
        <f t="shared" ref="B360:E360" si="211">(B368-B367)/2</f>
        <v>100</v>
      </c>
      <c r="C360" s="692">
        <f t="shared" si="211"/>
        <v>17.5</v>
      </c>
      <c r="D360" s="692">
        <f t="shared" si="211"/>
        <v>10</v>
      </c>
      <c r="E360" s="693">
        <f t="shared" si="211"/>
        <v>15</v>
      </c>
    </row>
    <row r="361">
      <c r="A361" s="702" t="s">
        <v>2794</v>
      </c>
      <c r="B361" s="696">
        <f t="shared" ref="B361:E361" si="212">B362-B$360</f>
        <v>250</v>
      </c>
      <c r="C361" s="696">
        <f t="shared" si="212"/>
        <v>44</v>
      </c>
      <c r="D361" s="696">
        <f t="shared" si="212"/>
        <v>25</v>
      </c>
      <c r="E361" s="697">
        <f t="shared" si="212"/>
        <v>38</v>
      </c>
    </row>
    <row r="362">
      <c r="A362" s="702" t="s">
        <v>2795</v>
      </c>
      <c r="B362" s="696">
        <f t="shared" ref="B362:E362" si="213">B363-B$360</f>
        <v>350</v>
      </c>
      <c r="C362" s="696">
        <f t="shared" si="213"/>
        <v>61.5</v>
      </c>
      <c r="D362" s="696">
        <f t="shared" si="213"/>
        <v>35</v>
      </c>
      <c r="E362" s="697">
        <f t="shared" si="213"/>
        <v>53</v>
      </c>
    </row>
    <row r="363">
      <c r="A363" s="702" t="s">
        <v>2796</v>
      </c>
      <c r="B363" s="696">
        <f t="shared" ref="B363:E363" si="214">B364-B$360</f>
        <v>450</v>
      </c>
      <c r="C363" s="696">
        <f t="shared" si="214"/>
        <v>79</v>
      </c>
      <c r="D363" s="696">
        <f t="shared" si="214"/>
        <v>45</v>
      </c>
      <c r="E363" s="697">
        <f t="shared" si="214"/>
        <v>68</v>
      </c>
    </row>
    <row r="364">
      <c r="A364" s="702" t="s">
        <v>2797</v>
      </c>
      <c r="B364" s="696">
        <f t="shared" ref="B364:E364" si="215">B365-B$360</f>
        <v>550</v>
      </c>
      <c r="C364" s="696">
        <f t="shared" si="215"/>
        <v>96.5</v>
      </c>
      <c r="D364" s="696">
        <f t="shared" si="215"/>
        <v>55</v>
      </c>
      <c r="E364" s="697">
        <f t="shared" si="215"/>
        <v>83</v>
      </c>
    </row>
    <row r="365">
      <c r="A365" s="702" t="s">
        <v>2798</v>
      </c>
      <c r="B365" s="696">
        <f t="shared" ref="B365:E365" si="216">B366-B$360</f>
        <v>650</v>
      </c>
      <c r="C365" s="696">
        <f t="shared" si="216"/>
        <v>114</v>
      </c>
      <c r="D365" s="696">
        <f t="shared" si="216"/>
        <v>65</v>
      </c>
      <c r="E365" s="697">
        <f t="shared" si="216"/>
        <v>98</v>
      </c>
    </row>
    <row r="366">
      <c r="A366" s="702" t="s">
        <v>2799</v>
      </c>
      <c r="B366" s="696">
        <f t="shared" ref="B366:E366" si="217">B367-B$360</f>
        <v>750</v>
      </c>
      <c r="C366" s="696">
        <f t="shared" si="217"/>
        <v>131.5</v>
      </c>
      <c r="D366" s="696">
        <f t="shared" si="217"/>
        <v>75</v>
      </c>
      <c r="E366" s="697">
        <f t="shared" si="217"/>
        <v>113</v>
      </c>
    </row>
    <row r="367">
      <c r="A367" s="702" t="s">
        <v>2800</v>
      </c>
      <c r="B367" s="696">
        <v>850.0</v>
      </c>
      <c r="C367" s="696">
        <v>149.0</v>
      </c>
      <c r="D367" s="696">
        <v>85.0</v>
      </c>
      <c r="E367" s="697">
        <v>128.0</v>
      </c>
    </row>
    <row r="368">
      <c r="A368" s="702" t="s">
        <v>2801</v>
      </c>
      <c r="B368" s="696">
        <v>1050.0</v>
      </c>
      <c r="C368" s="696">
        <v>184.0</v>
      </c>
      <c r="D368" s="696">
        <v>105.0</v>
      </c>
      <c r="E368" s="697">
        <v>158.0</v>
      </c>
    </row>
    <row r="369">
      <c r="A369" s="705" t="s">
        <v>2802</v>
      </c>
      <c r="B369" s="706">
        <v>1400.0</v>
      </c>
      <c r="C369" s="706">
        <v>245.0</v>
      </c>
      <c r="D369" s="706">
        <v>140.0</v>
      </c>
      <c r="E369" s="707">
        <v>210.0</v>
      </c>
    </row>
    <row r="370">
      <c r="A370" s="159"/>
      <c r="E370" s="160"/>
    </row>
    <row r="371">
      <c r="A371" s="683" t="s">
        <v>2832</v>
      </c>
      <c r="B371" s="684"/>
      <c r="C371" s="684"/>
      <c r="D371" s="684"/>
      <c r="E371" s="685"/>
    </row>
    <row r="372">
      <c r="A372" s="691" t="s">
        <v>2792</v>
      </c>
      <c r="B372" s="692">
        <f t="shared" ref="B372:E372" si="218">(B380-B379)/2</f>
        <v>100</v>
      </c>
      <c r="C372" s="692">
        <f t="shared" si="218"/>
        <v>18</v>
      </c>
      <c r="D372" s="692">
        <f t="shared" si="218"/>
        <v>8.5</v>
      </c>
      <c r="E372" s="693">
        <f t="shared" si="218"/>
        <v>16</v>
      </c>
    </row>
    <row r="373">
      <c r="A373" s="702" t="s">
        <v>2794</v>
      </c>
      <c r="B373" s="696">
        <v>250.0</v>
      </c>
      <c r="C373" s="696">
        <v>45.0</v>
      </c>
      <c r="D373" s="696">
        <v>21.0</v>
      </c>
      <c r="E373" s="697">
        <v>40.0</v>
      </c>
    </row>
    <row r="374">
      <c r="A374" s="702" t="s">
        <v>2795</v>
      </c>
      <c r="B374" s="696">
        <v>350.0</v>
      </c>
      <c r="C374" s="696">
        <v>63.0</v>
      </c>
      <c r="D374" s="696">
        <v>30.0</v>
      </c>
      <c r="E374" s="697">
        <v>56.0</v>
      </c>
    </row>
    <row r="375">
      <c r="A375" s="702" t="s">
        <v>2796</v>
      </c>
      <c r="B375" s="696">
        <v>450.0</v>
      </c>
      <c r="C375" s="696">
        <v>81.0</v>
      </c>
      <c r="D375" s="696">
        <v>38.0</v>
      </c>
      <c r="E375" s="697">
        <v>72.0</v>
      </c>
    </row>
    <row r="376">
      <c r="A376" s="702" t="s">
        <v>2797</v>
      </c>
      <c r="B376" s="696">
        <v>550.0</v>
      </c>
      <c r="C376" s="696">
        <v>99.0</v>
      </c>
      <c r="D376" s="696">
        <v>47.0</v>
      </c>
      <c r="E376" s="697">
        <v>88.0</v>
      </c>
    </row>
    <row r="377">
      <c r="A377" s="702" t="s">
        <v>2798</v>
      </c>
      <c r="B377" s="696">
        <v>650.0</v>
      </c>
      <c r="C377" s="696">
        <v>117.0</v>
      </c>
      <c r="D377" s="696">
        <v>55.0</v>
      </c>
      <c r="E377" s="697">
        <v>104.0</v>
      </c>
    </row>
    <row r="378">
      <c r="A378" s="702" t="s">
        <v>2799</v>
      </c>
      <c r="B378" s="696">
        <v>750.0</v>
      </c>
      <c r="C378" s="696">
        <v>135.0</v>
      </c>
      <c r="D378" s="696">
        <v>64.0</v>
      </c>
      <c r="E378" s="697">
        <v>120.0</v>
      </c>
    </row>
    <row r="379">
      <c r="A379" s="702" t="s">
        <v>2800</v>
      </c>
      <c r="B379" s="696">
        <v>850.0</v>
      </c>
      <c r="C379" s="696">
        <v>153.0</v>
      </c>
      <c r="D379" s="696">
        <v>72.0</v>
      </c>
      <c r="E379" s="697">
        <v>136.0</v>
      </c>
    </row>
    <row r="380">
      <c r="A380" s="702" t="s">
        <v>2801</v>
      </c>
      <c r="B380" s="696">
        <v>1050.0</v>
      </c>
      <c r="C380" s="696">
        <v>189.0</v>
      </c>
      <c r="D380" s="696">
        <v>89.0</v>
      </c>
      <c r="E380" s="697">
        <v>168.0</v>
      </c>
    </row>
    <row r="381">
      <c r="A381" s="705" t="s">
        <v>2802</v>
      </c>
      <c r="B381" s="706">
        <v>1400.0</v>
      </c>
      <c r="C381" s="706">
        <v>252.0</v>
      </c>
      <c r="D381" s="706">
        <v>119.0</v>
      </c>
      <c r="E381" s="707">
        <v>224.0</v>
      </c>
    </row>
  </sheetData>
  <mergeCells count="2">
    <mergeCell ref="H3:J3"/>
    <mergeCell ref="L3:N3"/>
  </mergeCells>
  <drawing r:id="rId1"/>
  <tableParts count="30"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1.27"/>
    <col customWidth="1" min="2" max="2" width="11.36"/>
  </cols>
  <sheetData>
    <row r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>
      <c r="C2" s="781"/>
      <c r="D2" s="781"/>
      <c r="E2" s="781"/>
      <c r="F2" s="781"/>
      <c r="G2" s="781"/>
      <c r="H2" s="781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A3" s="782" t="s">
        <v>2833</v>
      </c>
      <c r="B3" s="783" t="s">
        <v>2834</v>
      </c>
      <c r="C3" s="784"/>
      <c r="D3" s="785"/>
      <c r="E3" s="784"/>
      <c r="F3" s="784"/>
      <c r="G3" s="786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A4" s="782" t="s">
        <v>2835</v>
      </c>
      <c r="B4" s="787" t="str">
        <f>VLOOKUP($B$3,$A$23:$H$51,8, FALSE)</f>
        <v>Angel</v>
      </c>
      <c r="C4" s="134"/>
      <c r="D4" s="134"/>
      <c r="E4" s="134"/>
      <c r="F4" s="134"/>
      <c r="G4" s="149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A5" s="788"/>
      <c r="B5" s="134"/>
      <c r="C5" s="134"/>
      <c r="D5" s="134"/>
      <c r="E5" s="134"/>
      <c r="F5" s="134"/>
      <c r="G5" s="149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>
      <c r="A6" s="787"/>
      <c r="B6" s="782" t="s">
        <v>445</v>
      </c>
      <c r="C6" s="782" t="s">
        <v>446</v>
      </c>
      <c r="D6" s="782" t="s">
        <v>447</v>
      </c>
      <c r="E6" s="782" t="s">
        <v>448</v>
      </c>
      <c r="F6" s="782" t="s">
        <v>449</v>
      </c>
      <c r="G6" s="782" t="s">
        <v>450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>
      <c r="A7" s="782" t="s">
        <v>2836</v>
      </c>
      <c r="B7" s="789">
        <f>VLOOKUP($B$3,$A$23:$H$51,2,FALSE)</f>
        <v>22</v>
      </c>
      <c r="C7" s="789">
        <f>VLOOKUP($B$3,$A$23:$H$51,3,FALSE)</f>
        <v>36</v>
      </c>
      <c r="D7" s="789">
        <f>VLOOKUP($B$3,$A$23:$H$51,4,FALSE)</f>
        <v>75</v>
      </c>
      <c r="E7" s="789">
        <f>VLOOKUP($B$3,$A$23:$H$51,5,FALSE)</f>
        <v>19</v>
      </c>
      <c r="F7" s="789">
        <f>VLOOKUP($B$3,$A$23:$H$51,6,FALSE)</f>
        <v>25</v>
      </c>
      <c r="G7" s="789">
        <f>VLOOKUP($B$3,$A$23:$H$51,7,FALSE)</f>
        <v>23</v>
      </c>
      <c r="H7" s="263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>
      <c r="A8" s="782" t="s">
        <v>2837</v>
      </c>
      <c r="B8" s="790">
        <v>93.0</v>
      </c>
      <c r="C8" s="790">
        <v>93.0</v>
      </c>
      <c r="D8" s="790">
        <v>95.0</v>
      </c>
      <c r="E8" s="790">
        <v>93.0</v>
      </c>
      <c r="F8" s="790">
        <v>93.0</v>
      </c>
      <c r="G8" s="790">
        <v>93.0</v>
      </c>
      <c r="H8" s="263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>
      <c r="A9" s="782" t="s">
        <v>2838</v>
      </c>
      <c r="B9" s="789">
        <f t="shared" ref="B9:G9" si="1">IF(B8&lt;=B7,0,SUM(OFFSET($B$75,B7+1,0,B8-B7))*IF(B6=$B$4,0.5,1))</f>
        <v>1654</v>
      </c>
      <c r="C9" s="789">
        <f t="shared" si="1"/>
        <v>1606</v>
      </c>
      <c r="D9" s="789">
        <f t="shared" si="1"/>
        <v>600</v>
      </c>
      <c r="E9" s="789">
        <f t="shared" si="1"/>
        <v>1662</v>
      </c>
      <c r="F9" s="789">
        <f t="shared" si="1"/>
        <v>1645</v>
      </c>
      <c r="G9" s="789">
        <f t="shared" si="1"/>
        <v>1651</v>
      </c>
      <c r="H9" s="263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>
      <c r="A10" s="788"/>
      <c r="B10" s="791"/>
      <c r="C10" s="134"/>
      <c r="D10" s="134"/>
      <c r="E10" s="134"/>
      <c r="F10" s="134"/>
      <c r="G10" s="149"/>
      <c r="H10" s="263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>
      <c r="A11" s="792" t="s">
        <v>1368</v>
      </c>
      <c r="B11" s="793" t="b">
        <v>0</v>
      </c>
      <c r="C11" s="134"/>
      <c r="D11" s="134"/>
      <c r="E11" s="134"/>
      <c r="F11" s="134"/>
      <c r="G11" s="149"/>
      <c r="H11" s="263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>
      <c r="A12" s="792" t="s">
        <v>2839</v>
      </c>
      <c r="B12" s="794">
        <f>VLOOKUP(SUM(B8:G8)+IF(B11,10,0),D76:E105,2, TRUE)</f>
        <v>28</v>
      </c>
      <c r="C12" s="795"/>
      <c r="D12" s="795"/>
      <c r="E12" s="795"/>
      <c r="F12" s="795"/>
      <c r="G12" s="796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>
      <c r="A22" s="797" t="s">
        <v>2833</v>
      </c>
      <c r="B22" s="797" t="s">
        <v>445</v>
      </c>
      <c r="C22" s="797" t="s">
        <v>446</v>
      </c>
      <c r="D22" s="797" t="s">
        <v>447</v>
      </c>
      <c r="E22" s="797" t="s">
        <v>448</v>
      </c>
      <c r="F22" s="797" t="s">
        <v>449</v>
      </c>
      <c r="G22" s="797" t="s">
        <v>450</v>
      </c>
      <c r="H22" s="797" t="s">
        <v>2835</v>
      </c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>
      <c r="A23" s="798" t="s">
        <v>2840</v>
      </c>
      <c r="B23" s="798">
        <v>43.0</v>
      </c>
      <c r="C23" s="798">
        <v>32.0</v>
      </c>
      <c r="D23" s="798">
        <v>70.0</v>
      </c>
      <c r="E23" s="798">
        <v>19.0</v>
      </c>
      <c r="F23" s="798">
        <v>11.0</v>
      </c>
      <c r="G23" s="798">
        <v>25.0</v>
      </c>
      <c r="H23" s="798" t="s">
        <v>447</v>
      </c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>
      <c r="A24" s="798" t="s">
        <v>1730</v>
      </c>
      <c r="B24" s="798">
        <v>16.0</v>
      </c>
      <c r="C24" s="798">
        <v>18.0</v>
      </c>
      <c r="D24" s="798">
        <v>76.0</v>
      </c>
      <c r="E24" s="798">
        <v>38.0</v>
      </c>
      <c r="F24" s="798">
        <v>22.0</v>
      </c>
      <c r="G24" s="798">
        <v>30.0</v>
      </c>
      <c r="H24" s="798" t="s">
        <v>447</v>
      </c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>
      <c r="A25" s="798" t="s">
        <v>2841</v>
      </c>
      <c r="B25" s="798">
        <v>12.0</v>
      </c>
      <c r="C25" s="798">
        <v>20.0</v>
      </c>
      <c r="D25" s="798">
        <v>73.0</v>
      </c>
      <c r="E25" s="798">
        <v>42.0</v>
      </c>
      <c r="F25" s="798">
        <v>22.0</v>
      </c>
      <c r="G25" s="798">
        <v>31.0</v>
      </c>
      <c r="H25" s="798" t="s">
        <v>447</v>
      </c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>
      <c r="A26" s="798" t="s">
        <v>2842</v>
      </c>
      <c r="B26" s="798">
        <v>8.0</v>
      </c>
      <c r="C26" s="798">
        <v>25.0</v>
      </c>
      <c r="D26" s="798">
        <v>71.0</v>
      </c>
      <c r="E26" s="798">
        <v>16.0</v>
      </c>
      <c r="F26" s="798">
        <v>55.0</v>
      </c>
      <c r="G26" s="798">
        <v>25.0</v>
      </c>
      <c r="H26" s="798" t="s">
        <v>447</v>
      </c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>
      <c r="A27" s="783" t="s">
        <v>2834</v>
      </c>
      <c r="B27" s="783">
        <v>22.0</v>
      </c>
      <c r="C27" s="783">
        <v>36.0</v>
      </c>
      <c r="D27" s="783">
        <v>75.0</v>
      </c>
      <c r="E27" s="783">
        <v>19.0</v>
      </c>
      <c r="F27" s="783">
        <v>25.0</v>
      </c>
      <c r="G27" s="783">
        <v>23.0</v>
      </c>
      <c r="H27" s="783" t="s">
        <v>447</v>
      </c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>
      <c r="A28" s="799" t="s">
        <v>2843</v>
      </c>
      <c r="B28" s="799">
        <v>70.0</v>
      </c>
      <c r="C28" s="799">
        <v>45.0</v>
      </c>
      <c r="D28" s="799">
        <v>8.0</v>
      </c>
      <c r="E28" s="799">
        <v>18.0</v>
      </c>
      <c r="F28" s="799">
        <v>29.0</v>
      </c>
      <c r="G28" s="799">
        <v>30.0</v>
      </c>
      <c r="H28" s="799" t="s">
        <v>445</v>
      </c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>
      <c r="A29" s="799" t="s">
        <v>2844</v>
      </c>
      <c r="B29" s="799">
        <v>73.0</v>
      </c>
      <c r="C29" s="799">
        <v>20.0</v>
      </c>
      <c r="D29" s="799">
        <v>12.0</v>
      </c>
      <c r="E29" s="799">
        <v>22.0</v>
      </c>
      <c r="F29" s="799">
        <v>42.0</v>
      </c>
      <c r="G29" s="799">
        <v>31.0</v>
      </c>
      <c r="H29" s="799" t="s">
        <v>445</v>
      </c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>
      <c r="A30" s="799" t="s">
        <v>2845</v>
      </c>
      <c r="B30" s="799">
        <v>71.0</v>
      </c>
      <c r="C30" s="799">
        <v>12.0</v>
      </c>
      <c r="D30" s="799">
        <v>43.0</v>
      </c>
      <c r="E30" s="799">
        <v>32.0</v>
      </c>
      <c r="F30" s="799">
        <v>25.0</v>
      </c>
      <c r="G30" s="799">
        <v>17.0</v>
      </c>
      <c r="H30" s="799" t="s">
        <v>445</v>
      </c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>
      <c r="A31" s="799" t="s">
        <v>2846</v>
      </c>
      <c r="B31" s="799">
        <v>71.0</v>
      </c>
      <c r="C31" s="799">
        <v>14.0</v>
      </c>
      <c r="D31" s="799">
        <v>41.0</v>
      </c>
      <c r="E31" s="799">
        <v>30.0</v>
      </c>
      <c r="F31" s="799">
        <v>25.0</v>
      </c>
      <c r="G31" s="799">
        <v>19.0</v>
      </c>
      <c r="H31" s="799" t="s">
        <v>445</v>
      </c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>
      <c r="A32" s="800" t="s">
        <v>2847</v>
      </c>
      <c r="B32" s="800">
        <v>76.0</v>
      </c>
      <c r="C32" s="800">
        <v>32.0</v>
      </c>
      <c r="D32" s="800">
        <v>27.0</v>
      </c>
      <c r="E32" s="800">
        <v>43.0</v>
      </c>
      <c r="F32" s="800">
        <v>18.0</v>
      </c>
      <c r="G32" s="800">
        <v>4.0</v>
      </c>
      <c r="H32" s="800" t="s">
        <v>445</v>
      </c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>
      <c r="A33" s="801" t="s">
        <v>2848</v>
      </c>
      <c r="B33" s="801">
        <v>22.0</v>
      </c>
      <c r="C33" s="801">
        <v>71.0</v>
      </c>
      <c r="D33" s="801">
        <v>32.0</v>
      </c>
      <c r="E33" s="801">
        <v>42.0</v>
      </c>
      <c r="F33" s="801">
        <v>14.0</v>
      </c>
      <c r="G33" s="801">
        <v>19.0</v>
      </c>
      <c r="H33" s="801" t="s">
        <v>446</v>
      </c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>
      <c r="A34" s="801" t="s">
        <v>2849</v>
      </c>
      <c r="B34" s="801">
        <v>8.0</v>
      </c>
      <c r="C34" s="801">
        <v>70.0</v>
      </c>
      <c r="D34" s="801">
        <v>47.0</v>
      </c>
      <c r="E34" s="801">
        <v>24.0</v>
      </c>
      <c r="F34" s="801">
        <v>26.0</v>
      </c>
      <c r="G34" s="801">
        <v>25.0</v>
      </c>
      <c r="H34" s="801" t="s">
        <v>446</v>
      </c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>
      <c r="A35" s="801" t="s">
        <v>2850</v>
      </c>
      <c r="B35" s="801">
        <v>11.0</v>
      </c>
      <c r="C35" s="801">
        <v>72.0</v>
      </c>
      <c r="D35" s="801">
        <v>45.0</v>
      </c>
      <c r="E35" s="801">
        <v>25.0</v>
      </c>
      <c r="F35" s="801">
        <v>23.0</v>
      </c>
      <c r="G35" s="801">
        <v>24.0</v>
      </c>
      <c r="H35" s="801" t="s">
        <v>446</v>
      </c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>
      <c r="A36" s="801" t="s">
        <v>2851</v>
      </c>
      <c r="B36" s="801">
        <v>25.0</v>
      </c>
      <c r="C36" s="801">
        <v>71.0</v>
      </c>
      <c r="D36" s="801">
        <v>17.0</v>
      </c>
      <c r="E36" s="801">
        <v>40.0</v>
      </c>
      <c r="F36" s="801">
        <v>30.0</v>
      </c>
      <c r="G36" s="801">
        <v>16.0</v>
      </c>
      <c r="H36" s="801" t="s">
        <v>446</v>
      </c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>
      <c r="A37" s="802" t="s">
        <v>2852</v>
      </c>
      <c r="B37" s="802">
        <v>47.0</v>
      </c>
      <c r="C37" s="802">
        <v>76.0</v>
      </c>
      <c r="D37" s="802">
        <v>26.0</v>
      </c>
      <c r="E37" s="802">
        <v>23.0</v>
      </c>
      <c r="F37" s="802">
        <v>4.0</v>
      </c>
      <c r="G37" s="802">
        <v>25.0</v>
      </c>
      <c r="H37" s="802" t="s">
        <v>446</v>
      </c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>
      <c r="A38" s="803" t="s">
        <v>2853</v>
      </c>
      <c r="B38" s="803">
        <v>31.0</v>
      </c>
      <c r="C38" s="803">
        <v>35.0</v>
      </c>
      <c r="D38" s="803">
        <v>17.0</v>
      </c>
      <c r="E38" s="803">
        <v>71.0</v>
      </c>
      <c r="F38" s="803">
        <v>35.0</v>
      </c>
      <c r="G38" s="803">
        <v>11.0</v>
      </c>
      <c r="H38" s="803" t="s">
        <v>448</v>
      </c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>
      <c r="A39" s="803" t="s">
        <v>2854</v>
      </c>
      <c r="B39" s="803">
        <v>43.0</v>
      </c>
      <c r="C39" s="803">
        <v>32.0</v>
      </c>
      <c r="D39" s="803">
        <v>29.0</v>
      </c>
      <c r="E39" s="803">
        <v>71.0</v>
      </c>
      <c r="F39" s="803">
        <v>11.0</v>
      </c>
      <c r="G39" s="803">
        <v>15.0</v>
      </c>
      <c r="H39" s="803" t="s">
        <v>448</v>
      </c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>
      <c r="A40" s="803" t="s">
        <v>2855</v>
      </c>
      <c r="B40" s="803">
        <v>34.0</v>
      </c>
      <c r="C40" s="803">
        <v>30.0</v>
      </c>
      <c r="D40" s="803">
        <v>29.0</v>
      </c>
      <c r="E40" s="803">
        <v>71.0</v>
      </c>
      <c r="F40" s="803">
        <v>16.0</v>
      </c>
      <c r="G40" s="803">
        <v>20.0</v>
      </c>
      <c r="H40" s="803" t="s">
        <v>448</v>
      </c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>
      <c r="A41" s="803" t="s">
        <v>2856</v>
      </c>
      <c r="B41" s="803">
        <v>31.0</v>
      </c>
      <c r="C41" s="803">
        <v>32.0</v>
      </c>
      <c r="D41" s="803">
        <v>17.0</v>
      </c>
      <c r="E41" s="803">
        <v>74.0</v>
      </c>
      <c r="F41" s="803">
        <v>33.0</v>
      </c>
      <c r="G41" s="803">
        <v>13.0</v>
      </c>
      <c r="H41" s="803" t="s">
        <v>448</v>
      </c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>
      <c r="A42" s="804" t="s">
        <v>2822</v>
      </c>
      <c r="B42" s="804">
        <v>28.0</v>
      </c>
      <c r="C42" s="804">
        <v>45.0</v>
      </c>
      <c r="D42" s="804">
        <v>23.0</v>
      </c>
      <c r="E42" s="804">
        <v>75.0</v>
      </c>
      <c r="F42" s="804">
        <v>9.0</v>
      </c>
      <c r="G42" s="804">
        <v>20.0</v>
      </c>
      <c r="H42" s="804" t="s">
        <v>448</v>
      </c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>
      <c r="A43" s="782" t="s">
        <v>2857</v>
      </c>
      <c r="B43" s="782">
        <v>17.0</v>
      </c>
      <c r="C43" s="782">
        <v>30.0</v>
      </c>
      <c r="D43" s="782">
        <v>28.0</v>
      </c>
      <c r="E43" s="782">
        <v>34.0</v>
      </c>
      <c r="F43" s="782">
        <v>71.0</v>
      </c>
      <c r="G43" s="782">
        <v>20.0</v>
      </c>
      <c r="H43" s="782" t="s">
        <v>449</v>
      </c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>
      <c r="A44" s="782" t="s">
        <v>2858</v>
      </c>
      <c r="B44" s="782">
        <v>16.0</v>
      </c>
      <c r="C44" s="782">
        <v>40.0</v>
      </c>
      <c r="D44" s="782">
        <v>19.0</v>
      </c>
      <c r="E44" s="782">
        <v>24.0</v>
      </c>
      <c r="F44" s="782">
        <v>73.0</v>
      </c>
      <c r="G44" s="782">
        <v>28.0</v>
      </c>
      <c r="H44" s="782" t="s">
        <v>449</v>
      </c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>
      <c r="A45" s="782" t="s">
        <v>2859</v>
      </c>
      <c r="B45" s="782">
        <v>30.0</v>
      </c>
      <c r="C45" s="782">
        <v>25.0</v>
      </c>
      <c r="D45" s="782">
        <v>21.0</v>
      </c>
      <c r="E45" s="782">
        <v>18.0</v>
      </c>
      <c r="F45" s="782">
        <v>71.0</v>
      </c>
      <c r="G45" s="782">
        <v>35.0</v>
      </c>
      <c r="H45" s="782" t="s">
        <v>449</v>
      </c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>
      <c r="A46" s="782" t="s">
        <v>2826</v>
      </c>
      <c r="B46" s="782">
        <v>40.0</v>
      </c>
      <c r="C46" s="782">
        <v>25.0</v>
      </c>
      <c r="D46" s="782">
        <v>16.0</v>
      </c>
      <c r="E46" s="782">
        <v>17.0</v>
      </c>
      <c r="F46" s="782">
        <v>71.0</v>
      </c>
      <c r="G46" s="782">
        <v>31.0</v>
      </c>
      <c r="H46" s="782" t="s">
        <v>449</v>
      </c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>
      <c r="A47" s="805" t="s">
        <v>2860</v>
      </c>
      <c r="B47" s="805">
        <v>35.0</v>
      </c>
      <c r="C47" s="805">
        <v>32.0</v>
      </c>
      <c r="D47" s="805">
        <v>2.0</v>
      </c>
      <c r="E47" s="805">
        <v>29.0</v>
      </c>
      <c r="F47" s="805">
        <v>32.0</v>
      </c>
      <c r="G47" s="805">
        <v>70.0</v>
      </c>
      <c r="H47" s="805" t="s">
        <v>450</v>
      </c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>
      <c r="A48" s="805" t="s">
        <v>2861</v>
      </c>
      <c r="B48" s="805">
        <v>35.0</v>
      </c>
      <c r="C48" s="805">
        <v>30.0</v>
      </c>
      <c r="D48" s="805">
        <v>8.0</v>
      </c>
      <c r="E48" s="805">
        <v>25.0</v>
      </c>
      <c r="F48" s="805">
        <v>30.0</v>
      </c>
      <c r="G48" s="805">
        <v>72.0</v>
      </c>
      <c r="H48" s="805" t="s">
        <v>450</v>
      </c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>
      <c r="A49" s="805" t="s">
        <v>2862</v>
      </c>
      <c r="B49" s="805">
        <v>17.0</v>
      </c>
      <c r="C49" s="805">
        <v>31.0</v>
      </c>
      <c r="D49" s="805">
        <v>29.0</v>
      </c>
      <c r="E49" s="805">
        <v>34.0</v>
      </c>
      <c r="F49" s="805">
        <v>16.0</v>
      </c>
      <c r="G49" s="805">
        <v>73.0</v>
      </c>
      <c r="H49" s="805" t="s">
        <v>450</v>
      </c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>
      <c r="A50" s="805" t="s">
        <v>2863</v>
      </c>
      <c r="B50" s="805">
        <v>10.0</v>
      </c>
      <c r="C50" s="805">
        <v>41.0</v>
      </c>
      <c r="D50" s="805">
        <v>12.0</v>
      </c>
      <c r="E50" s="805">
        <v>22.0</v>
      </c>
      <c r="F50" s="805">
        <v>46.0</v>
      </c>
      <c r="G50" s="805">
        <v>71.0</v>
      </c>
      <c r="H50" s="805" t="s">
        <v>450</v>
      </c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>
      <c r="A51" s="806" t="s">
        <v>2864</v>
      </c>
      <c r="B51" s="806">
        <v>33.0</v>
      </c>
      <c r="C51" s="806">
        <v>20.0</v>
      </c>
      <c r="D51" s="806">
        <v>18.0</v>
      </c>
      <c r="E51" s="806">
        <v>26.0</v>
      </c>
      <c r="F51" s="806">
        <v>27.0</v>
      </c>
      <c r="G51" s="806">
        <v>76.0</v>
      </c>
      <c r="H51" s="805" t="s">
        <v>450</v>
      </c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>
      <c r="A75" s="807" t="s">
        <v>2865</v>
      </c>
      <c r="B75" s="807" t="s">
        <v>2838</v>
      </c>
      <c r="C75" s="134"/>
      <c r="D75" s="808" t="s">
        <v>2866</v>
      </c>
      <c r="E75" s="808" t="s">
        <v>2839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>
      <c r="A76" s="809">
        <v>1.0</v>
      </c>
      <c r="B76" s="809">
        <v>1.0</v>
      </c>
      <c r="C76" s="134"/>
      <c r="D76" s="808">
        <v>0.0</v>
      </c>
      <c r="E76" s="808">
        <v>1.0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>
      <c r="A77" s="809">
        <v>2.0</v>
      </c>
      <c r="B77" s="809">
        <v>1.0</v>
      </c>
      <c r="C77" s="134"/>
      <c r="D77" s="808">
        <v>180.0</v>
      </c>
      <c r="E77" s="808">
        <v>2.0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>
      <c r="A78" s="809">
        <v>3.0</v>
      </c>
      <c r="B78" s="809">
        <v>1.0</v>
      </c>
      <c r="C78" s="134"/>
      <c r="D78" s="808">
        <v>190.0</v>
      </c>
      <c r="E78" s="808">
        <v>3.0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>
      <c r="A79" s="809">
        <v>4.0</v>
      </c>
      <c r="B79" s="809">
        <v>1.0</v>
      </c>
      <c r="C79" s="134"/>
      <c r="D79" s="808">
        <v>200.0</v>
      </c>
      <c r="E79" s="808">
        <v>4.0</v>
      </c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>
      <c r="A80" s="809">
        <v>5.0</v>
      </c>
      <c r="B80" s="809">
        <v>1.0</v>
      </c>
      <c r="C80" s="134"/>
      <c r="D80" s="808">
        <v>210.0</v>
      </c>
      <c r="E80" s="808">
        <v>5.0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>
      <c r="A81" s="809">
        <v>6.0</v>
      </c>
      <c r="B81" s="809">
        <v>1.0</v>
      </c>
      <c r="C81" s="134"/>
      <c r="D81" s="808">
        <v>220.0</v>
      </c>
      <c r="E81" s="808">
        <v>6.0</v>
      </c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>
      <c r="A82" s="809">
        <v>7.0</v>
      </c>
      <c r="B82" s="809">
        <v>1.0</v>
      </c>
      <c r="C82" s="134"/>
      <c r="D82" s="808">
        <v>230.0</v>
      </c>
      <c r="E82" s="808">
        <v>7.0</v>
      </c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>
      <c r="A83" s="809">
        <v>8.0</v>
      </c>
      <c r="B83" s="809">
        <v>1.0</v>
      </c>
      <c r="C83" s="134"/>
      <c r="D83" s="808">
        <v>240.0</v>
      </c>
      <c r="E83" s="808">
        <v>8.0</v>
      </c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>
      <c r="A84" s="809">
        <v>9.0</v>
      </c>
      <c r="B84" s="809">
        <v>1.0</v>
      </c>
      <c r="C84" s="134"/>
      <c r="D84" s="808">
        <v>250.0</v>
      </c>
      <c r="E84" s="808">
        <v>9.0</v>
      </c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>
      <c r="A85" s="809">
        <v>10.0</v>
      </c>
      <c r="B85" s="809">
        <v>1.0</v>
      </c>
      <c r="C85" s="134"/>
      <c r="D85" s="808">
        <v>260.0</v>
      </c>
      <c r="E85" s="808">
        <v>10.0</v>
      </c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>
      <c r="A86" s="809">
        <v>11.0</v>
      </c>
      <c r="B86" s="809">
        <v>2.0</v>
      </c>
      <c r="C86" s="134"/>
      <c r="D86" s="808">
        <v>270.0</v>
      </c>
      <c r="E86" s="808">
        <v>11.0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>
      <c r="A87" s="809">
        <v>12.0</v>
      </c>
      <c r="B87" s="809">
        <v>2.0</v>
      </c>
      <c r="C87" s="134"/>
      <c r="D87" s="808">
        <v>285.0</v>
      </c>
      <c r="E87" s="808">
        <v>12.0</v>
      </c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>
      <c r="A88" s="809">
        <v>13.0</v>
      </c>
      <c r="B88" s="809">
        <v>2.0</v>
      </c>
      <c r="C88" s="134"/>
      <c r="D88" s="808">
        <v>300.0</v>
      </c>
      <c r="E88" s="808">
        <v>13.0</v>
      </c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>
      <c r="A89" s="809">
        <v>14.0</v>
      </c>
      <c r="B89" s="809">
        <v>2.0</v>
      </c>
      <c r="C89" s="134"/>
      <c r="D89" s="808">
        <v>315.0</v>
      </c>
      <c r="E89" s="808">
        <v>14.0</v>
      </c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>
      <c r="A90" s="809">
        <v>15.0</v>
      </c>
      <c r="B90" s="809">
        <v>2.0</v>
      </c>
      <c r="C90" s="134"/>
      <c r="D90" s="808">
        <v>330.0</v>
      </c>
      <c r="E90" s="808">
        <v>15.0</v>
      </c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>
      <c r="A91" s="809">
        <v>16.0</v>
      </c>
      <c r="B91" s="809">
        <v>2.0</v>
      </c>
      <c r="C91" s="134"/>
      <c r="D91" s="808">
        <v>345.0</v>
      </c>
      <c r="E91" s="808">
        <v>16.0</v>
      </c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>
      <c r="A92" s="809">
        <v>17.0</v>
      </c>
      <c r="B92" s="809">
        <v>2.0</v>
      </c>
      <c r="C92" s="134"/>
      <c r="D92" s="808">
        <v>360.0</v>
      </c>
      <c r="E92" s="808">
        <v>17.0</v>
      </c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>
      <c r="A93" s="809">
        <v>18.0</v>
      </c>
      <c r="B93" s="809">
        <v>2.0</v>
      </c>
      <c r="C93" s="134"/>
      <c r="D93" s="808">
        <v>375.0</v>
      </c>
      <c r="E93" s="808">
        <v>18.0</v>
      </c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>
      <c r="A94" s="809">
        <v>19.0</v>
      </c>
      <c r="B94" s="809">
        <v>2.0</v>
      </c>
      <c r="C94" s="134"/>
      <c r="D94" s="808">
        <v>390.0</v>
      </c>
      <c r="E94" s="808">
        <v>19.0</v>
      </c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>
      <c r="A95" s="809">
        <v>20.0</v>
      </c>
      <c r="B95" s="809">
        <v>2.0</v>
      </c>
      <c r="C95" s="134"/>
      <c r="D95" s="808">
        <v>405.0</v>
      </c>
      <c r="E95" s="808">
        <v>20.0</v>
      </c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>
      <c r="A96" s="809">
        <v>21.0</v>
      </c>
      <c r="B96" s="809">
        <v>3.0</v>
      </c>
      <c r="C96" s="134"/>
      <c r="D96" s="808">
        <v>420.0</v>
      </c>
      <c r="E96" s="808">
        <v>21.0</v>
      </c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>
      <c r="A97" s="809">
        <v>22.0</v>
      </c>
      <c r="B97" s="809">
        <v>3.0</v>
      </c>
      <c r="C97" s="134"/>
      <c r="D97" s="808">
        <v>440.0</v>
      </c>
      <c r="E97" s="808">
        <v>22.0</v>
      </c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>
      <c r="A98" s="809">
        <v>23.0</v>
      </c>
      <c r="B98" s="809">
        <v>3.0</v>
      </c>
      <c r="C98" s="134"/>
      <c r="D98" s="808">
        <v>460.0</v>
      </c>
      <c r="E98" s="808">
        <v>23.0</v>
      </c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>
      <c r="A99" s="809">
        <v>24.0</v>
      </c>
      <c r="B99" s="809">
        <v>3.0</v>
      </c>
      <c r="C99" s="134"/>
      <c r="D99" s="808">
        <v>480.0</v>
      </c>
      <c r="E99" s="808">
        <v>24.0</v>
      </c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>
      <c r="A100" s="809">
        <v>25.0</v>
      </c>
      <c r="B100" s="809">
        <v>3.0</v>
      </c>
      <c r="C100" s="134"/>
      <c r="D100" s="808">
        <v>500.0</v>
      </c>
      <c r="E100" s="808">
        <v>25.0</v>
      </c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>
      <c r="A101" s="809">
        <v>26.0</v>
      </c>
      <c r="B101" s="809">
        <v>3.0</v>
      </c>
      <c r="C101" s="134"/>
      <c r="D101" s="808">
        <v>520.0</v>
      </c>
      <c r="E101" s="808">
        <v>26.0</v>
      </c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>
      <c r="A102" s="809">
        <v>27.0</v>
      </c>
      <c r="B102" s="809">
        <v>3.0</v>
      </c>
      <c r="C102" s="134"/>
      <c r="D102" s="808">
        <v>540.0</v>
      </c>
      <c r="E102" s="808">
        <v>27.0</v>
      </c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>
      <c r="A103" s="809">
        <v>28.0</v>
      </c>
      <c r="B103" s="809">
        <v>3.0</v>
      </c>
      <c r="C103" s="134"/>
      <c r="D103" s="808">
        <v>560.0</v>
      </c>
      <c r="E103" s="808">
        <v>28.0</v>
      </c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>
      <c r="A104" s="809">
        <v>29.0</v>
      </c>
      <c r="B104" s="809">
        <v>3.0</v>
      </c>
      <c r="C104" s="134"/>
      <c r="D104" s="808">
        <v>580.0</v>
      </c>
      <c r="E104" s="808">
        <v>29.0</v>
      </c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>
      <c r="A105" s="809">
        <v>30.0</v>
      </c>
      <c r="B105" s="809">
        <v>3.0</v>
      </c>
      <c r="C105" s="134"/>
      <c r="D105" s="808">
        <v>600.0</v>
      </c>
      <c r="E105" s="808">
        <v>30.0</v>
      </c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>
      <c r="A106" s="809">
        <v>31.0</v>
      </c>
      <c r="B106" s="809">
        <v>4.0</v>
      </c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>
      <c r="A107" s="809">
        <v>32.0</v>
      </c>
      <c r="B107" s="809">
        <v>4.0</v>
      </c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>
      <c r="A108" s="809">
        <v>33.0</v>
      </c>
      <c r="B108" s="809">
        <v>4.0</v>
      </c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>
      <c r="A109" s="809">
        <v>34.0</v>
      </c>
      <c r="B109" s="809">
        <v>4.0</v>
      </c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>
      <c r="A110" s="809">
        <v>35.0</v>
      </c>
      <c r="B110" s="809">
        <v>4.0</v>
      </c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>
      <c r="A111" s="809">
        <v>36.0</v>
      </c>
      <c r="B111" s="809">
        <v>4.0</v>
      </c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>
      <c r="A112" s="809">
        <v>37.0</v>
      </c>
      <c r="B112" s="809">
        <v>4.0</v>
      </c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>
      <c r="A113" s="809">
        <v>38.0</v>
      </c>
      <c r="B113" s="809">
        <v>4.0</v>
      </c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>
      <c r="A114" s="809">
        <v>39.0</v>
      </c>
      <c r="B114" s="809">
        <v>4.0</v>
      </c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>
      <c r="A115" s="809">
        <v>40.0</v>
      </c>
      <c r="B115" s="809">
        <v>4.0</v>
      </c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>
      <c r="A116" s="809">
        <v>41.0</v>
      </c>
      <c r="B116" s="809">
        <v>5.0</v>
      </c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>
      <c r="A117" s="809">
        <v>42.0</v>
      </c>
      <c r="B117" s="809">
        <v>5.0</v>
      </c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>
      <c r="A118" s="809">
        <v>43.0</v>
      </c>
      <c r="B118" s="809">
        <v>5.0</v>
      </c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>
      <c r="A119" s="809">
        <v>44.0</v>
      </c>
      <c r="B119" s="809">
        <v>5.0</v>
      </c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>
      <c r="A120" s="809">
        <v>45.0</v>
      </c>
      <c r="B120" s="809">
        <v>5.0</v>
      </c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>
      <c r="A121" s="809">
        <v>46.0</v>
      </c>
      <c r="B121" s="809">
        <v>5.0</v>
      </c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>
      <c r="A122" s="809">
        <v>47.0</v>
      </c>
      <c r="B122" s="809">
        <v>5.0</v>
      </c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>
      <c r="A123" s="809">
        <v>48.0</v>
      </c>
      <c r="B123" s="809">
        <v>5.0</v>
      </c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>
      <c r="A124" s="809">
        <v>49.0</v>
      </c>
      <c r="B124" s="809">
        <v>5.0</v>
      </c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>
      <c r="A125" s="809">
        <v>50.0</v>
      </c>
      <c r="B125" s="809">
        <v>5.0</v>
      </c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>
      <c r="A126" s="809">
        <v>51.0</v>
      </c>
      <c r="B126" s="809">
        <v>10.0</v>
      </c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>
      <c r="A127" s="809">
        <v>52.0</v>
      </c>
      <c r="B127" s="809">
        <v>10.0</v>
      </c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>
      <c r="A128" s="809">
        <v>53.0</v>
      </c>
      <c r="B128" s="809">
        <v>10.0</v>
      </c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>
      <c r="A129" s="809">
        <v>54.0</v>
      </c>
      <c r="B129" s="809">
        <v>10.0</v>
      </c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>
      <c r="A130" s="809">
        <v>55.0</v>
      </c>
      <c r="B130" s="809">
        <v>10.0</v>
      </c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>
      <c r="A131" s="809">
        <v>56.0</v>
      </c>
      <c r="B131" s="809">
        <v>10.0</v>
      </c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>
      <c r="A132" s="809">
        <v>57.0</v>
      </c>
      <c r="B132" s="809">
        <v>10.0</v>
      </c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>
      <c r="A133" s="809">
        <v>58.0</v>
      </c>
      <c r="B133" s="809">
        <v>10.0</v>
      </c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>
      <c r="A134" s="809">
        <v>59.0</v>
      </c>
      <c r="B134" s="809">
        <v>10.0</v>
      </c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>
      <c r="A135" s="809">
        <v>60.0</v>
      </c>
      <c r="B135" s="809">
        <v>10.0</v>
      </c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>
      <c r="A136" s="809">
        <v>61.0</v>
      </c>
      <c r="B136" s="809">
        <v>20.0</v>
      </c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>
      <c r="A137" s="809">
        <v>62.0</v>
      </c>
      <c r="B137" s="809">
        <v>20.0</v>
      </c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>
      <c r="A138" s="809">
        <v>63.0</v>
      </c>
      <c r="B138" s="809">
        <v>20.0</v>
      </c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>
      <c r="A139" s="809">
        <v>64.0</v>
      </c>
      <c r="B139" s="809">
        <v>20.0</v>
      </c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>
      <c r="A140" s="809">
        <v>65.0</v>
      </c>
      <c r="B140" s="809">
        <v>20.0</v>
      </c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>
      <c r="A141" s="809">
        <v>66.0</v>
      </c>
      <c r="B141" s="809">
        <v>20.0</v>
      </c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>
      <c r="A142" s="809">
        <v>67.0</v>
      </c>
      <c r="B142" s="809">
        <v>20.0</v>
      </c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>
      <c r="A143" s="809">
        <v>68.0</v>
      </c>
      <c r="B143" s="809">
        <v>20.0</v>
      </c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>
      <c r="A144" s="809">
        <v>69.0</v>
      </c>
      <c r="B144" s="809">
        <v>20.0</v>
      </c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>
      <c r="A145" s="809">
        <v>70.0</v>
      </c>
      <c r="B145" s="809">
        <v>20.0</v>
      </c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>
      <c r="A146" s="809">
        <v>71.0</v>
      </c>
      <c r="B146" s="809">
        <v>40.0</v>
      </c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>
      <c r="A147" s="809">
        <v>72.0</v>
      </c>
      <c r="B147" s="809">
        <v>40.0</v>
      </c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>
      <c r="A148" s="809">
        <v>73.0</v>
      </c>
      <c r="B148" s="809">
        <v>40.0</v>
      </c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>
      <c r="A149" s="809">
        <v>74.0</v>
      </c>
      <c r="B149" s="809">
        <v>40.0</v>
      </c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>
      <c r="A150" s="809">
        <v>75.0</v>
      </c>
      <c r="B150" s="809">
        <v>40.0</v>
      </c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>
      <c r="A151" s="809">
        <v>76.0</v>
      </c>
      <c r="B151" s="809">
        <v>40.0</v>
      </c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>
      <c r="A152" s="809">
        <v>77.0</v>
      </c>
      <c r="B152" s="809">
        <v>40.0</v>
      </c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>
      <c r="A153" s="809">
        <v>78.0</v>
      </c>
      <c r="B153" s="809">
        <v>40.0</v>
      </c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>
      <c r="A154" s="809">
        <v>79.0</v>
      </c>
      <c r="B154" s="809">
        <v>40.0</v>
      </c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>
      <c r="A155" s="809">
        <v>80.0</v>
      </c>
      <c r="B155" s="809">
        <v>40.0</v>
      </c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>
      <c r="A156" s="809">
        <v>81.0</v>
      </c>
      <c r="B156" s="809">
        <v>60.0</v>
      </c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>
      <c r="A157" s="809">
        <v>82.0</v>
      </c>
      <c r="B157" s="809">
        <v>60.0</v>
      </c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>
      <c r="A158" s="809">
        <v>83.0</v>
      </c>
      <c r="B158" s="809">
        <v>60.0</v>
      </c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>
      <c r="A159" s="809">
        <v>84.0</v>
      </c>
      <c r="B159" s="809">
        <v>60.0</v>
      </c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>
      <c r="A160" s="809">
        <v>85.0</v>
      </c>
      <c r="B160" s="809">
        <v>60.0</v>
      </c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>
      <c r="A161" s="809">
        <v>86.0</v>
      </c>
      <c r="B161" s="809">
        <v>60.0</v>
      </c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>
      <c r="A162" s="809">
        <v>87.0</v>
      </c>
      <c r="B162" s="809">
        <v>60.0</v>
      </c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>
      <c r="A163" s="809">
        <v>88.0</v>
      </c>
      <c r="B163" s="809">
        <v>60.0</v>
      </c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>
      <c r="A164" s="809">
        <v>89.0</v>
      </c>
      <c r="B164" s="809">
        <v>60.0</v>
      </c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>
      <c r="A165" s="809">
        <v>90.0</v>
      </c>
      <c r="B165" s="809">
        <v>60.0</v>
      </c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>
      <c r="A166" s="809">
        <v>91.0</v>
      </c>
      <c r="B166" s="809">
        <v>80.0</v>
      </c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>
      <c r="A167" s="809">
        <v>92.0</v>
      </c>
      <c r="B167" s="809">
        <v>80.0</v>
      </c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>
      <c r="A168" s="809">
        <v>93.0</v>
      </c>
      <c r="B168" s="809">
        <v>80.0</v>
      </c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>
      <c r="A169" s="809">
        <v>94.0</v>
      </c>
      <c r="B169" s="809">
        <v>80.0</v>
      </c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>
      <c r="A170" s="809">
        <v>95.0</v>
      </c>
      <c r="B170" s="809">
        <v>80.0</v>
      </c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>
      <c r="A171" s="809">
        <v>96.0</v>
      </c>
      <c r="B171" s="809">
        <v>100.0</v>
      </c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>
      <c r="A172" s="809">
        <v>97.0</v>
      </c>
      <c r="B172" s="809">
        <v>200.0</v>
      </c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>
      <c r="A173" s="809">
        <v>98.0</v>
      </c>
      <c r="B173" s="809">
        <v>400.0</v>
      </c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>
      <c r="A174" s="809">
        <v>99.0</v>
      </c>
      <c r="B174" s="809">
        <v>600.0</v>
      </c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>
      <c r="A175" s="809">
        <v>100.0</v>
      </c>
      <c r="B175" s="809">
        <v>800.0</v>
      </c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  <row r="1001">
      <c r="A1001" s="134"/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</row>
    <row r="1002">
      <c r="A1002" s="134"/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</row>
    <row r="1003">
      <c r="A1003" s="134"/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</row>
    <row r="1004">
      <c r="A1004" s="134"/>
      <c r="B1004" s="134"/>
      <c r="C1004" s="134"/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</row>
    <row r="1005">
      <c r="A1005" s="134"/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</row>
    <row r="1006">
      <c r="A1006" s="134"/>
      <c r="B1006" s="134"/>
      <c r="C1006" s="134"/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</row>
  </sheetData>
  <conditionalFormatting sqref="B4">
    <cfRule type="cellIs" dxfId="26" priority="1" operator="equal">
      <formula>"Zombie"</formula>
    </cfRule>
  </conditionalFormatting>
  <conditionalFormatting sqref="B4">
    <cfRule type="cellIs" dxfId="27" priority="2" operator="equal">
      <formula>"Demon"</formula>
    </cfRule>
  </conditionalFormatting>
  <conditionalFormatting sqref="B4">
    <cfRule type="cellIs" dxfId="28" priority="3" operator="equal">
      <formula>"Angel"</formula>
    </cfRule>
  </conditionalFormatting>
  <conditionalFormatting sqref="B4">
    <cfRule type="cellIs" dxfId="29" priority="4" operator="equal">
      <formula>"Mutant"</formula>
    </cfRule>
  </conditionalFormatting>
  <conditionalFormatting sqref="B4">
    <cfRule type="cellIs" dxfId="30" priority="5" operator="equal">
      <formula>"Mecha"</formula>
    </cfRule>
  </conditionalFormatting>
  <conditionalFormatting sqref="B4">
    <cfRule type="cellIs" dxfId="31" priority="6" operator="equal">
      <formula>"Dragon"</formula>
    </cfRule>
  </conditionalFormatting>
  <dataValidations>
    <dataValidation type="list" allowBlank="1" showErrorMessage="1" sqref="B11">
      <formula1>"TRUE,FALSE"</formula1>
    </dataValidation>
    <dataValidation type="list" allowBlank="1" showErrorMessage="1" sqref="B3">
      <formula1>"Prince Nerd,Ghost Zadako,Sewer Turtle,Nito UR,Babyeater,Big Gal Park,Red Doe,Sleuth Doom,Neadergal,Fallen Noble,Kim Chi-yum,Athena,Toraemon,Leeku,Son of Will,Chichikaka,Lee Gi-na,Demon Chan-hee,Female Daemon,Roachikin,Jiro Toyato,Zhuge Liang,Peter Jr.,Sna"&amp;"il Mech,Taoist Yu Ji,Mosasaur,Slug Dragon Tutor,Must-Not-Name"</formula1>
    </dataValidation>
  </dataValidations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0.64"/>
    <col customWidth="1" min="2" max="2" width="8.55"/>
    <col customWidth="1" min="3" max="3" width="9.64"/>
    <col customWidth="1" min="4" max="4" width="7.64"/>
    <col customWidth="1" min="5" max="5" width="23.27"/>
    <col customWidth="1" min="6" max="6" width="8.45"/>
    <col customWidth="1" min="7" max="7" width="16.18"/>
    <col customWidth="1" min="8" max="8" width="10.73"/>
    <col customWidth="1" min="12" max="12" width="23.55"/>
    <col customWidth="1" min="15" max="15" width="10.45"/>
    <col customWidth="1" min="19" max="19" width="24.0"/>
  </cols>
  <sheetData>
    <row r="1">
      <c r="A1" s="810" t="s">
        <v>2867</v>
      </c>
      <c r="B1" s="681"/>
      <c r="C1" s="681"/>
      <c r="D1" s="681"/>
      <c r="E1" s="681"/>
      <c r="F1" s="682"/>
      <c r="H1" s="810" t="s">
        <v>2868</v>
      </c>
      <c r="I1" s="681"/>
      <c r="J1" s="681"/>
      <c r="K1" s="681"/>
      <c r="L1" s="681"/>
      <c r="M1" s="682"/>
      <c r="O1" s="810" t="s">
        <v>2869</v>
      </c>
      <c r="P1" s="681"/>
      <c r="Q1" s="681"/>
      <c r="R1" s="681"/>
      <c r="S1" s="681"/>
      <c r="T1" s="682"/>
    </row>
    <row r="2">
      <c r="A2" s="811" t="s">
        <v>2870</v>
      </c>
      <c r="B2" s="812" t="s">
        <v>2871</v>
      </c>
      <c r="C2" s="812" t="s">
        <v>2872</v>
      </c>
      <c r="D2" s="812" t="s">
        <v>2873</v>
      </c>
      <c r="E2" s="813"/>
      <c r="F2" s="814" t="s">
        <v>2874</v>
      </c>
      <c r="H2" s="811" t="s">
        <v>2875</v>
      </c>
      <c r="I2" s="812" t="s">
        <v>2876</v>
      </c>
      <c r="J2" s="812" t="s">
        <v>2872</v>
      </c>
      <c r="K2" s="812" t="s">
        <v>2873</v>
      </c>
      <c r="L2" s="813"/>
      <c r="M2" s="814" t="s">
        <v>2874</v>
      </c>
      <c r="O2" s="811" t="s">
        <v>2877</v>
      </c>
      <c r="P2" s="812" t="s">
        <v>2878</v>
      </c>
      <c r="Q2" s="812" t="s">
        <v>2872</v>
      </c>
      <c r="R2" s="812" t="s">
        <v>2873</v>
      </c>
      <c r="S2" s="813"/>
      <c r="T2" s="814" t="s">
        <v>2874</v>
      </c>
    </row>
    <row r="3">
      <c r="A3" s="815">
        <v>1.0</v>
      </c>
      <c r="B3" s="816">
        <v>6.0</v>
      </c>
      <c r="C3" s="817">
        <v>4000.0</v>
      </c>
      <c r="D3" s="817">
        <v>10000.0</v>
      </c>
      <c r="E3" s="818" t="s">
        <v>2879</v>
      </c>
      <c r="F3" s="819">
        <v>80.0</v>
      </c>
      <c r="H3" s="815">
        <v>1.0</v>
      </c>
      <c r="I3" s="816">
        <v>12.0</v>
      </c>
      <c r="J3" s="817">
        <v>10000.0</v>
      </c>
      <c r="K3" s="817">
        <v>50000.0</v>
      </c>
      <c r="L3" s="818" t="s">
        <v>2880</v>
      </c>
      <c r="M3" s="819">
        <v>120.0</v>
      </c>
      <c r="O3" s="815">
        <v>1.0</v>
      </c>
      <c r="P3" s="816">
        <v>2.0</v>
      </c>
      <c r="Q3" s="817">
        <v>20000.0</v>
      </c>
      <c r="R3" s="817">
        <v>200000.0</v>
      </c>
      <c r="S3" s="818" t="s">
        <v>2881</v>
      </c>
      <c r="T3" s="819">
        <v>200.0</v>
      </c>
    </row>
    <row r="4">
      <c r="A4" s="815">
        <v>2.0</v>
      </c>
      <c r="B4" s="816">
        <v>9.0</v>
      </c>
      <c r="C4" s="817">
        <v>5000.0</v>
      </c>
      <c r="D4" s="817">
        <v>12500.0</v>
      </c>
      <c r="E4" s="818" t="s">
        <v>2882</v>
      </c>
      <c r="F4" s="819">
        <v>120.0</v>
      </c>
      <c r="H4" s="815">
        <v>2.0</v>
      </c>
      <c r="I4" s="816">
        <v>20.0</v>
      </c>
      <c r="J4" s="817">
        <v>12500.0</v>
      </c>
      <c r="K4" s="817">
        <v>62500.0</v>
      </c>
      <c r="L4" s="818" t="s">
        <v>2883</v>
      </c>
      <c r="M4" s="819">
        <v>180.0</v>
      </c>
      <c r="O4" s="815">
        <v>2.0</v>
      </c>
      <c r="P4" s="816">
        <v>3.0</v>
      </c>
      <c r="Q4" s="817">
        <v>25000.0</v>
      </c>
      <c r="R4" s="817">
        <v>250000.0</v>
      </c>
      <c r="S4" s="818" t="s">
        <v>2884</v>
      </c>
      <c r="T4" s="819">
        <v>300.0</v>
      </c>
    </row>
    <row r="5">
      <c r="A5" s="815">
        <v>3.0</v>
      </c>
      <c r="B5" s="816">
        <v>12.0</v>
      </c>
      <c r="C5" s="817">
        <v>6000.0</v>
      </c>
      <c r="D5" s="817">
        <v>15000.0</v>
      </c>
      <c r="E5" s="818" t="s">
        <v>2885</v>
      </c>
      <c r="F5" s="819">
        <v>160.0</v>
      </c>
      <c r="H5" s="815">
        <v>3.0</v>
      </c>
      <c r="I5" s="816">
        <v>28.0</v>
      </c>
      <c r="J5" s="817">
        <v>15000.0</v>
      </c>
      <c r="K5" s="817">
        <v>75000.0</v>
      </c>
      <c r="L5" s="818" t="s">
        <v>2886</v>
      </c>
      <c r="M5" s="819">
        <v>240.0</v>
      </c>
      <c r="O5" s="815">
        <v>3.0</v>
      </c>
      <c r="P5" s="816">
        <v>4.0</v>
      </c>
      <c r="Q5" s="817">
        <v>30000.0</v>
      </c>
      <c r="R5" s="817">
        <v>300000.0</v>
      </c>
      <c r="S5" s="818" t="s">
        <v>2887</v>
      </c>
      <c r="T5" s="819">
        <v>400.0</v>
      </c>
    </row>
    <row r="6">
      <c r="A6" s="815">
        <v>4.0</v>
      </c>
      <c r="B6" s="816">
        <v>15.0</v>
      </c>
      <c r="C6" s="817">
        <v>7000.0</v>
      </c>
      <c r="D6" s="817">
        <v>17500.0</v>
      </c>
      <c r="E6" s="818" t="s">
        <v>2888</v>
      </c>
      <c r="F6" s="819">
        <v>200.0</v>
      </c>
      <c r="H6" s="815">
        <v>4.0</v>
      </c>
      <c r="I6" s="816">
        <v>36.0</v>
      </c>
      <c r="J6" s="817">
        <v>17500.0</v>
      </c>
      <c r="K6" s="817">
        <v>87500.0</v>
      </c>
      <c r="L6" s="818" t="s">
        <v>2889</v>
      </c>
      <c r="M6" s="819">
        <v>300.0</v>
      </c>
      <c r="O6" s="815">
        <v>4.0</v>
      </c>
      <c r="P6" s="816">
        <v>5.0</v>
      </c>
      <c r="Q6" s="817">
        <v>35000.0</v>
      </c>
      <c r="R6" s="817">
        <v>350000.0</v>
      </c>
      <c r="S6" s="818" t="s">
        <v>2890</v>
      </c>
      <c r="T6" s="819">
        <v>500.0</v>
      </c>
    </row>
    <row r="7">
      <c r="A7" s="815">
        <v>5.0</v>
      </c>
      <c r="B7" s="816">
        <v>18.0</v>
      </c>
      <c r="C7" s="817">
        <v>8000.0</v>
      </c>
      <c r="D7" s="817">
        <v>20000.0</v>
      </c>
      <c r="E7" s="818" t="s">
        <v>2891</v>
      </c>
      <c r="F7" s="819">
        <v>240.0</v>
      </c>
      <c r="H7" s="815">
        <v>5.0</v>
      </c>
      <c r="I7" s="816">
        <v>44.0</v>
      </c>
      <c r="J7" s="817">
        <v>20000.0</v>
      </c>
      <c r="K7" s="817">
        <v>100000.0</v>
      </c>
      <c r="L7" s="818" t="s">
        <v>2892</v>
      </c>
      <c r="M7" s="819">
        <v>360.0</v>
      </c>
      <c r="O7" s="815">
        <v>5.0</v>
      </c>
      <c r="P7" s="816">
        <v>6.0</v>
      </c>
      <c r="Q7" s="817">
        <v>40000.0</v>
      </c>
      <c r="R7" s="817">
        <v>400000.0</v>
      </c>
      <c r="S7" s="818" t="s">
        <v>2893</v>
      </c>
      <c r="T7" s="819">
        <v>600.0</v>
      </c>
    </row>
    <row r="8">
      <c r="A8" s="815">
        <v>6.0</v>
      </c>
      <c r="B8" s="816">
        <v>21.0</v>
      </c>
      <c r="C8" s="817">
        <v>9000.0</v>
      </c>
      <c r="D8" s="817">
        <v>22500.0</v>
      </c>
      <c r="E8" s="818" t="s">
        <v>2894</v>
      </c>
      <c r="F8" s="819">
        <v>280.0</v>
      </c>
      <c r="H8" s="815">
        <v>6.0</v>
      </c>
      <c r="I8" s="816">
        <v>52.0</v>
      </c>
      <c r="J8" s="817">
        <v>22500.0</v>
      </c>
      <c r="K8" s="817">
        <v>112500.0</v>
      </c>
      <c r="L8" s="818" t="s">
        <v>2895</v>
      </c>
      <c r="M8" s="819">
        <v>420.0</v>
      </c>
      <c r="O8" s="815">
        <v>6.0</v>
      </c>
      <c r="P8" s="816">
        <v>7.0</v>
      </c>
      <c r="Q8" s="817">
        <v>45000.0</v>
      </c>
      <c r="R8" s="817">
        <v>450000.0</v>
      </c>
      <c r="S8" s="818" t="s">
        <v>2896</v>
      </c>
      <c r="T8" s="819">
        <v>700.0</v>
      </c>
    </row>
    <row r="9">
      <c r="A9" s="815">
        <v>7.0</v>
      </c>
      <c r="B9" s="816">
        <v>24.0</v>
      </c>
      <c r="C9" s="817">
        <v>10000.0</v>
      </c>
      <c r="D9" s="817">
        <v>25000.0</v>
      </c>
      <c r="E9" s="818" t="s">
        <v>2897</v>
      </c>
      <c r="F9" s="819">
        <v>320.0</v>
      </c>
      <c r="H9" s="815">
        <v>7.0</v>
      </c>
      <c r="I9" s="816">
        <v>60.0</v>
      </c>
      <c r="J9" s="817">
        <v>25000.0</v>
      </c>
      <c r="K9" s="817">
        <v>125000.0</v>
      </c>
      <c r="L9" s="818" t="s">
        <v>2898</v>
      </c>
      <c r="M9" s="819">
        <v>480.0</v>
      </c>
      <c r="O9" s="815">
        <v>7.0</v>
      </c>
      <c r="P9" s="816">
        <v>8.0</v>
      </c>
      <c r="Q9" s="817">
        <v>50000.0</v>
      </c>
      <c r="R9" s="817">
        <v>500000.0</v>
      </c>
      <c r="S9" s="818" t="s">
        <v>2899</v>
      </c>
      <c r="T9" s="819">
        <v>800.0</v>
      </c>
    </row>
    <row r="10">
      <c r="A10" s="815">
        <v>8.0</v>
      </c>
      <c r="B10" s="816">
        <v>27.0</v>
      </c>
      <c r="C10" s="817">
        <v>11000.0</v>
      </c>
      <c r="D10" s="817">
        <v>25000.0</v>
      </c>
      <c r="E10" s="818" t="s">
        <v>2900</v>
      </c>
      <c r="F10" s="819">
        <v>360.0</v>
      </c>
      <c r="H10" s="815">
        <v>8.0</v>
      </c>
      <c r="I10" s="816">
        <v>68.0</v>
      </c>
      <c r="J10" s="817">
        <v>27500.0</v>
      </c>
      <c r="K10" s="817">
        <v>137500.0</v>
      </c>
      <c r="L10" s="818" t="s">
        <v>2901</v>
      </c>
      <c r="M10" s="819">
        <v>540.0</v>
      </c>
      <c r="O10" s="815">
        <v>8.0</v>
      </c>
      <c r="P10" s="816">
        <v>9.0</v>
      </c>
      <c r="Q10" s="817">
        <v>55000.0</v>
      </c>
      <c r="R10" s="817">
        <v>550000.0</v>
      </c>
      <c r="S10" s="818" t="s">
        <v>2902</v>
      </c>
      <c r="T10" s="819">
        <v>900.0</v>
      </c>
    </row>
    <row r="11">
      <c r="A11" s="815">
        <v>9.0</v>
      </c>
      <c r="B11" s="816">
        <v>30.0</v>
      </c>
      <c r="C11" s="817">
        <v>12000.0</v>
      </c>
      <c r="D11" s="817">
        <v>30000.0</v>
      </c>
      <c r="E11" s="818" t="s">
        <v>2903</v>
      </c>
      <c r="F11" s="819">
        <v>400.0</v>
      </c>
      <c r="H11" s="815">
        <v>9.0</v>
      </c>
      <c r="I11" s="816">
        <v>76.0</v>
      </c>
      <c r="J11" s="817">
        <v>30000.0</v>
      </c>
      <c r="K11" s="817">
        <v>150000.0</v>
      </c>
      <c r="L11" s="818" t="s">
        <v>2904</v>
      </c>
      <c r="M11" s="819">
        <v>600.0</v>
      </c>
      <c r="O11" s="815">
        <v>9.0</v>
      </c>
      <c r="P11" s="816">
        <v>10.0</v>
      </c>
      <c r="Q11" s="817">
        <v>60000.0</v>
      </c>
      <c r="R11" s="817">
        <v>600000.0</v>
      </c>
      <c r="S11" s="818" t="s">
        <v>2905</v>
      </c>
      <c r="T11" s="819">
        <v>1000.0</v>
      </c>
    </row>
    <row r="12">
      <c r="A12" s="815">
        <v>10.0</v>
      </c>
      <c r="B12" s="816">
        <v>33.0</v>
      </c>
      <c r="C12" s="817">
        <v>13000.0</v>
      </c>
      <c r="D12" s="817">
        <v>32500.0</v>
      </c>
      <c r="E12" s="818" t="s">
        <v>2906</v>
      </c>
      <c r="F12" s="819">
        <v>440.0</v>
      </c>
      <c r="H12" s="815">
        <v>10.0</v>
      </c>
      <c r="I12" s="816">
        <v>84.0</v>
      </c>
      <c r="J12" s="817">
        <v>32500.0</v>
      </c>
      <c r="K12" s="817">
        <v>162500.0</v>
      </c>
      <c r="L12" s="818" t="s">
        <v>2907</v>
      </c>
      <c r="M12" s="819">
        <v>660.0</v>
      </c>
      <c r="O12" s="815">
        <v>10.0</v>
      </c>
      <c r="P12" s="816">
        <v>11.0</v>
      </c>
      <c r="Q12" s="817">
        <v>65000.0</v>
      </c>
      <c r="R12" s="817">
        <v>650000.0</v>
      </c>
      <c r="S12" s="818" t="s">
        <v>2908</v>
      </c>
      <c r="T12" s="819">
        <v>1100.0</v>
      </c>
    </row>
    <row r="13">
      <c r="A13" s="820" t="s">
        <v>2518</v>
      </c>
      <c r="B13" s="821">
        <f t="shared" ref="B13:D13" si="1">SUM(B3:B12)</f>
        <v>195</v>
      </c>
      <c r="C13" s="822">
        <f t="shared" si="1"/>
        <v>85000</v>
      </c>
      <c r="D13" s="822">
        <f t="shared" si="1"/>
        <v>210000</v>
      </c>
      <c r="E13" s="823"/>
      <c r="F13" s="824">
        <f>SUM(F3:F12)</f>
        <v>2600</v>
      </c>
      <c r="H13" s="820" t="s">
        <v>2518</v>
      </c>
      <c r="I13" s="821">
        <f t="shared" ref="I13:K13" si="2">SUM(I3:I12)</f>
        <v>480</v>
      </c>
      <c r="J13" s="822">
        <f t="shared" si="2"/>
        <v>212500</v>
      </c>
      <c r="K13" s="822">
        <f t="shared" si="2"/>
        <v>1062500</v>
      </c>
      <c r="L13" s="823"/>
      <c r="M13" s="824">
        <f>SUM(M3:M12)</f>
        <v>3900</v>
      </c>
      <c r="O13" s="820" t="s">
        <v>2518</v>
      </c>
      <c r="P13" s="821">
        <f t="shared" ref="P13:R13" si="3">SUM(P3:P12)</f>
        <v>65</v>
      </c>
      <c r="Q13" s="822">
        <f t="shared" si="3"/>
        <v>425000</v>
      </c>
      <c r="R13" s="822">
        <f t="shared" si="3"/>
        <v>4250000</v>
      </c>
      <c r="S13" s="823"/>
      <c r="T13" s="824">
        <f>SUM(T3:T12)</f>
        <v>6500</v>
      </c>
    </row>
    <row r="14">
      <c r="A14" s="825"/>
      <c r="B14" s="826"/>
      <c r="C14" s="826"/>
      <c r="D14" s="826"/>
      <c r="E14" s="826"/>
      <c r="F14" s="157"/>
      <c r="H14" s="825"/>
      <c r="I14" s="826"/>
      <c r="J14" s="826"/>
      <c r="K14" s="826"/>
      <c r="L14" s="826"/>
      <c r="M14" s="157"/>
      <c r="O14" s="825"/>
      <c r="P14" s="826"/>
      <c r="Q14" s="826"/>
      <c r="R14" s="826"/>
      <c r="S14" s="826"/>
      <c r="T14" s="157"/>
    </row>
    <row r="15">
      <c r="A15" s="827"/>
      <c r="B15" s="828"/>
      <c r="C15" s="828"/>
      <c r="D15" s="828"/>
      <c r="E15" s="828"/>
      <c r="F15" s="829"/>
      <c r="H15" s="827"/>
      <c r="I15" s="828"/>
      <c r="J15" s="828"/>
      <c r="K15" s="828"/>
      <c r="L15" s="828"/>
      <c r="M15" s="829"/>
      <c r="O15" s="827"/>
      <c r="P15" s="828"/>
      <c r="Q15" s="828"/>
      <c r="R15" s="828"/>
      <c r="S15" s="828"/>
      <c r="T15" s="829"/>
    </row>
    <row r="16">
      <c r="A16" s="811" t="s">
        <v>2909</v>
      </c>
      <c r="B16" s="813"/>
      <c r="C16" s="812" t="s">
        <v>2872</v>
      </c>
      <c r="D16" s="812" t="s">
        <v>2873</v>
      </c>
      <c r="E16" s="813"/>
      <c r="F16" s="814" t="s">
        <v>2874</v>
      </c>
      <c r="H16" s="811" t="s">
        <v>2910</v>
      </c>
      <c r="I16" s="813"/>
      <c r="J16" s="812" t="s">
        <v>2872</v>
      </c>
      <c r="K16" s="812" t="s">
        <v>2873</v>
      </c>
      <c r="L16" s="813"/>
      <c r="M16" s="814" t="s">
        <v>2874</v>
      </c>
      <c r="O16" s="811" t="s">
        <v>2911</v>
      </c>
      <c r="P16" s="813"/>
      <c r="Q16" s="812" t="s">
        <v>2872</v>
      </c>
      <c r="R16" s="812" t="s">
        <v>2873</v>
      </c>
      <c r="S16" s="813"/>
      <c r="T16" s="814" t="s">
        <v>2874</v>
      </c>
    </row>
    <row r="17">
      <c r="A17" s="815">
        <v>1.0</v>
      </c>
      <c r="B17" s="816">
        <v>8.0</v>
      </c>
      <c r="C17" s="817">
        <v>6000.0</v>
      </c>
      <c r="D17" s="817">
        <v>15000.0</v>
      </c>
      <c r="E17" s="818" t="s">
        <v>2912</v>
      </c>
      <c r="F17" s="819">
        <v>90.0</v>
      </c>
      <c r="H17" s="815">
        <v>1.0</v>
      </c>
      <c r="I17" s="816">
        <v>15.0</v>
      </c>
      <c r="J17" s="817">
        <v>12000.0</v>
      </c>
      <c r="K17" s="817">
        <v>60000.0</v>
      </c>
      <c r="L17" s="818" t="s">
        <v>2913</v>
      </c>
      <c r="M17" s="819">
        <v>140.0</v>
      </c>
      <c r="O17" s="815">
        <v>1.0</v>
      </c>
      <c r="P17" s="816">
        <v>4.0</v>
      </c>
      <c r="Q17" s="817">
        <v>32000.0</v>
      </c>
      <c r="R17" s="817">
        <v>320000.0</v>
      </c>
      <c r="S17" s="818" t="s">
        <v>2914</v>
      </c>
      <c r="T17" s="819">
        <v>240.0</v>
      </c>
    </row>
    <row r="18">
      <c r="A18" s="815">
        <v>2.0</v>
      </c>
      <c r="B18" s="816">
        <v>12.0</v>
      </c>
      <c r="C18" s="817">
        <v>7500.0</v>
      </c>
      <c r="D18" s="817">
        <v>18750.0</v>
      </c>
      <c r="E18" s="818" t="s">
        <v>2915</v>
      </c>
      <c r="F18" s="819">
        <v>135.0</v>
      </c>
      <c r="H18" s="815">
        <v>2.0</v>
      </c>
      <c r="I18" s="816">
        <v>25.0</v>
      </c>
      <c r="J18" s="817">
        <v>15000.0</v>
      </c>
      <c r="K18" s="817">
        <v>75000.0</v>
      </c>
      <c r="L18" s="818" t="s">
        <v>2916</v>
      </c>
      <c r="M18" s="819">
        <v>210.0</v>
      </c>
      <c r="O18" s="815">
        <v>2.0</v>
      </c>
      <c r="P18" s="816">
        <v>6.0</v>
      </c>
      <c r="Q18" s="817">
        <v>40000.0</v>
      </c>
      <c r="R18" s="817">
        <v>400000.0</v>
      </c>
      <c r="S18" s="818" t="s">
        <v>2917</v>
      </c>
      <c r="T18" s="819">
        <v>360.0</v>
      </c>
    </row>
    <row r="19">
      <c r="A19" s="815">
        <v>3.0</v>
      </c>
      <c r="B19" s="816">
        <v>16.0</v>
      </c>
      <c r="C19" s="817">
        <v>9000.0</v>
      </c>
      <c r="D19" s="817">
        <v>22500.0</v>
      </c>
      <c r="E19" s="818" t="s">
        <v>2918</v>
      </c>
      <c r="F19" s="819">
        <v>180.0</v>
      </c>
      <c r="H19" s="815">
        <v>3.0</v>
      </c>
      <c r="I19" s="816">
        <v>35.0</v>
      </c>
      <c r="J19" s="817">
        <v>18000.0</v>
      </c>
      <c r="K19" s="817">
        <v>90000.0</v>
      </c>
      <c r="L19" s="818" t="s">
        <v>2919</v>
      </c>
      <c r="M19" s="819">
        <v>280.0</v>
      </c>
      <c r="O19" s="815">
        <v>3.0</v>
      </c>
      <c r="P19" s="816">
        <v>8.0</v>
      </c>
      <c r="Q19" s="817">
        <v>48000.0</v>
      </c>
      <c r="R19" s="817">
        <v>480000.0</v>
      </c>
      <c r="S19" s="818" t="s">
        <v>2920</v>
      </c>
      <c r="T19" s="819">
        <v>480.0</v>
      </c>
    </row>
    <row r="20">
      <c r="A20" s="815">
        <v>4.0</v>
      </c>
      <c r="B20" s="816">
        <v>20.0</v>
      </c>
      <c r="C20" s="817">
        <v>10500.0</v>
      </c>
      <c r="D20" s="817">
        <v>26250.0</v>
      </c>
      <c r="E20" s="818" t="s">
        <v>2921</v>
      </c>
      <c r="F20" s="819">
        <v>225.0</v>
      </c>
      <c r="H20" s="815">
        <v>4.0</v>
      </c>
      <c r="I20" s="816">
        <v>45.0</v>
      </c>
      <c r="J20" s="817">
        <v>21000.0</v>
      </c>
      <c r="K20" s="817">
        <v>105000.0</v>
      </c>
      <c r="L20" s="818" t="s">
        <v>2922</v>
      </c>
      <c r="M20" s="819">
        <v>350.0</v>
      </c>
      <c r="O20" s="815">
        <v>4.0</v>
      </c>
      <c r="P20" s="816">
        <v>10.0</v>
      </c>
      <c r="Q20" s="817">
        <v>56000.0</v>
      </c>
      <c r="R20" s="817">
        <v>560000.0</v>
      </c>
      <c r="S20" s="818" t="s">
        <v>2923</v>
      </c>
      <c r="T20" s="819">
        <v>600.0</v>
      </c>
    </row>
    <row r="21">
      <c r="A21" s="815">
        <v>5.0</v>
      </c>
      <c r="B21" s="816">
        <v>24.0</v>
      </c>
      <c r="C21" s="817">
        <v>12000.0</v>
      </c>
      <c r="D21" s="817">
        <v>30000.0</v>
      </c>
      <c r="E21" s="818" t="s">
        <v>2924</v>
      </c>
      <c r="F21" s="819">
        <v>270.0</v>
      </c>
      <c r="H21" s="815">
        <v>5.0</v>
      </c>
      <c r="I21" s="816">
        <v>55.0</v>
      </c>
      <c r="J21" s="817">
        <v>24000.0</v>
      </c>
      <c r="K21" s="817">
        <v>120000.0</v>
      </c>
      <c r="L21" s="818" t="s">
        <v>2925</v>
      </c>
      <c r="M21" s="819">
        <v>420.0</v>
      </c>
      <c r="O21" s="815">
        <v>5.0</v>
      </c>
      <c r="P21" s="816">
        <v>12.0</v>
      </c>
      <c r="Q21" s="817">
        <v>64000.0</v>
      </c>
      <c r="R21" s="817">
        <v>640000.0</v>
      </c>
      <c r="S21" s="818" t="s">
        <v>2926</v>
      </c>
      <c r="T21" s="819">
        <v>720.0</v>
      </c>
    </row>
    <row r="22">
      <c r="A22" s="815">
        <v>6.0</v>
      </c>
      <c r="B22" s="816">
        <v>28.0</v>
      </c>
      <c r="C22" s="817">
        <v>13500.0</v>
      </c>
      <c r="D22" s="817">
        <v>37500.0</v>
      </c>
      <c r="E22" s="818" t="s">
        <v>2927</v>
      </c>
      <c r="F22" s="819">
        <v>315.0</v>
      </c>
      <c r="H22" s="815">
        <v>6.0</v>
      </c>
      <c r="I22" s="816">
        <v>65.0</v>
      </c>
      <c r="J22" s="817">
        <v>27000.0</v>
      </c>
      <c r="K22" s="817">
        <v>135000.0</v>
      </c>
      <c r="L22" s="818" t="s">
        <v>2928</v>
      </c>
      <c r="M22" s="819">
        <v>490.0</v>
      </c>
      <c r="O22" s="815">
        <v>6.0</v>
      </c>
      <c r="P22" s="816">
        <v>14.0</v>
      </c>
      <c r="Q22" s="817">
        <v>72000.0</v>
      </c>
      <c r="R22" s="817">
        <v>720000.0</v>
      </c>
      <c r="S22" s="818" t="s">
        <v>2929</v>
      </c>
      <c r="T22" s="819">
        <v>840.0</v>
      </c>
    </row>
    <row r="23">
      <c r="A23" s="815">
        <v>7.0</v>
      </c>
      <c r="B23" s="816">
        <v>32.0</v>
      </c>
      <c r="C23" s="817">
        <v>15000.0</v>
      </c>
      <c r="D23" s="817">
        <v>37500.0</v>
      </c>
      <c r="E23" s="818" t="s">
        <v>2930</v>
      </c>
      <c r="F23" s="819">
        <v>360.0</v>
      </c>
      <c r="H23" s="815">
        <v>7.0</v>
      </c>
      <c r="I23" s="816">
        <v>75.0</v>
      </c>
      <c r="J23" s="817">
        <v>30000.0</v>
      </c>
      <c r="K23" s="817">
        <v>150000.0</v>
      </c>
      <c r="L23" s="818" t="s">
        <v>2931</v>
      </c>
      <c r="M23" s="819">
        <v>560.0</v>
      </c>
      <c r="O23" s="815">
        <v>7.0</v>
      </c>
      <c r="P23" s="816">
        <v>16.0</v>
      </c>
      <c r="Q23" s="817">
        <v>80000.0</v>
      </c>
      <c r="R23" s="817">
        <v>800000.0</v>
      </c>
      <c r="S23" s="818" t="s">
        <v>2932</v>
      </c>
      <c r="T23" s="819">
        <v>960.0</v>
      </c>
    </row>
    <row r="24">
      <c r="A24" s="815">
        <v>8.0</v>
      </c>
      <c r="B24" s="816">
        <v>36.0</v>
      </c>
      <c r="C24" s="817">
        <v>16500.0</v>
      </c>
      <c r="D24" s="817">
        <v>41250.0</v>
      </c>
      <c r="E24" s="818" t="s">
        <v>2933</v>
      </c>
      <c r="F24" s="819">
        <v>405.0</v>
      </c>
      <c r="H24" s="815">
        <v>8.0</v>
      </c>
      <c r="I24" s="816">
        <v>85.0</v>
      </c>
      <c r="J24" s="817">
        <v>33000.0</v>
      </c>
      <c r="K24" s="817">
        <v>165000.0</v>
      </c>
      <c r="L24" s="818" t="s">
        <v>2934</v>
      </c>
      <c r="M24" s="819">
        <v>630.0</v>
      </c>
      <c r="O24" s="815">
        <v>8.0</v>
      </c>
      <c r="P24" s="816">
        <v>18.0</v>
      </c>
      <c r="Q24" s="817">
        <v>88000.0</v>
      </c>
      <c r="R24" s="817">
        <v>880000.0</v>
      </c>
      <c r="S24" s="818" t="s">
        <v>2935</v>
      </c>
      <c r="T24" s="819">
        <v>1080.0</v>
      </c>
    </row>
    <row r="25">
      <c r="A25" s="815">
        <v>9.0</v>
      </c>
      <c r="B25" s="816">
        <v>40.0</v>
      </c>
      <c r="C25" s="817">
        <v>18000.0</v>
      </c>
      <c r="D25" s="817">
        <v>45000.0</v>
      </c>
      <c r="E25" s="818" t="s">
        <v>2936</v>
      </c>
      <c r="F25" s="819">
        <v>450.0</v>
      </c>
      <c r="H25" s="815">
        <v>9.0</v>
      </c>
      <c r="I25" s="816">
        <v>95.0</v>
      </c>
      <c r="J25" s="817">
        <v>36000.0</v>
      </c>
      <c r="K25" s="817">
        <v>180000.0</v>
      </c>
      <c r="L25" s="818" t="s">
        <v>2937</v>
      </c>
      <c r="M25" s="819">
        <v>700.0</v>
      </c>
      <c r="O25" s="815">
        <v>9.0</v>
      </c>
      <c r="P25" s="816">
        <v>20.0</v>
      </c>
      <c r="Q25" s="817">
        <v>96000.0</v>
      </c>
      <c r="R25" s="817">
        <v>960000.0</v>
      </c>
      <c r="S25" s="818" t="s">
        <v>2938</v>
      </c>
      <c r="T25" s="819">
        <v>1200.0</v>
      </c>
    </row>
    <row r="26">
      <c r="A26" s="815">
        <v>10.0</v>
      </c>
      <c r="B26" s="816">
        <v>44.0</v>
      </c>
      <c r="C26" s="817">
        <v>19500.0</v>
      </c>
      <c r="D26" s="817">
        <v>48750.0</v>
      </c>
      <c r="E26" s="818" t="s">
        <v>2939</v>
      </c>
      <c r="F26" s="819">
        <v>495.0</v>
      </c>
      <c r="H26" s="815">
        <v>10.0</v>
      </c>
      <c r="I26" s="816">
        <v>105.0</v>
      </c>
      <c r="J26" s="817">
        <v>39000.0</v>
      </c>
      <c r="K26" s="817">
        <v>195000.0</v>
      </c>
      <c r="L26" s="818" t="s">
        <v>2940</v>
      </c>
      <c r="M26" s="819">
        <v>770.0</v>
      </c>
      <c r="O26" s="815">
        <v>10.0</v>
      </c>
      <c r="P26" s="816">
        <v>22.0</v>
      </c>
      <c r="Q26" s="817">
        <v>104000.0</v>
      </c>
      <c r="R26" s="817">
        <v>1040000.0</v>
      </c>
      <c r="S26" s="818" t="s">
        <v>2941</v>
      </c>
      <c r="T26" s="819">
        <v>1320.0</v>
      </c>
    </row>
    <row r="27">
      <c r="A27" s="820" t="s">
        <v>2518</v>
      </c>
      <c r="B27" s="821">
        <f t="shared" ref="B27:D27" si="4">SUM(B17:B26)</f>
        <v>260</v>
      </c>
      <c r="C27" s="822">
        <f t="shared" si="4"/>
        <v>127500</v>
      </c>
      <c r="D27" s="822">
        <f t="shared" si="4"/>
        <v>322500</v>
      </c>
      <c r="E27" s="823"/>
      <c r="F27" s="824">
        <f>SUM(F17:F26)</f>
        <v>2925</v>
      </c>
      <c r="H27" s="820" t="s">
        <v>2518</v>
      </c>
      <c r="I27" s="821">
        <f t="shared" ref="I27:K27" si="5">SUM(I17:I26)</f>
        <v>600</v>
      </c>
      <c r="J27" s="822">
        <f t="shared" si="5"/>
        <v>255000</v>
      </c>
      <c r="K27" s="822">
        <f t="shared" si="5"/>
        <v>1275000</v>
      </c>
      <c r="L27" s="823"/>
      <c r="M27" s="824">
        <f>SUM(M17:M26)</f>
        <v>4550</v>
      </c>
      <c r="O27" s="820" t="s">
        <v>2518</v>
      </c>
      <c r="P27" s="821">
        <f t="shared" ref="P27:R27" si="6">SUM(P17:P26)</f>
        <v>130</v>
      </c>
      <c r="Q27" s="822">
        <f t="shared" si="6"/>
        <v>680000</v>
      </c>
      <c r="R27" s="822">
        <f t="shared" si="6"/>
        <v>6800000</v>
      </c>
      <c r="S27" s="823"/>
      <c r="T27" s="824">
        <f>SUM(T17:T26)</f>
        <v>7800</v>
      </c>
    </row>
    <row r="28">
      <c r="A28" s="827"/>
      <c r="B28" s="828"/>
      <c r="C28" s="828"/>
      <c r="D28" s="828"/>
      <c r="E28" s="828"/>
      <c r="F28" s="829"/>
      <c r="H28" s="827"/>
      <c r="I28" s="828"/>
      <c r="J28" s="828"/>
      <c r="K28" s="828"/>
      <c r="L28" s="828"/>
      <c r="M28" s="829"/>
      <c r="O28" s="827"/>
      <c r="P28" s="828"/>
      <c r="Q28" s="828"/>
      <c r="R28" s="828"/>
      <c r="S28" s="828"/>
      <c r="T28" s="829"/>
    </row>
    <row r="29">
      <c r="A29" s="827"/>
      <c r="B29" s="828"/>
      <c r="C29" s="828"/>
      <c r="D29" s="828"/>
      <c r="E29" s="828"/>
      <c r="F29" s="829"/>
      <c r="H29" s="827"/>
      <c r="I29" s="828"/>
      <c r="J29" s="828"/>
      <c r="K29" s="828"/>
      <c r="L29" s="828"/>
      <c r="M29" s="829"/>
      <c r="O29" s="827"/>
      <c r="P29" s="828"/>
      <c r="Q29" s="828"/>
      <c r="R29" s="828"/>
      <c r="S29" s="828"/>
      <c r="T29" s="829"/>
    </row>
    <row r="30">
      <c r="A30" s="811" t="s">
        <v>2942</v>
      </c>
      <c r="B30" s="813"/>
      <c r="C30" s="812" t="s">
        <v>2872</v>
      </c>
      <c r="D30" s="812" t="s">
        <v>2873</v>
      </c>
      <c r="E30" s="813"/>
      <c r="F30" s="814" t="s">
        <v>2874</v>
      </c>
      <c r="H30" s="811" t="s">
        <v>2943</v>
      </c>
      <c r="I30" s="813"/>
      <c r="J30" s="812" t="s">
        <v>2872</v>
      </c>
      <c r="K30" s="812" t="s">
        <v>2873</v>
      </c>
      <c r="L30" s="813"/>
      <c r="M30" s="814" t="s">
        <v>2874</v>
      </c>
      <c r="O30" s="811" t="s">
        <v>2944</v>
      </c>
      <c r="P30" s="813"/>
      <c r="Q30" s="812" t="s">
        <v>2872</v>
      </c>
      <c r="R30" s="812" t="s">
        <v>2873</v>
      </c>
      <c r="S30" s="813"/>
      <c r="T30" s="814" t="s">
        <v>2874</v>
      </c>
    </row>
    <row r="31">
      <c r="A31" s="815">
        <v>1.0</v>
      </c>
      <c r="B31" s="816">
        <v>10.0</v>
      </c>
      <c r="C31" s="817">
        <v>8000.0</v>
      </c>
      <c r="D31" s="817">
        <v>20000.0</v>
      </c>
      <c r="E31" s="818" t="s">
        <v>2945</v>
      </c>
      <c r="F31" s="819">
        <v>100.0</v>
      </c>
      <c r="H31" s="815">
        <v>1.0</v>
      </c>
      <c r="I31" s="816">
        <v>18.0</v>
      </c>
      <c r="J31" s="817">
        <v>16000.0</v>
      </c>
      <c r="K31" s="817">
        <v>80000.0</v>
      </c>
      <c r="L31" s="818" t="s">
        <v>2946</v>
      </c>
      <c r="M31" s="819">
        <v>160.0</v>
      </c>
      <c r="O31" s="815">
        <v>1.0</v>
      </c>
      <c r="P31" s="816">
        <v>6.0</v>
      </c>
      <c r="Q31" s="817">
        <v>48000.0</v>
      </c>
      <c r="R31" s="817">
        <v>480000.0</v>
      </c>
      <c r="S31" s="818" t="s">
        <v>2947</v>
      </c>
      <c r="T31" s="819">
        <v>280.0</v>
      </c>
    </row>
    <row r="32">
      <c r="A32" s="815">
        <v>2.0</v>
      </c>
      <c r="B32" s="816">
        <v>15.0</v>
      </c>
      <c r="C32" s="817">
        <v>10000.0</v>
      </c>
      <c r="D32" s="817">
        <v>25000.0</v>
      </c>
      <c r="E32" s="818" t="s">
        <v>2948</v>
      </c>
      <c r="F32" s="819">
        <v>150.0</v>
      </c>
      <c r="H32" s="815">
        <v>2.0</v>
      </c>
      <c r="I32" s="816">
        <v>30.0</v>
      </c>
      <c r="J32" s="817">
        <v>20000.0</v>
      </c>
      <c r="K32" s="817">
        <v>100000.0</v>
      </c>
      <c r="L32" s="818" t="s">
        <v>2949</v>
      </c>
      <c r="M32" s="819">
        <v>240.0</v>
      </c>
      <c r="O32" s="815">
        <v>2.0</v>
      </c>
      <c r="P32" s="816">
        <v>9.0</v>
      </c>
      <c r="Q32" s="817">
        <v>60000.0</v>
      </c>
      <c r="R32" s="817">
        <v>600000.0</v>
      </c>
      <c r="S32" s="818" t="s">
        <v>2950</v>
      </c>
      <c r="T32" s="819">
        <v>420.0</v>
      </c>
    </row>
    <row r="33">
      <c r="A33" s="815">
        <v>3.0</v>
      </c>
      <c r="B33" s="816">
        <v>20.0</v>
      </c>
      <c r="C33" s="817">
        <v>12000.0</v>
      </c>
      <c r="D33" s="817">
        <v>30000.0</v>
      </c>
      <c r="E33" s="818" t="s">
        <v>2951</v>
      </c>
      <c r="F33" s="819">
        <v>200.0</v>
      </c>
      <c r="H33" s="815">
        <v>3.0</v>
      </c>
      <c r="I33" s="816">
        <v>42.0</v>
      </c>
      <c r="J33" s="817">
        <v>24000.0</v>
      </c>
      <c r="K33" s="817">
        <v>120000.0</v>
      </c>
      <c r="L33" s="818" t="s">
        <v>2952</v>
      </c>
      <c r="M33" s="819">
        <v>320.0</v>
      </c>
      <c r="O33" s="815">
        <v>3.0</v>
      </c>
      <c r="P33" s="816">
        <v>12.0</v>
      </c>
      <c r="Q33" s="817">
        <v>72000.0</v>
      </c>
      <c r="R33" s="817">
        <v>720000.0</v>
      </c>
      <c r="S33" s="818" t="s">
        <v>2953</v>
      </c>
      <c r="T33" s="819">
        <v>560.0</v>
      </c>
    </row>
    <row r="34">
      <c r="A34" s="815">
        <v>4.0</v>
      </c>
      <c r="B34" s="816">
        <v>25.0</v>
      </c>
      <c r="C34" s="817">
        <v>14000.0</v>
      </c>
      <c r="D34" s="817">
        <v>35000.0</v>
      </c>
      <c r="E34" s="818" t="s">
        <v>2954</v>
      </c>
      <c r="F34" s="819">
        <v>250.0</v>
      </c>
      <c r="H34" s="815">
        <v>4.0</v>
      </c>
      <c r="I34" s="816">
        <v>54.0</v>
      </c>
      <c r="J34" s="817">
        <v>28000.0</v>
      </c>
      <c r="K34" s="817">
        <v>140000.0</v>
      </c>
      <c r="L34" s="818" t="s">
        <v>2955</v>
      </c>
      <c r="M34" s="819">
        <v>400.0</v>
      </c>
      <c r="O34" s="815">
        <v>4.0</v>
      </c>
      <c r="P34" s="816">
        <v>15.0</v>
      </c>
      <c r="Q34" s="817">
        <v>84000.0</v>
      </c>
      <c r="R34" s="817">
        <v>840000.0</v>
      </c>
      <c r="S34" s="818" t="s">
        <v>2956</v>
      </c>
      <c r="T34" s="819">
        <v>700.0</v>
      </c>
    </row>
    <row r="35">
      <c r="A35" s="815">
        <v>5.0</v>
      </c>
      <c r="B35" s="816">
        <v>30.0</v>
      </c>
      <c r="C35" s="817">
        <v>16000.0</v>
      </c>
      <c r="D35" s="817">
        <v>40000.0</v>
      </c>
      <c r="E35" s="818" t="s">
        <v>2957</v>
      </c>
      <c r="F35" s="819">
        <v>300.0</v>
      </c>
      <c r="H35" s="815">
        <v>5.0</v>
      </c>
      <c r="I35" s="816">
        <v>66.0</v>
      </c>
      <c r="J35" s="817">
        <v>32000.0</v>
      </c>
      <c r="K35" s="817">
        <v>160000.0</v>
      </c>
      <c r="L35" s="818" t="s">
        <v>2958</v>
      </c>
      <c r="M35" s="819">
        <v>480.0</v>
      </c>
      <c r="O35" s="815">
        <v>5.0</v>
      </c>
      <c r="P35" s="816">
        <v>18.0</v>
      </c>
      <c r="Q35" s="817">
        <v>96000.0</v>
      </c>
      <c r="R35" s="817">
        <v>960000.0</v>
      </c>
      <c r="S35" s="818" t="s">
        <v>2959</v>
      </c>
      <c r="T35" s="819">
        <v>840.0</v>
      </c>
    </row>
    <row r="36">
      <c r="A36" s="815">
        <v>6.0</v>
      </c>
      <c r="B36" s="816">
        <v>35.0</v>
      </c>
      <c r="C36" s="817">
        <v>18000.0</v>
      </c>
      <c r="D36" s="817">
        <v>45000.0</v>
      </c>
      <c r="E36" s="818" t="s">
        <v>2960</v>
      </c>
      <c r="F36" s="819">
        <v>350.0</v>
      </c>
      <c r="H36" s="815">
        <v>6.0</v>
      </c>
      <c r="I36" s="816">
        <v>78.0</v>
      </c>
      <c r="J36" s="817">
        <v>36000.0</v>
      </c>
      <c r="K36" s="817">
        <v>180000.0</v>
      </c>
      <c r="L36" s="818" t="s">
        <v>2961</v>
      </c>
      <c r="M36" s="819">
        <v>560.0</v>
      </c>
      <c r="O36" s="815">
        <v>6.0</v>
      </c>
      <c r="P36" s="816">
        <v>21.0</v>
      </c>
      <c r="Q36" s="817">
        <v>108000.0</v>
      </c>
      <c r="R36" s="817">
        <v>1080000.0</v>
      </c>
      <c r="S36" s="818" t="s">
        <v>2962</v>
      </c>
      <c r="T36" s="819">
        <v>980.0</v>
      </c>
    </row>
    <row r="37">
      <c r="A37" s="815">
        <v>7.0</v>
      </c>
      <c r="B37" s="816">
        <v>40.0</v>
      </c>
      <c r="C37" s="817">
        <v>20000.0</v>
      </c>
      <c r="D37" s="817">
        <v>50000.0</v>
      </c>
      <c r="E37" s="818" t="s">
        <v>2963</v>
      </c>
      <c r="F37" s="819">
        <v>400.0</v>
      </c>
      <c r="H37" s="815">
        <v>7.0</v>
      </c>
      <c r="I37" s="816">
        <v>90.0</v>
      </c>
      <c r="J37" s="817">
        <v>40000.0</v>
      </c>
      <c r="K37" s="817">
        <v>200000.0</v>
      </c>
      <c r="L37" s="818" t="s">
        <v>2964</v>
      </c>
      <c r="M37" s="819">
        <v>640.0</v>
      </c>
      <c r="O37" s="815">
        <v>7.0</v>
      </c>
      <c r="P37" s="816">
        <v>24.0</v>
      </c>
      <c r="Q37" s="817">
        <v>120000.0</v>
      </c>
      <c r="R37" s="817">
        <v>1200000.0</v>
      </c>
      <c r="S37" s="818" t="s">
        <v>2965</v>
      </c>
      <c r="T37" s="819">
        <v>1120.0</v>
      </c>
    </row>
    <row r="38">
      <c r="A38" s="815">
        <v>8.0</v>
      </c>
      <c r="B38" s="816">
        <v>45.0</v>
      </c>
      <c r="C38" s="817">
        <v>22000.0</v>
      </c>
      <c r="D38" s="817">
        <v>55000.0</v>
      </c>
      <c r="E38" s="818" t="s">
        <v>2966</v>
      </c>
      <c r="F38" s="819">
        <v>450.0</v>
      </c>
      <c r="H38" s="815">
        <v>8.0</v>
      </c>
      <c r="I38" s="816">
        <v>102.0</v>
      </c>
      <c r="J38" s="817">
        <v>44000.0</v>
      </c>
      <c r="K38" s="817">
        <v>220000.0</v>
      </c>
      <c r="L38" s="818" t="s">
        <v>2967</v>
      </c>
      <c r="M38" s="819">
        <v>720.0</v>
      </c>
      <c r="O38" s="815">
        <v>8.0</v>
      </c>
      <c r="P38" s="816">
        <v>27.0</v>
      </c>
      <c r="Q38" s="817">
        <v>132000.0</v>
      </c>
      <c r="R38" s="817">
        <v>1320000.0</v>
      </c>
      <c r="S38" s="818" t="s">
        <v>2968</v>
      </c>
      <c r="T38" s="819">
        <v>1260.0</v>
      </c>
    </row>
    <row r="39">
      <c r="A39" s="815">
        <v>9.0</v>
      </c>
      <c r="B39" s="816">
        <v>50.0</v>
      </c>
      <c r="C39" s="817">
        <v>24000.0</v>
      </c>
      <c r="D39" s="817">
        <v>60000.0</v>
      </c>
      <c r="E39" s="818" t="s">
        <v>2965</v>
      </c>
      <c r="F39" s="819">
        <v>500.0</v>
      </c>
      <c r="H39" s="815">
        <v>9.0</v>
      </c>
      <c r="I39" s="816">
        <v>114.0</v>
      </c>
      <c r="J39" s="817">
        <v>48000.0</v>
      </c>
      <c r="K39" s="817">
        <v>240000.0</v>
      </c>
      <c r="L39" s="818" t="s">
        <v>2969</v>
      </c>
      <c r="M39" s="819">
        <v>800.0</v>
      </c>
      <c r="O39" s="815">
        <v>9.0</v>
      </c>
      <c r="P39" s="816">
        <v>30.0</v>
      </c>
      <c r="Q39" s="817">
        <v>144000.0</v>
      </c>
      <c r="R39" s="817">
        <v>1440000.0</v>
      </c>
      <c r="S39" s="818" t="s">
        <v>2970</v>
      </c>
      <c r="T39" s="819">
        <v>1400.0</v>
      </c>
    </row>
    <row r="40">
      <c r="A40" s="815">
        <v>10.0</v>
      </c>
      <c r="B40" s="816">
        <v>55.0</v>
      </c>
      <c r="C40" s="817">
        <v>26000.0</v>
      </c>
      <c r="D40" s="817">
        <v>65000.0</v>
      </c>
      <c r="E40" s="818" t="s">
        <v>2971</v>
      </c>
      <c r="F40" s="819">
        <v>550.0</v>
      </c>
      <c r="H40" s="815">
        <v>10.0</v>
      </c>
      <c r="I40" s="816">
        <v>126.0</v>
      </c>
      <c r="J40" s="817">
        <v>52000.0</v>
      </c>
      <c r="K40" s="817">
        <v>260000.0</v>
      </c>
      <c r="L40" s="818" t="s">
        <v>2972</v>
      </c>
      <c r="M40" s="819">
        <v>880.0</v>
      </c>
      <c r="O40" s="815">
        <v>10.0</v>
      </c>
      <c r="P40" s="816">
        <v>33.0</v>
      </c>
      <c r="Q40" s="817">
        <v>156000.0</v>
      </c>
      <c r="R40" s="817">
        <v>1560000.0</v>
      </c>
      <c r="S40" s="818" t="s">
        <v>2973</v>
      </c>
      <c r="T40" s="819">
        <v>1540.0</v>
      </c>
    </row>
    <row r="41">
      <c r="A41" s="820" t="s">
        <v>2518</v>
      </c>
      <c r="B41" s="821">
        <f t="shared" ref="B41:D41" si="7">SUM(B31:B40)</f>
        <v>325</v>
      </c>
      <c r="C41" s="822">
        <f t="shared" si="7"/>
        <v>170000</v>
      </c>
      <c r="D41" s="822">
        <f t="shared" si="7"/>
        <v>425000</v>
      </c>
      <c r="E41" s="823"/>
      <c r="F41" s="824">
        <f>SUM(F31:F40)</f>
        <v>3250</v>
      </c>
      <c r="G41" s="830"/>
      <c r="H41" s="820" t="s">
        <v>2518</v>
      </c>
      <c r="I41" s="821">
        <f t="shared" ref="I41:K41" si="8">SUM(I31:I40)</f>
        <v>720</v>
      </c>
      <c r="J41" s="822">
        <f t="shared" si="8"/>
        <v>340000</v>
      </c>
      <c r="K41" s="822">
        <f t="shared" si="8"/>
        <v>1700000</v>
      </c>
      <c r="L41" s="823"/>
      <c r="M41" s="824">
        <f>SUM(M31:M40)</f>
        <v>5200</v>
      </c>
      <c r="O41" s="820" t="s">
        <v>2518</v>
      </c>
      <c r="P41" s="821">
        <f t="shared" ref="P41:R41" si="9">SUM(P31:P40)</f>
        <v>195</v>
      </c>
      <c r="Q41" s="822">
        <f t="shared" si="9"/>
        <v>1020000</v>
      </c>
      <c r="R41" s="822">
        <f t="shared" si="9"/>
        <v>10200000</v>
      </c>
      <c r="S41" s="823"/>
      <c r="T41" s="824">
        <f>SUM(T31:T40)</f>
        <v>9100</v>
      </c>
    </row>
    <row r="42">
      <c r="A42" s="827"/>
      <c r="B42" s="828"/>
      <c r="C42" s="828"/>
      <c r="D42" s="828"/>
      <c r="E42" s="828"/>
      <c r="F42" s="829"/>
      <c r="H42" s="827"/>
      <c r="I42" s="828"/>
      <c r="J42" s="828"/>
      <c r="K42" s="828"/>
      <c r="L42" s="828"/>
      <c r="M42" s="829"/>
      <c r="O42" s="827"/>
      <c r="P42" s="828"/>
      <c r="Q42" s="828"/>
      <c r="R42" s="828"/>
      <c r="S42" s="828"/>
      <c r="T42" s="829"/>
    </row>
    <row r="43">
      <c r="A43" s="827"/>
      <c r="B43" s="828"/>
      <c r="C43" s="828"/>
      <c r="D43" s="828"/>
      <c r="E43" s="828"/>
      <c r="F43" s="829"/>
      <c r="H43" s="827"/>
      <c r="I43" s="828"/>
      <c r="J43" s="828"/>
      <c r="K43" s="828"/>
      <c r="L43" s="828"/>
      <c r="M43" s="829"/>
      <c r="O43" s="827"/>
      <c r="P43" s="828"/>
      <c r="Q43" s="828"/>
      <c r="R43" s="828"/>
      <c r="S43" s="828"/>
      <c r="T43" s="829"/>
    </row>
    <row r="44">
      <c r="A44" s="811" t="s">
        <v>2974</v>
      </c>
      <c r="B44" s="813"/>
      <c r="C44" s="812" t="s">
        <v>2872</v>
      </c>
      <c r="D44" s="812" t="s">
        <v>2873</v>
      </c>
      <c r="E44" s="813"/>
      <c r="F44" s="814" t="s">
        <v>2874</v>
      </c>
      <c r="H44" s="811" t="s">
        <v>2975</v>
      </c>
      <c r="I44" s="813"/>
      <c r="J44" s="812" t="s">
        <v>2872</v>
      </c>
      <c r="K44" s="812" t="s">
        <v>2873</v>
      </c>
      <c r="L44" s="813"/>
      <c r="M44" s="814" t="s">
        <v>2874</v>
      </c>
      <c r="O44" s="811" t="s">
        <v>2976</v>
      </c>
      <c r="P44" s="813"/>
      <c r="Q44" s="812" t="s">
        <v>2872</v>
      </c>
      <c r="R44" s="812" t="s">
        <v>2873</v>
      </c>
      <c r="S44" s="813"/>
      <c r="T44" s="814" t="s">
        <v>2874</v>
      </c>
    </row>
    <row r="45">
      <c r="A45" s="815">
        <v>1.0</v>
      </c>
      <c r="B45" s="816">
        <v>6.0</v>
      </c>
      <c r="C45" s="817">
        <v>4000.0</v>
      </c>
      <c r="D45" s="817">
        <v>10000.0</v>
      </c>
      <c r="E45" s="818" t="s">
        <v>2977</v>
      </c>
      <c r="F45" s="819">
        <v>80.0</v>
      </c>
      <c r="H45" s="815">
        <v>1.0</v>
      </c>
      <c r="I45" s="816">
        <v>12.0</v>
      </c>
      <c r="J45" s="817">
        <v>10000.0</v>
      </c>
      <c r="K45" s="817">
        <v>50000.0</v>
      </c>
      <c r="L45" s="818" t="s">
        <v>2978</v>
      </c>
      <c r="M45" s="819">
        <v>120.0</v>
      </c>
      <c r="O45" s="815">
        <v>1.0</v>
      </c>
      <c r="P45" s="816">
        <v>2.0</v>
      </c>
      <c r="Q45" s="817">
        <v>20000.0</v>
      </c>
      <c r="R45" s="817">
        <v>200000.0</v>
      </c>
      <c r="S45" s="818" t="s">
        <v>2979</v>
      </c>
      <c r="T45" s="819">
        <v>200.0</v>
      </c>
    </row>
    <row r="46">
      <c r="A46" s="815">
        <v>2.0</v>
      </c>
      <c r="B46" s="816">
        <v>9.0</v>
      </c>
      <c r="C46" s="817">
        <v>5000.0</v>
      </c>
      <c r="D46" s="817">
        <v>12500.0</v>
      </c>
      <c r="E46" s="818" t="s">
        <v>2980</v>
      </c>
      <c r="F46" s="819">
        <v>120.0</v>
      </c>
      <c r="H46" s="815">
        <v>2.0</v>
      </c>
      <c r="I46" s="816">
        <v>20.0</v>
      </c>
      <c r="J46" s="817">
        <v>12500.0</v>
      </c>
      <c r="K46" s="817">
        <v>62500.0</v>
      </c>
      <c r="L46" s="818" t="s">
        <v>2981</v>
      </c>
      <c r="M46" s="819">
        <v>180.0</v>
      </c>
      <c r="O46" s="815">
        <v>2.0</v>
      </c>
      <c r="P46" s="816">
        <v>3.0</v>
      </c>
      <c r="Q46" s="817">
        <v>25000.0</v>
      </c>
      <c r="R46" s="817">
        <v>250000.0</v>
      </c>
      <c r="S46" s="818" t="s">
        <v>2982</v>
      </c>
      <c r="T46" s="819">
        <v>300.0</v>
      </c>
    </row>
    <row r="47">
      <c r="A47" s="815">
        <v>3.0</v>
      </c>
      <c r="B47" s="816">
        <v>12.0</v>
      </c>
      <c r="C47" s="817">
        <v>6000.0</v>
      </c>
      <c r="D47" s="817">
        <v>15000.0</v>
      </c>
      <c r="E47" s="818" t="s">
        <v>2983</v>
      </c>
      <c r="F47" s="819">
        <v>160.0</v>
      </c>
      <c r="H47" s="815">
        <v>3.0</v>
      </c>
      <c r="I47" s="816">
        <v>28.0</v>
      </c>
      <c r="J47" s="817">
        <v>15000.0</v>
      </c>
      <c r="K47" s="817">
        <v>75000.0</v>
      </c>
      <c r="L47" s="818" t="s">
        <v>2984</v>
      </c>
      <c r="M47" s="819">
        <v>240.0</v>
      </c>
      <c r="O47" s="815">
        <v>3.0</v>
      </c>
      <c r="P47" s="816">
        <v>4.0</v>
      </c>
      <c r="Q47" s="817">
        <v>30000.0</v>
      </c>
      <c r="R47" s="817">
        <v>300000.0</v>
      </c>
      <c r="S47" s="818" t="s">
        <v>2985</v>
      </c>
      <c r="T47" s="819">
        <v>400.0</v>
      </c>
    </row>
    <row r="48">
      <c r="A48" s="815">
        <v>4.0</v>
      </c>
      <c r="B48" s="816">
        <v>15.0</v>
      </c>
      <c r="C48" s="817">
        <v>7000.0</v>
      </c>
      <c r="D48" s="817">
        <v>17500.0</v>
      </c>
      <c r="E48" s="818" t="s">
        <v>2986</v>
      </c>
      <c r="F48" s="819">
        <v>200.0</v>
      </c>
      <c r="H48" s="815">
        <v>4.0</v>
      </c>
      <c r="I48" s="816">
        <v>36.0</v>
      </c>
      <c r="J48" s="817">
        <v>17500.0</v>
      </c>
      <c r="K48" s="817">
        <v>87500.0</v>
      </c>
      <c r="L48" s="818" t="s">
        <v>2987</v>
      </c>
      <c r="M48" s="819">
        <v>300.0</v>
      </c>
      <c r="O48" s="815">
        <v>4.0</v>
      </c>
      <c r="P48" s="816">
        <v>5.0</v>
      </c>
      <c r="Q48" s="817">
        <v>35000.0</v>
      </c>
      <c r="R48" s="817">
        <v>350000.0</v>
      </c>
      <c r="S48" s="818" t="s">
        <v>2988</v>
      </c>
      <c r="T48" s="819">
        <v>500.0</v>
      </c>
    </row>
    <row r="49">
      <c r="A49" s="815">
        <v>5.0</v>
      </c>
      <c r="B49" s="816">
        <v>18.0</v>
      </c>
      <c r="C49" s="817">
        <v>8000.0</v>
      </c>
      <c r="D49" s="817">
        <v>20000.0</v>
      </c>
      <c r="E49" s="818" t="s">
        <v>2989</v>
      </c>
      <c r="F49" s="819">
        <v>240.0</v>
      </c>
      <c r="H49" s="815">
        <v>5.0</v>
      </c>
      <c r="I49" s="816">
        <v>44.0</v>
      </c>
      <c r="J49" s="817">
        <v>20000.0</v>
      </c>
      <c r="K49" s="817">
        <v>100000.0</v>
      </c>
      <c r="L49" s="818" t="s">
        <v>2990</v>
      </c>
      <c r="M49" s="819">
        <v>360.0</v>
      </c>
      <c r="O49" s="815">
        <v>5.0</v>
      </c>
      <c r="P49" s="816">
        <v>6.0</v>
      </c>
      <c r="Q49" s="817">
        <v>40000.0</v>
      </c>
      <c r="R49" s="817">
        <v>400000.0</v>
      </c>
      <c r="S49" s="818" t="s">
        <v>2991</v>
      </c>
      <c r="T49" s="819">
        <v>600.0</v>
      </c>
    </row>
    <row r="50">
      <c r="A50" s="815">
        <v>6.0</v>
      </c>
      <c r="B50" s="816">
        <v>21.0</v>
      </c>
      <c r="C50" s="817">
        <v>9000.0</v>
      </c>
      <c r="D50" s="817">
        <v>22500.0</v>
      </c>
      <c r="E50" s="818" t="s">
        <v>2992</v>
      </c>
      <c r="F50" s="819">
        <v>280.0</v>
      </c>
      <c r="H50" s="815">
        <v>6.0</v>
      </c>
      <c r="I50" s="816">
        <v>52.0</v>
      </c>
      <c r="J50" s="817">
        <v>22500.0</v>
      </c>
      <c r="K50" s="817">
        <v>112500.0</v>
      </c>
      <c r="L50" s="818" t="s">
        <v>2993</v>
      </c>
      <c r="M50" s="819">
        <v>420.0</v>
      </c>
      <c r="O50" s="815">
        <v>6.0</v>
      </c>
      <c r="P50" s="816">
        <v>7.0</v>
      </c>
      <c r="Q50" s="817">
        <v>45000.0</v>
      </c>
      <c r="R50" s="817">
        <v>450000.0</v>
      </c>
      <c r="S50" s="818" t="s">
        <v>2994</v>
      </c>
      <c r="T50" s="819">
        <v>700.0</v>
      </c>
    </row>
    <row r="51">
      <c r="A51" s="815">
        <v>7.0</v>
      </c>
      <c r="B51" s="816">
        <v>24.0</v>
      </c>
      <c r="C51" s="817">
        <v>10000.0</v>
      </c>
      <c r="D51" s="817">
        <v>25000.0</v>
      </c>
      <c r="E51" s="818" t="s">
        <v>2995</v>
      </c>
      <c r="F51" s="819">
        <v>320.0</v>
      </c>
      <c r="H51" s="815">
        <v>7.0</v>
      </c>
      <c r="I51" s="816">
        <v>60.0</v>
      </c>
      <c r="J51" s="817">
        <v>25000.0</v>
      </c>
      <c r="K51" s="817">
        <v>125000.0</v>
      </c>
      <c r="L51" s="818" t="s">
        <v>2996</v>
      </c>
      <c r="M51" s="819">
        <v>480.0</v>
      </c>
      <c r="O51" s="815">
        <v>7.0</v>
      </c>
      <c r="P51" s="816">
        <v>8.0</v>
      </c>
      <c r="Q51" s="817">
        <v>50000.0</v>
      </c>
      <c r="R51" s="817">
        <v>500000.0</v>
      </c>
      <c r="S51" s="818" t="s">
        <v>2997</v>
      </c>
      <c r="T51" s="819">
        <v>800.0</v>
      </c>
    </row>
    <row r="52">
      <c r="A52" s="815">
        <v>8.0</v>
      </c>
      <c r="B52" s="816">
        <v>27.0</v>
      </c>
      <c r="C52" s="817">
        <v>11000.0</v>
      </c>
      <c r="D52" s="817">
        <v>27500.0</v>
      </c>
      <c r="E52" s="818" t="s">
        <v>2998</v>
      </c>
      <c r="F52" s="819">
        <v>360.0</v>
      </c>
      <c r="H52" s="815">
        <v>8.0</v>
      </c>
      <c r="I52" s="816">
        <v>68.0</v>
      </c>
      <c r="J52" s="817">
        <v>27500.0</v>
      </c>
      <c r="K52" s="817">
        <v>137500.0</v>
      </c>
      <c r="L52" s="818" t="s">
        <v>2999</v>
      </c>
      <c r="M52" s="819">
        <v>540.0</v>
      </c>
      <c r="O52" s="815">
        <v>8.0</v>
      </c>
      <c r="P52" s="816">
        <v>9.0</v>
      </c>
      <c r="Q52" s="817">
        <v>55000.0</v>
      </c>
      <c r="R52" s="817">
        <v>550000.0</v>
      </c>
      <c r="S52" s="818" t="s">
        <v>3000</v>
      </c>
      <c r="T52" s="819">
        <v>900.0</v>
      </c>
    </row>
    <row r="53">
      <c r="A53" s="815">
        <v>9.0</v>
      </c>
      <c r="B53" s="816">
        <v>30.0</v>
      </c>
      <c r="C53" s="817">
        <v>12000.0</v>
      </c>
      <c r="D53" s="817">
        <v>30000.0</v>
      </c>
      <c r="E53" s="818" t="s">
        <v>3001</v>
      </c>
      <c r="F53" s="819">
        <v>400.0</v>
      </c>
      <c r="H53" s="815">
        <v>9.0</v>
      </c>
      <c r="I53" s="816">
        <v>76.0</v>
      </c>
      <c r="J53" s="817">
        <v>30000.0</v>
      </c>
      <c r="K53" s="817">
        <v>150000.0</v>
      </c>
      <c r="L53" s="818" t="s">
        <v>3002</v>
      </c>
      <c r="M53" s="819">
        <v>600.0</v>
      </c>
      <c r="O53" s="815">
        <v>9.0</v>
      </c>
      <c r="P53" s="816">
        <v>10.0</v>
      </c>
      <c r="Q53" s="817">
        <v>60000.0</v>
      </c>
      <c r="R53" s="817">
        <v>600000.0</v>
      </c>
      <c r="S53" s="818" t="s">
        <v>3003</v>
      </c>
      <c r="T53" s="819">
        <v>1000.0</v>
      </c>
    </row>
    <row r="54">
      <c r="A54" s="815">
        <v>10.0</v>
      </c>
      <c r="B54" s="816">
        <v>33.0</v>
      </c>
      <c r="C54" s="817">
        <v>13000.0</v>
      </c>
      <c r="D54" s="817">
        <v>32500.0</v>
      </c>
      <c r="E54" s="818" t="s">
        <v>3004</v>
      </c>
      <c r="F54" s="819">
        <v>440.0</v>
      </c>
      <c r="H54" s="815">
        <v>10.0</v>
      </c>
      <c r="I54" s="816">
        <v>84.0</v>
      </c>
      <c r="J54" s="817">
        <v>32500.0</v>
      </c>
      <c r="K54" s="817">
        <v>162500.0</v>
      </c>
      <c r="L54" s="818" t="s">
        <v>3005</v>
      </c>
      <c r="M54" s="819">
        <v>660.0</v>
      </c>
      <c r="O54" s="815">
        <v>10.0</v>
      </c>
      <c r="P54" s="816">
        <v>11.0</v>
      </c>
      <c r="Q54" s="817">
        <v>65000.0</v>
      </c>
      <c r="R54" s="817">
        <v>650000.0</v>
      </c>
      <c r="S54" s="818" t="s">
        <v>3006</v>
      </c>
      <c r="T54" s="819">
        <v>1100.0</v>
      </c>
    </row>
    <row r="55">
      <c r="A55" s="820" t="s">
        <v>2518</v>
      </c>
      <c r="B55" s="821">
        <f t="shared" ref="B55:D55" si="10">SUM(B45:B54)</f>
        <v>195</v>
      </c>
      <c r="C55" s="822">
        <f t="shared" si="10"/>
        <v>85000</v>
      </c>
      <c r="D55" s="822">
        <f t="shared" si="10"/>
        <v>212500</v>
      </c>
      <c r="E55" s="823"/>
      <c r="F55" s="824">
        <f>SUM(F45:F54)</f>
        <v>2600</v>
      </c>
      <c r="H55" s="820" t="s">
        <v>2518</v>
      </c>
      <c r="I55" s="831">
        <f t="shared" ref="I55:K55" si="11">SUM(I45:I54)</f>
        <v>480</v>
      </c>
      <c r="J55" s="822">
        <f t="shared" si="11"/>
        <v>212500</v>
      </c>
      <c r="K55" s="822">
        <f t="shared" si="11"/>
        <v>1062500</v>
      </c>
      <c r="L55" s="823"/>
      <c r="M55" s="824">
        <f>SUM(M45:M54)</f>
        <v>3900</v>
      </c>
      <c r="O55" s="820" t="s">
        <v>2518</v>
      </c>
      <c r="P55" s="831">
        <f t="shared" ref="P55:R55" si="12">SUM(P45:P54)</f>
        <v>65</v>
      </c>
      <c r="Q55" s="822">
        <f t="shared" si="12"/>
        <v>425000</v>
      </c>
      <c r="R55" s="822">
        <f t="shared" si="12"/>
        <v>4250000</v>
      </c>
      <c r="S55" s="823"/>
      <c r="T55" s="824">
        <f>SUM(T45:T54)</f>
        <v>6500</v>
      </c>
    </row>
    <row r="56">
      <c r="A56" s="827"/>
      <c r="B56" s="828"/>
      <c r="C56" s="828"/>
      <c r="D56" s="828"/>
      <c r="E56" s="828"/>
      <c r="F56" s="829"/>
      <c r="H56" s="827"/>
      <c r="I56" s="828"/>
      <c r="J56" s="828"/>
      <c r="K56" s="828"/>
      <c r="L56" s="828"/>
      <c r="M56" s="829"/>
      <c r="O56" s="827"/>
      <c r="P56" s="828"/>
      <c r="Q56" s="828"/>
      <c r="R56" s="828"/>
      <c r="S56" s="828"/>
      <c r="T56" s="829"/>
    </row>
    <row r="57">
      <c r="A57" s="827"/>
      <c r="B57" s="828"/>
      <c r="C57" s="828"/>
      <c r="D57" s="828"/>
      <c r="E57" s="828"/>
      <c r="F57" s="829"/>
      <c r="H57" s="827"/>
      <c r="I57" s="828"/>
      <c r="J57" s="828"/>
      <c r="K57" s="828"/>
      <c r="L57" s="828"/>
      <c r="M57" s="829"/>
      <c r="O57" s="827"/>
      <c r="P57" s="828"/>
      <c r="Q57" s="828"/>
      <c r="R57" s="828"/>
      <c r="S57" s="828"/>
      <c r="T57" s="829"/>
    </row>
    <row r="58">
      <c r="A58" s="832" t="s">
        <v>3007</v>
      </c>
      <c r="B58" s="833"/>
      <c r="C58" s="834" t="s">
        <v>2872</v>
      </c>
      <c r="D58" s="834" t="s">
        <v>2873</v>
      </c>
      <c r="E58" s="835"/>
      <c r="F58" s="836" t="s">
        <v>2874</v>
      </c>
      <c r="H58" s="832" t="s">
        <v>3008</v>
      </c>
      <c r="I58" s="833"/>
      <c r="J58" s="834" t="s">
        <v>2872</v>
      </c>
      <c r="K58" s="834" t="s">
        <v>2873</v>
      </c>
      <c r="L58" s="835"/>
      <c r="M58" s="836" t="s">
        <v>2874</v>
      </c>
      <c r="O58" s="832" t="s">
        <v>3009</v>
      </c>
      <c r="P58" s="833"/>
      <c r="Q58" s="834" t="s">
        <v>2872</v>
      </c>
      <c r="R58" s="834" t="s">
        <v>2873</v>
      </c>
      <c r="S58" s="835"/>
      <c r="T58" s="836" t="s">
        <v>2874</v>
      </c>
    </row>
    <row r="59">
      <c r="A59" s="837">
        <v>1.0</v>
      </c>
      <c r="B59" s="838">
        <v>8.0</v>
      </c>
      <c r="C59" s="839">
        <v>6000.0</v>
      </c>
      <c r="D59" s="839">
        <v>15000.0</v>
      </c>
      <c r="E59" s="840" t="s">
        <v>3010</v>
      </c>
      <c r="F59" s="841">
        <v>90.0</v>
      </c>
      <c r="H59" s="837">
        <v>1.0</v>
      </c>
      <c r="I59" s="838">
        <v>15.0</v>
      </c>
      <c r="J59" s="839">
        <v>12000.0</v>
      </c>
      <c r="K59" s="839">
        <v>60000.0</v>
      </c>
      <c r="L59" s="840" t="s">
        <v>3011</v>
      </c>
      <c r="M59" s="841">
        <v>140.0</v>
      </c>
      <c r="O59" s="837">
        <v>1.0</v>
      </c>
      <c r="P59" s="838">
        <v>4.0</v>
      </c>
      <c r="Q59" s="839">
        <v>32000.0</v>
      </c>
      <c r="R59" s="839">
        <v>320000.0</v>
      </c>
      <c r="S59" s="840" t="s">
        <v>3012</v>
      </c>
      <c r="T59" s="841">
        <v>240.0</v>
      </c>
    </row>
    <row r="60">
      <c r="A60" s="842">
        <v>2.0</v>
      </c>
      <c r="B60" s="843">
        <v>12.0</v>
      </c>
      <c r="C60" s="844">
        <v>7500.0</v>
      </c>
      <c r="D60" s="844">
        <v>18750.0</v>
      </c>
      <c r="E60" s="845" t="s">
        <v>3013</v>
      </c>
      <c r="F60" s="846">
        <v>135.0</v>
      </c>
      <c r="H60" s="842">
        <v>2.0</v>
      </c>
      <c r="I60" s="843">
        <v>25.0</v>
      </c>
      <c r="J60" s="844">
        <v>15000.0</v>
      </c>
      <c r="K60" s="844">
        <v>75000.0</v>
      </c>
      <c r="L60" s="845" t="s">
        <v>3014</v>
      </c>
      <c r="M60" s="846">
        <v>210.0</v>
      </c>
      <c r="O60" s="842">
        <v>2.0</v>
      </c>
      <c r="P60" s="843">
        <v>6.0</v>
      </c>
      <c r="Q60" s="844">
        <v>40000.0</v>
      </c>
      <c r="R60" s="844">
        <v>400000.0</v>
      </c>
      <c r="S60" s="845" t="s">
        <v>3015</v>
      </c>
      <c r="T60" s="846">
        <v>360.0</v>
      </c>
    </row>
    <row r="61">
      <c r="A61" s="837">
        <v>3.0</v>
      </c>
      <c r="B61" s="838">
        <v>16.0</v>
      </c>
      <c r="C61" s="839">
        <v>9000.0</v>
      </c>
      <c r="D61" s="839">
        <v>22500.0</v>
      </c>
      <c r="E61" s="840" t="s">
        <v>3016</v>
      </c>
      <c r="F61" s="841">
        <v>180.0</v>
      </c>
      <c r="H61" s="837">
        <v>3.0</v>
      </c>
      <c r="I61" s="838">
        <v>35.0</v>
      </c>
      <c r="J61" s="839">
        <v>18000.0</v>
      </c>
      <c r="K61" s="839">
        <v>90000.0</v>
      </c>
      <c r="L61" s="840" t="s">
        <v>3017</v>
      </c>
      <c r="M61" s="841">
        <v>280.0</v>
      </c>
      <c r="O61" s="837">
        <v>3.0</v>
      </c>
      <c r="P61" s="838">
        <v>8.0</v>
      </c>
      <c r="Q61" s="839">
        <v>48000.0</v>
      </c>
      <c r="R61" s="839">
        <v>480000.0</v>
      </c>
      <c r="S61" s="840" t="s">
        <v>3018</v>
      </c>
      <c r="T61" s="841">
        <v>480.0</v>
      </c>
    </row>
    <row r="62">
      <c r="A62" s="842">
        <v>4.0</v>
      </c>
      <c r="B62" s="843">
        <v>20.0</v>
      </c>
      <c r="C62" s="844">
        <v>10500.0</v>
      </c>
      <c r="D62" s="844">
        <v>26250.0</v>
      </c>
      <c r="E62" s="845" t="s">
        <v>3019</v>
      </c>
      <c r="F62" s="846">
        <v>25.0</v>
      </c>
      <c r="H62" s="842">
        <v>4.0</v>
      </c>
      <c r="I62" s="843">
        <v>45.0</v>
      </c>
      <c r="J62" s="844">
        <v>21000.0</v>
      </c>
      <c r="K62" s="844">
        <v>105000.0</v>
      </c>
      <c r="L62" s="845" t="s">
        <v>3020</v>
      </c>
      <c r="M62" s="846">
        <v>350.0</v>
      </c>
      <c r="O62" s="842">
        <v>4.0</v>
      </c>
      <c r="P62" s="843">
        <v>10.0</v>
      </c>
      <c r="Q62" s="844">
        <v>56000.0</v>
      </c>
      <c r="R62" s="844">
        <v>560000.0</v>
      </c>
      <c r="S62" s="845" t="s">
        <v>3021</v>
      </c>
      <c r="T62" s="846">
        <v>600.0</v>
      </c>
    </row>
    <row r="63">
      <c r="A63" s="837">
        <v>5.0</v>
      </c>
      <c r="B63" s="838">
        <v>24.0</v>
      </c>
      <c r="C63" s="839">
        <v>12000.0</v>
      </c>
      <c r="D63" s="839">
        <v>30000.0</v>
      </c>
      <c r="E63" s="840" t="s">
        <v>3022</v>
      </c>
      <c r="F63" s="841">
        <v>270.0</v>
      </c>
      <c r="H63" s="837">
        <v>5.0</v>
      </c>
      <c r="I63" s="838">
        <v>55.0</v>
      </c>
      <c r="J63" s="839">
        <v>24000.0</v>
      </c>
      <c r="K63" s="839">
        <v>120000.0</v>
      </c>
      <c r="L63" s="840" t="s">
        <v>3023</v>
      </c>
      <c r="M63" s="841">
        <v>420.0</v>
      </c>
      <c r="O63" s="837">
        <v>5.0</v>
      </c>
      <c r="P63" s="838">
        <v>12.0</v>
      </c>
      <c r="Q63" s="839">
        <v>64000.0</v>
      </c>
      <c r="R63" s="839">
        <v>640000.0</v>
      </c>
      <c r="S63" s="840" t="s">
        <v>3024</v>
      </c>
      <c r="T63" s="841">
        <v>720.0</v>
      </c>
    </row>
    <row r="64">
      <c r="A64" s="842">
        <v>6.0</v>
      </c>
      <c r="B64" s="843">
        <v>28.0</v>
      </c>
      <c r="C64" s="844">
        <v>13500.0</v>
      </c>
      <c r="D64" s="844">
        <v>33750.0</v>
      </c>
      <c r="E64" s="845" t="s">
        <v>3025</v>
      </c>
      <c r="F64" s="846">
        <v>315.0</v>
      </c>
      <c r="H64" s="842">
        <v>6.0</v>
      </c>
      <c r="I64" s="843">
        <v>65.0</v>
      </c>
      <c r="J64" s="844">
        <v>27000.0</v>
      </c>
      <c r="K64" s="844">
        <v>135000.0</v>
      </c>
      <c r="L64" s="845" t="s">
        <v>3026</v>
      </c>
      <c r="M64" s="846">
        <v>490.0</v>
      </c>
      <c r="O64" s="842">
        <v>6.0</v>
      </c>
      <c r="P64" s="843">
        <v>14.0</v>
      </c>
      <c r="Q64" s="844">
        <v>72000.0</v>
      </c>
      <c r="R64" s="844">
        <v>720000.0</v>
      </c>
      <c r="S64" s="845" t="s">
        <v>3027</v>
      </c>
      <c r="T64" s="846">
        <v>840.0</v>
      </c>
    </row>
    <row r="65">
      <c r="A65" s="837">
        <v>7.0</v>
      </c>
      <c r="B65" s="838">
        <v>32.0</v>
      </c>
      <c r="C65" s="839">
        <v>15000.0</v>
      </c>
      <c r="D65" s="839">
        <v>37500.0</v>
      </c>
      <c r="E65" s="840" t="s">
        <v>3028</v>
      </c>
      <c r="F65" s="841">
        <v>360.0</v>
      </c>
      <c r="H65" s="837">
        <v>7.0</v>
      </c>
      <c r="I65" s="838">
        <v>75.0</v>
      </c>
      <c r="J65" s="839">
        <v>30000.0</v>
      </c>
      <c r="K65" s="839">
        <v>150000.0</v>
      </c>
      <c r="L65" s="840" t="s">
        <v>3029</v>
      </c>
      <c r="M65" s="841">
        <v>560.0</v>
      </c>
      <c r="O65" s="837">
        <v>7.0</v>
      </c>
      <c r="P65" s="838">
        <v>16.0</v>
      </c>
      <c r="Q65" s="839">
        <v>80000.0</v>
      </c>
      <c r="R65" s="839">
        <v>800000.0</v>
      </c>
      <c r="S65" s="840" t="s">
        <v>3030</v>
      </c>
      <c r="T65" s="841">
        <v>960.0</v>
      </c>
    </row>
    <row r="66">
      <c r="A66" s="842">
        <v>8.0</v>
      </c>
      <c r="B66" s="843">
        <v>36.0</v>
      </c>
      <c r="C66" s="844">
        <v>16500.0</v>
      </c>
      <c r="D66" s="844">
        <v>41250.0</v>
      </c>
      <c r="E66" s="845" t="s">
        <v>3031</v>
      </c>
      <c r="F66" s="846">
        <v>405.0</v>
      </c>
      <c r="H66" s="842">
        <v>8.0</v>
      </c>
      <c r="I66" s="843">
        <v>85.0</v>
      </c>
      <c r="J66" s="844">
        <v>33000.0</v>
      </c>
      <c r="K66" s="844">
        <v>165000.0</v>
      </c>
      <c r="L66" s="845" t="s">
        <v>3032</v>
      </c>
      <c r="M66" s="846">
        <v>630.0</v>
      </c>
      <c r="O66" s="842">
        <v>8.0</v>
      </c>
      <c r="P66" s="843">
        <v>18.0</v>
      </c>
      <c r="Q66" s="844">
        <v>88000.0</v>
      </c>
      <c r="R66" s="844">
        <v>880000.0</v>
      </c>
      <c r="S66" s="845" t="s">
        <v>3033</v>
      </c>
      <c r="T66" s="846">
        <v>1080.0</v>
      </c>
    </row>
    <row r="67">
      <c r="A67" s="837">
        <v>9.0</v>
      </c>
      <c r="B67" s="838">
        <v>40.0</v>
      </c>
      <c r="C67" s="839">
        <v>18000.0</v>
      </c>
      <c r="D67" s="839">
        <v>45000.0</v>
      </c>
      <c r="E67" s="840" t="s">
        <v>3034</v>
      </c>
      <c r="F67" s="841">
        <v>450.0</v>
      </c>
      <c r="H67" s="837">
        <v>9.0</v>
      </c>
      <c r="I67" s="838">
        <v>95.0</v>
      </c>
      <c r="J67" s="839">
        <v>36000.0</v>
      </c>
      <c r="K67" s="839">
        <v>180000.0</v>
      </c>
      <c r="L67" s="840" t="s">
        <v>3035</v>
      </c>
      <c r="M67" s="841">
        <v>700.0</v>
      </c>
      <c r="O67" s="837">
        <v>9.0</v>
      </c>
      <c r="P67" s="838">
        <v>20.0</v>
      </c>
      <c r="Q67" s="839">
        <v>96000.0</v>
      </c>
      <c r="R67" s="839">
        <v>960000.0</v>
      </c>
      <c r="S67" s="840" t="s">
        <v>3036</v>
      </c>
      <c r="T67" s="841">
        <v>1200.0</v>
      </c>
    </row>
    <row r="68">
      <c r="A68" s="842">
        <v>10.0</v>
      </c>
      <c r="B68" s="843">
        <v>44.0</v>
      </c>
      <c r="C68" s="844">
        <v>19500.0</v>
      </c>
      <c r="D68" s="844">
        <v>48750.0</v>
      </c>
      <c r="E68" s="845" t="s">
        <v>3037</v>
      </c>
      <c r="F68" s="846">
        <v>495.0</v>
      </c>
      <c r="H68" s="842">
        <v>10.0</v>
      </c>
      <c r="I68" s="843">
        <v>105.0</v>
      </c>
      <c r="J68" s="844">
        <v>39000.0</v>
      </c>
      <c r="K68" s="844">
        <v>195000.0</v>
      </c>
      <c r="L68" s="845" t="s">
        <v>3038</v>
      </c>
      <c r="M68" s="846">
        <v>770.0</v>
      </c>
      <c r="O68" s="842">
        <v>10.0</v>
      </c>
      <c r="P68" s="843">
        <v>22.0</v>
      </c>
      <c r="Q68" s="844">
        <v>104000.0</v>
      </c>
      <c r="R68" s="844">
        <v>1040000.0</v>
      </c>
      <c r="S68" s="845" t="s">
        <v>3039</v>
      </c>
      <c r="T68" s="846">
        <v>1320.0</v>
      </c>
    </row>
    <row r="69">
      <c r="A69" s="847" t="s">
        <v>2518</v>
      </c>
      <c r="B69" s="848">
        <f t="shared" ref="B69:D69" si="13">SUM(B59:B68)</f>
        <v>260</v>
      </c>
      <c r="C69" s="849">
        <f t="shared" si="13"/>
        <v>127500</v>
      </c>
      <c r="D69" s="849">
        <f t="shared" si="13"/>
        <v>318750</v>
      </c>
      <c r="E69" s="850"/>
      <c r="F69" s="851">
        <f>SUM(F59:F68)</f>
        <v>2725</v>
      </c>
      <c r="H69" s="847" t="s">
        <v>2518</v>
      </c>
      <c r="I69" s="852">
        <f t="shared" ref="I69:K69" si="14">SUM(I59:I68)</f>
        <v>600</v>
      </c>
      <c r="J69" s="849">
        <f t="shared" si="14"/>
        <v>255000</v>
      </c>
      <c r="K69" s="849">
        <f t="shared" si="14"/>
        <v>1275000</v>
      </c>
      <c r="L69" s="850"/>
      <c r="M69" s="851">
        <f>SUM(M59:M68)</f>
        <v>4550</v>
      </c>
      <c r="O69" s="847" t="s">
        <v>2518</v>
      </c>
      <c r="P69" s="852">
        <f t="shared" ref="P69:R69" si="15">SUM(P59:P68)</f>
        <v>130</v>
      </c>
      <c r="Q69" s="849">
        <f t="shared" si="15"/>
        <v>680000</v>
      </c>
      <c r="R69" s="849">
        <f t="shared" si="15"/>
        <v>6800000</v>
      </c>
      <c r="S69" s="850"/>
      <c r="T69" s="851">
        <f>SUM(T59:T68)</f>
        <v>7800</v>
      </c>
    </row>
    <row r="70">
      <c r="A70" s="827"/>
      <c r="B70" s="828"/>
      <c r="C70" s="828"/>
      <c r="D70" s="828"/>
      <c r="E70" s="828"/>
      <c r="F70" s="829"/>
      <c r="H70" s="827"/>
      <c r="I70" s="828"/>
      <c r="J70" s="828"/>
      <c r="K70" s="828"/>
      <c r="L70" s="828"/>
      <c r="M70" s="829"/>
      <c r="O70" s="827"/>
      <c r="P70" s="828"/>
      <c r="Q70" s="828"/>
      <c r="R70" s="828"/>
      <c r="S70" s="828"/>
      <c r="T70" s="829"/>
    </row>
    <row r="71">
      <c r="A71" s="827"/>
      <c r="B71" s="828"/>
      <c r="C71" s="828"/>
      <c r="D71" s="828"/>
      <c r="E71" s="828"/>
      <c r="F71" s="829"/>
      <c r="H71" s="827"/>
      <c r="I71" s="828"/>
      <c r="J71" s="828"/>
      <c r="K71" s="828"/>
      <c r="L71" s="828"/>
      <c r="M71" s="829"/>
      <c r="O71" s="827"/>
      <c r="P71" s="828"/>
      <c r="Q71" s="828"/>
      <c r="R71" s="828"/>
      <c r="S71" s="828"/>
      <c r="T71" s="829"/>
    </row>
    <row r="72">
      <c r="A72" s="811" t="s">
        <v>3040</v>
      </c>
      <c r="B72" s="813"/>
      <c r="C72" s="812" t="s">
        <v>2872</v>
      </c>
      <c r="D72" s="812" t="s">
        <v>2873</v>
      </c>
      <c r="E72" s="813"/>
      <c r="F72" s="814" t="s">
        <v>2874</v>
      </c>
      <c r="H72" s="811" t="s">
        <v>3041</v>
      </c>
      <c r="I72" s="813"/>
      <c r="J72" s="812" t="s">
        <v>2872</v>
      </c>
      <c r="K72" s="812" t="s">
        <v>2873</v>
      </c>
      <c r="L72" s="813"/>
      <c r="M72" s="814" t="s">
        <v>2874</v>
      </c>
      <c r="O72" s="811" t="s">
        <v>3042</v>
      </c>
      <c r="P72" s="813"/>
      <c r="Q72" s="812" t="s">
        <v>2872</v>
      </c>
      <c r="R72" s="812" t="s">
        <v>2873</v>
      </c>
      <c r="S72" s="813"/>
      <c r="T72" s="814" t="s">
        <v>2874</v>
      </c>
    </row>
    <row r="73">
      <c r="A73" s="815">
        <v>1.0</v>
      </c>
      <c r="B73" s="816">
        <v>10.0</v>
      </c>
      <c r="C73" s="817">
        <v>8000.0</v>
      </c>
      <c r="D73" s="817">
        <v>20000.0</v>
      </c>
      <c r="E73" s="818" t="s">
        <v>2946</v>
      </c>
      <c r="F73" s="819">
        <v>100.0</v>
      </c>
      <c r="H73" s="815">
        <v>1.0</v>
      </c>
      <c r="I73" s="816">
        <v>18.0</v>
      </c>
      <c r="J73" s="817">
        <v>16000.0</v>
      </c>
      <c r="K73" s="817">
        <v>80000.0</v>
      </c>
      <c r="L73" s="818" t="s">
        <v>2945</v>
      </c>
      <c r="M73" s="819">
        <v>160.0</v>
      </c>
      <c r="O73" s="815">
        <v>1.0</v>
      </c>
      <c r="P73" s="816">
        <v>6.0</v>
      </c>
      <c r="Q73" s="817">
        <v>48000.0</v>
      </c>
      <c r="R73" s="817">
        <v>480000.0</v>
      </c>
      <c r="S73" s="818" t="s">
        <v>3043</v>
      </c>
      <c r="T73" s="819">
        <v>280.0</v>
      </c>
    </row>
    <row r="74">
      <c r="A74" s="815">
        <v>2.0</v>
      </c>
      <c r="B74" s="816">
        <v>15.0</v>
      </c>
      <c r="C74" s="817">
        <v>10000.0</v>
      </c>
      <c r="D74" s="817">
        <v>25000.0</v>
      </c>
      <c r="E74" s="818" t="s">
        <v>2949</v>
      </c>
      <c r="F74" s="819">
        <v>150.0</v>
      </c>
      <c r="H74" s="815">
        <v>2.0</v>
      </c>
      <c r="I74" s="816">
        <v>30.0</v>
      </c>
      <c r="J74" s="817">
        <v>20000.0</v>
      </c>
      <c r="K74" s="817">
        <v>100000.0</v>
      </c>
      <c r="L74" s="818" t="s">
        <v>2948</v>
      </c>
      <c r="M74" s="819">
        <v>240.0</v>
      </c>
      <c r="O74" s="815">
        <v>2.0</v>
      </c>
      <c r="P74" s="816">
        <v>9.0</v>
      </c>
      <c r="Q74" s="817">
        <v>60000.0</v>
      </c>
      <c r="R74" s="817">
        <v>600000.0</v>
      </c>
      <c r="S74" s="818" t="s">
        <v>3044</v>
      </c>
      <c r="T74" s="819">
        <v>420.0</v>
      </c>
    </row>
    <row r="75">
      <c r="A75" s="815">
        <v>3.0</v>
      </c>
      <c r="B75" s="816">
        <v>20.0</v>
      </c>
      <c r="C75" s="817">
        <v>12000.0</v>
      </c>
      <c r="D75" s="817">
        <v>30000.0</v>
      </c>
      <c r="E75" s="818" t="s">
        <v>2952</v>
      </c>
      <c r="F75" s="819">
        <v>200.0</v>
      </c>
      <c r="H75" s="815">
        <v>3.0</v>
      </c>
      <c r="I75" s="816">
        <v>42.0</v>
      </c>
      <c r="J75" s="817">
        <v>24000.0</v>
      </c>
      <c r="K75" s="817">
        <v>120000.0</v>
      </c>
      <c r="L75" s="818" t="s">
        <v>2951</v>
      </c>
      <c r="M75" s="819">
        <v>320.0</v>
      </c>
      <c r="O75" s="815">
        <v>3.0</v>
      </c>
      <c r="P75" s="816">
        <v>12.0</v>
      </c>
      <c r="Q75" s="817">
        <v>72000.0</v>
      </c>
      <c r="R75" s="817">
        <v>720000.0</v>
      </c>
      <c r="S75" s="818" t="s">
        <v>3045</v>
      </c>
      <c r="T75" s="819">
        <v>560.0</v>
      </c>
    </row>
    <row r="76">
      <c r="A76" s="815">
        <v>4.0</v>
      </c>
      <c r="B76" s="816">
        <v>25.0</v>
      </c>
      <c r="C76" s="817">
        <v>14000.0</v>
      </c>
      <c r="D76" s="817">
        <v>35000.0</v>
      </c>
      <c r="E76" s="818" t="s">
        <v>2955</v>
      </c>
      <c r="F76" s="819">
        <v>250.0</v>
      </c>
      <c r="H76" s="815">
        <v>4.0</v>
      </c>
      <c r="I76" s="816">
        <v>54.0</v>
      </c>
      <c r="J76" s="817">
        <v>28000.0</v>
      </c>
      <c r="K76" s="817">
        <v>140000.0</v>
      </c>
      <c r="L76" s="818" t="s">
        <v>2954</v>
      </c>
      <c r="M76" s="819">
        <v>400.0</v>
      </c>
      <c r="O76" s="815">
        <v>4.0</v>
      </c>
      <c r="P76" s="816">
        <v>15.0</v>
      </c>
      <c r="Q76" s="817">
        <v>84000.0</v>
      </c>
      <c r="R76" s="817">
        <v>840000.0</v>
      </c>
      <c r="S76" s="818" t="s">
        <v>3046</v>
      </c>
      <c r="T76" s="819">
        <v>700.0</v>
      </c>
    </row>
    <row r="77">
      <c r="A77" s="815">
        <v>5.0</v>
      </c>
      <c r="B77" s="816">
        <v>30.0</v>
      </c>
      <c r="C77" s="817">
        <v>16000.0</v>
      </c>
      <c r="D77" s="817">
        <v>40000.0</v>
      </c>
      <c r="E77" s="818" t="s">
        <v>2958</v>
      </c>
      <c r="F77" s="819">
        <v>300.0</v>
      </c>
      <c r="H77" s="815">
        <v>5.0</v>
      </c>
      <c r="I77" s="816">
        <v>66.0</v>
      </c>
      <c r="J77" s="817">
        <v>32000.0</v>
      </c>
      <c r="K77" s="817">
        <v>160000.0</v>
      </c>
      <c r="L77" s="818" t="s">
        <v>2957</v>
      </c>
      <c r="M77" s="819">
        <v>480.0</v>
      </c>
      <c r="O77" s="815">
        <v>5.0</v>
      </c>
      <c r="P77" s="816">
        <v>18.0</v>
      </c>
      <c r="Q77" s="817">
        <v>96000.0</v>
      </c>
      <c r="R77" s="817">
        <v>960000.0</v>
      </c>
      <c r="S77" s="818" t="s">
        <v>3047</v>
      </c>
      <c r="T77" s="819">
        <v>840.0</v>
      </c>
    </row>
    <row r="78">
      <c r="A78" s="815">
        <v>6.0</v>
      </c>
      <c r="B78" s="816">
        <v>35.0</v>
      </c>
      <c r="C78" s="817">
        <v>18000.0</v>
      </c>
      <c r="D78" s="817">
        <v>45000.0</v>
      </c>
      <c r="E78" s="818" t="s">
        <v>2961</v>
      </c>
      <c r="F78" s="819">
        <v>350.0</v>
      </c>
      <c r="H78" s="815">
        <v>6.0</v>
      </c>
      <c r="I78" s="816">
        <v>78.0</v>
      </c>
      <c r="J78" s="817">
        <v>36000.0</v>
      </c>
      <c r="K78" s="817">
        <v>180000.0</v>
      </c>
      <c r="L78" s="818" t="s">
        <v>2960</v>
      </c>
      <c r="M78" s="819">
        <v>560.0</v>
      </c>
      <c r="O78" s="815">
        <v>6.0</v>
      </c>
      <c r="P78" s="816">
        <v>21.0</v>
      </c>
      <c r="Q78" s="817">
        <v>108000.0</v>
      </c>
      <c r="R78" s="817">
        <v>1080000.0</v>
      </c>
      <c r="S78" s="818" t="s">
        <v>3048</v>
      </c>
      <c r="T78" s="819">
        <v>980.0</v>
      </c>
    </row>
    <row r="79">
      <c r="A79" s="815">
        <v>7.0</v>
      </c>
      <c r="B79" s="816">
        <v>40.0</v>
      </c>
      <c r="C79" s="817">
        <v>20000.0</v>
      </c>
      <c r="D79" s="817">
        <v>50000.0</v>
      </c>
      <c r="E79" s="818" t="s">
        <v>2964</v>
      </c>
      <c r="F79" s="819">
        <v>400.0</v>
      </c>
      <c r="H79" s="815">
        <v>7.0</v>
      </c>
      <c r="I79" s="816">
        <v>90.0</v>
      </c>
      <c r="J79" s="817">
        <v>40000.0</v>
      </c>
      <c r="K79" s="817">
        <v>200000.0</v>
      </c>
      <c r="L79" s="818" t="s">
        <v>2963</v>
      </c>
      <c r="M79" s="819">
        <v>640.0</v>
      </c>
      <c r="O79" s="815">
        <v>7.0</v>
      </c>
      <c r="P79" s="816">
        <v>24.0</v>
      </c>
      <c r="Q79" s="817">
        <v>120000.0</v>
      </c>
      <c r="R79" s="817">
        <v>1200000.0</v>
      </c>
      <c r="S79" s="818" t="s">
        <v>3049</v>
      </c>
      <c r="T79" s="819">
        <v>1120.0</v>
      </c>
    </row>
    <row r="80">
      <c r="A80" s="815">
        <v>8.0</v>
      </c>
      <c r="B80" s="816">
        <v>45.0</v>
      </c>
      <c r="C80" s="817">
        <v>22000.0</v>
      </c>
      <c r="D80" s="817">
        <v>55000.0</v>
      </c>
      <c r="E80" s="818" t="s">
        <v>2967</v>
      </c>
      <c r="F80" s="819">
        <v>450.0</v>
      </c>
      <c r="H80" s="815">
        <v>8.0</v>
      </c>
      <c r="I80" s="816">
        <v>102.0</v>
      </c>
      <c r="J80" s="817">
        <v>44000.0</v>
      </c>
      <c r="K80" s="817">
        <v>220000.0</v>
      </c>
      <c r="L80" s="818" t="s">
        <v>2966</v>
      </c>
      <c r="M80" s="819">
        <v>720.0</v>
      </c>
      <c r="O80" s="815">
        <v>8.0</v>
      </c>
      <c r="P80" s="816">
        <v>27.0</v>
      </c>
      <c r="Q80" s="817">
        <v>132000.0</v>
      </c>
      <c r="R80" s="817">
        <v>1320000.0</v>
      </c>
      <c r="S80" s="818" t="s">
        <v>3050</v>
      </c>
      <c r="T80" s="819">
        <v>1260.0</v>
      </c>
    </row>
    <row r="81">
      <c r="A81" s="815">
        <v>9.0</v>
      </c>
      <c r="B81" s="816">
        <v>50.0</v>
      </c>
      <c r="C81" s="817">
        <v>24000.0</v>
      </c>
      <c r="D81" s="817">
        <v>60000.0</v>
      </c>
      <c r="E81" s="818" t="s">
        <v>2969</v>
      </c>
      <c r="F81" s="819">
        <v>500.0</v>
      </c>
      <c r="H81" s="815">
        <v>9.0</v>
      </c>
      <c r="I81" s="816">
        <v>114.0</v>
      </c>
      <c r="J81" s="817">
        <v>48000.0</v>
      </c>
      <c r="K81" s="817">
        <v>240000.0</v>
      </c>
      <c r="L81" s="818" t="s">
        <v>2965</v>
      </c>
      <c r="M81" s="819">
        <v>800.0</v>
      </c>
      <c r="O81" s="815">
        <v>9.0</v>
      </c>
      <c r="P81" s="816">
        <v>30.0</v>
      </c>
      <c r="Q81" s="817">
        <v>144000.0</v>
      </c>
      <c r="R81" s="817">
        <v>1440000.0</v>
      </c>
      <c r="S81" s="818" t="s">
        <v>3051</v>
      </c>
      <c r="T81" s="819">
        <v>1400.0</v>
      </c>
    </row>
    <row r="82">
      <c r="A82" s="815">
        <v>10.0</v>
      </c>
      <c r="B82" s="816">
        <v>55.0</v>
      </c>
      <c r="C82" s="817">
        <v>26000.0</v>
      </c>
      <c r="D82" s="817">
        <v>65000.0</v>
      </c>
      <c r="E82" s="818" t="s">
        <v>2972</v>
      </c>
      <c r="F82" s="819">
        <v>550.0</v>
      </c>
      <c r="H82" s="815">
        <v>10.0</v>
      </c>
      <c r="I82" s="816">
        <v>126.0</v>
      </c>
      <c r="J82" s="817">
        <v>52000.0</v>
      </c>
      <c r="K82" s="817">
        <v>260000.0</v>
      </c>
      <c r="L82" s="818" t="s">
        <v>2971</v>
      </c>
      <c r="M82" s="819">
        <v>880.0</v>
      </c>
      <c r="O82" s="815">
        <v>10.0</v>
      </c>
      <c r="P82" s="816">
        <v>33.0</v>
      </c>
      <c r="Q82" s="817">
        <v>156000.0</v>
      </c>
      <c r="R82" s="817">
        <v>1560000.0</v>
      </c>
      <c r="S82" s="818" t="s">
        <v>3052</v>
      </c>
      <c r="T82" s="819">
        <v>1540.0</v>
      </c>
    </row>
    <row r="83">
      <c r="A83" s="820" t="s">
        <v>2518</v>
      </c>
      <c r="B83" s="821">
        <f t="shared" ref="B83:D83" si="16">SUM(B73:B82)</f>
        <v>325</v>
      </c>
      <c r="C83" s="822">
        <f t="shared" si="16"/>
        <v>170000</v>
      </c>
      <c r="D83" s="822">
        <f t="shared" si="16"/>
        <v>425000</v>
      </c>
      <c r="E83" s="823"/>
      <c r="F83" s="824">
        <f>SUM(F73:F82)</f>
        <v>3250</v>
      </c>
      <c r="H83" s="820" t="s">
        <v>2518</v>
      </c>
      <c r="I83" s="821">
        <f t="shared" ref="I83:K83" si="17">SUM(I73:I82)</f>
        <v>720</v>
      </c>
      <c r="J83" s="822">
        <f t="shared" si="17"/>
        <v>340000</v>
      </c>
      <c r="K83" s="822">
        <f t="shared" si="17"/>
        <v>1700000</v>
      </c>
      <c r="L83" s="823"/>
      <c r="M83" s="824">
        <f>SUM(M73:M82)</f>
        <v>5200</v>
      </c>
      <c r="O83" s="820" t="s">
        <v>2518</v>
      </c>
      <c r="P83" s="821">
        <f t="shared" ref="P83:R83" si="18">SUM(P73:P82)</f>
        <v>195</v>
      </c>
      <c r="Q83" s="822">
        <f t="shared" si="18"/>
        <v>1020000</v>
      </c>
      <c r="R83" s="822">
        <f t="shared" si="18"/>
        <v>10200000</v>
      </c>
      <c r="S83" s="823"/>
      <c r="T83" s="824">
        <f>SUM(T73:T82)</f>
        <v>9100</v>
      </c>
    </row>
    <row r="84">
      <c r="A84" s="827"/>
      <c r="B84" s="828"/>
      <c r="C84" s="828"/>
      <c r="D84" s="828"/>
      <c r="E84" s="828"/>
      <c r="F84" s="829"/>
      <c r="H84" s="827"/>
      <c r="I84" s="828"/>
      <c r="J84" s="828"/>
      <c r="K84" s="828"/>
      <c r="L84" s="828"/>
      <c r="M84" s="829"/>
      <c r="O84" s="827"/>
      <c r="P84" s="828"/>
      <c r="Q84" s="828"/>
      <c r="R84" s="828"/>
      <c r="S84" s="828"/>
      <c r="T84" s="829"/>
    </row>
    <row r="85">
      <c r="A85" s="827"/>
      <c r="B85" s="828"/>
      <c r="C85" s="828"/>
      <c r="D85" s="828"/>
      <c r="E85" s="828"/>
      <c r="F85" s="829"/>
      <c r="H85" s="827"/>
      <c r="I85" s="828"/>
      <c r="J85" s="828"/>
      <c r="K85" s="828"/>
      <c r="L85" s="828"/>
      <c r="M85" s="829"/>
      <c r="O85" s="827"/>
      <c r="P85" s="828"/>
      <c r="Q85" s="828"/>
      <c r="R85" s="828"/>
      <c r="S85" s="828"/>
      <c r="T85" s="829"/>
    </row>
    <row r="86">
      <c r="A86" s="811" t="s">
        <v>3053</v>
      </c>
      <c r="B86" s="813"/>
      <c r="C86" s="812" t="s">
        <v>2872</v>
      </c>
      <c r="D86" s="812" t="s">
        <v>2873</v>
      </c>
      <c r="E86" s="813"/>
      <c r="F86" s="814" t="s">
        <v>2874</v>
      </c>
      <c r="H86" s="811" t="s">
        <v>3054</v>
      </c>
      <c r="I86" s="813"/>
      <c r="J86" s="812" t="s">
        <v>2872</v>
      </c>
      <c r="K86" s="812" t="s">
        <v>2873</v>
      </c>
      <c r="L86" s="813"/>
      <c r="M86" s="814" t="s">
        <v>2874</v>
      </c>
      <c r="O86" s="811" t="s">
        <v>3055</v>
      </c>
      <c r="P86" s="813"/>
      <c r="Q86" s="812" t="s">
        <v>2872</v>
      </c>
      <c r="R86" s="812" t="s">
        <v>2873</v>
      </c>
      <c r="S86" s="813"/>
      <c r="T86" s="814" t="s">
        <v>2874</v>
      </c>
    </row>
    <row r="87">
      <c r="A87" s="815">
        <v>1.0</v>
      </c>
      <c r="B87" s="816">
        <v>20.0</v>
      </c>
      <c r="C87" s="817">
        <v>20000.0</v>
      </c>
      <c r="D87" s="817">
        <v>50000.0</v>
      </c>
      <c r="E87" s="818" t="s">
        <v>3056</v>
      </c>
      <c r="F87" s="819">
        <v>400.0</v>
      </c>
      <c r="H87" s="815">
        <v>1.0</v>
      </c>
      <c r="I87" s="816">
        <v>72.0</v>
      </c>
      <c r="J87" s="817">
        <v>50000.0</v>
      </c>
      <c r="K87" s="817">
        <v>120000.0</v>
      </c>
      <c r="L87" s="818" t="s">
        <v>3057</v>
      </c>
      <c r="M87" s="819">
        <v>1800.0</v>
      </c>
      <c r="O87" s="815">
        <v>1.0</v>
      </c>
      <c r="P87" s="816">
        <v>10.0</v>
      </c>
      <c r="Q87" s="817">
        <v>72000.0</v>
      </c>
      <c r="R87" s="817">
        <v>720000.0</v>
      </c>
      <c r="S87" s="818" t="s">
        <v>3058</v>
      </c>
      <c r="T87" s="819">
        <v>6000.0</v>
      </c>
    </row>
    <row r="88">
      <c r="A88" s="815">
        <v>2.0</v>
      </c>
      <c r="B88" s="816">
        <v>40.0</v>
      </c>
      <c r="C88" s="817">
        <v>40000.0</v>
      </c>
      <c r="D88" s="817">
        <v>100000.0</v>
      </c>
      <c r="E88" s="818" t="s">
        <v>3059</v>
      </c>
      <c r="F88" s="819">
        <v>450.0</v>
      </c>
      <c r="H88" s="815">
        <v>2.0</v>
      </c>
      <c r="I88" s="816">
        <v>216.0</v>
      </c>
      <c r="J88" s="817">
        <v>150000.0</v>
      </c>
      <c r="K88" s="817">
        <v>360000.0</v>
      </c>
      <c r="L88" s="818" t="s">
        <v>3060</v>
      </c>
      <c r="M88" s="819">
        <v>2100.0</v>
      </c>
      <c r="O88" s="815">
        <v>2.0</v>
      </c>
      <c r="P88" s="816">
        <v>18.0</v>
      </c>
      <c r="Q88" s="817">
        <v>94000.0</v>
      </c>
      <c r="R88" s="817">
        <v>1040000.0</v>
      </c>
      <c r="S88" s="818" t="s">
        <v>3061</v>
      </c>
      <c r="T88" s="819">
        <v>7000.0</v>
      </c>
    </row>
    <row r="89">
      <c r="A89" s="815">
        <v>3.0</v>
      </c>
      <c r="B89" s="816">
        <v>60.0</v>
      </c>
      <c r="C89" s="817">
        <v>60000.0</v>
      </c>
      <c r="D89" s="817">
        <v>150000.0</v>
      </c>
      <c r="E89" s="818" t="s">
        <v>3062</v>
      </c>
      <c r="F89" s="819">
        <v>500.0</v>
      </c>
      <c r="H89" s="815">
        <v>3.0</v>
      </c>
      <c r="I89" s="816">
        <v>360.0</v>
      </c>
      <c r="J89" s="817">
        <v>250000.0</v>
      </c>
      <c r="K89" s="817">
        <v>600000.0</v>
      </c>
      <c r="L89" s="818" t="s">
        <v>3063</v>
      </c>
      <c r="M89" s="819">
        <v>2400.0</v>
      </c>
      <c r="O89" s="815">
        <v>3.0</v>
      </c>
      <c r="P89" s="816">
        <v>26.0</v>
      </c>
      <c r="Q89" s="817">
        <v>136000.0</v>
      </c>
      <c r="R89" s="817">
        <v>1360000.0</v>
      </c>
      <c r="S89" s="818" t="s">
        <v>3061</v>
      </c>
      <c r="T89" s="819">
        <v>8000.0</v>
      </c>
    </row>
    <row r="90">
      <c r="A90" s="820" t="s">
        <v>2518</v>
      </c>
      <c r="B90" s="821">
        <f>SUM(B87:B89)</f>
        <v>120</v>
      </c>
      <c r="C90" s="822">
        <f t="shared" ref="C90:D90" si="19">sum(C87:C89)</f>
        <v>120000</v>
      </c>
      <c r="D90" s="822">
        <f t="shared" si="19"/>
        <v>300000</v>
      </c>
      <c r="E90" s="823"/>
      <c r="F90" s="824">
        <f>sum(F87:F89)</f>
        <v>1350</v>
      </c>
      <c r="H90" s="820" t="s">
        <v>2518</v>
      </c>
      <c r="I90" s="831">
        <f>SUM(I87:I89)</f>
        <v>648</v>
      </c>
      <c r="J90" s="822">
        <f t="shared" ref="J90:K90" si="20">sum(J87:J89)</f>
        <v>450000</v>
      </c>
      <c r="K90" s="822">
        <f t="shared" si="20"/>
        <v>1080000</v>
      </c>
      <c r="L90" s="823"/>
      <c r="M90" s="824">
        <f>sum(M87:M89)</f>
        <v>6300</v>
      </c>
      <c r="O90" s="815">
        <v>4.0</v>
      </c>
      <c r="P90" s="816">
        <v>34.0</v>
      </c>
      <c r="Q90" s="817">
        <v>168000.0</v>
      </c>
      <c r="R90" s="817">
        <v>1680000.0</v>
      </c>
      <c r="S90" s="818" t="s">
        <v>3064</v>
      </c>
      <c r="T90" s="819">
        <v>9000.0</v>
      </c>
    </row>
    <row r="91">
      <c r="A91" s="827"/>
      <c r="B91" s="828"/>
      <c r="C91" s="828"/>
      <c r="D91" s="828"/>
      <c r="E91" s="828"/>
      <c r="F91" s="829"/>
      <c r="H91" s="853"/>
      <c r="I91" s="681"/>
      <c r="J91" s="681"/>
      <c r="K91" s="681"/>
      <c r="L91" s="681"/>
      <c r="M91" s="682"/>
      <c r="O91" s="815">
        <v>5.0</v>
      </c>
      <c r="P91" s="816">
        <v>42.0</v>
      </c>
      <c r="Q91" s="817">
        <v>200000.0</v>
      </c>
      <c r="R91" s="817">
        <v>2000000.0</v>
      </c>
      <c r="S91" s="818" t="s">
        <v>3064</v>
      </c>
      <c r="T91" s="819">
        <v>10000.0</v>
      </c>
    </row>
    <row r="92">
      <c r="A92" s="827"/>
      <c r="B92" s="828"/>
      <c r="C92" s="828"/>
      <c r="D92" s="828"/>
      <c r="E92" s="828"/>
      <c r="F92" s="829"/>
      <c r="H92" s="854"/>
      <c r="I92" s="165"/>
      <c r="J92" s="165"/>
      <c r="K92" s="165"/>
      <c r="L92" s="165"/>
      <c r="M92" s="166"/>
      <c r="O92" s="820" t="s">
        <v>2518</v>
      </c>
      <c r="P92" s="831">
        <f>SUM(P87:P91)</f>
        <v>130</v>
      </c>
      <c r="Q92" s="822">
        <f t="shared" ref="Q92:R92" si="21">sum(Q87:Q91)</f>
        <v>670000</v>
      </c>
      <c r="R92" s="822">
        <f t="shared" si="21"/>
        <v>6800000</v>
      </c>
      <c r="S92" s="823"/>
      <c r="T92" s="824">
        <f>sum(T87:T91)</f>
        <v>40000</v>
      </c>
    </row>
    <row r="93">
      <c r="A93" s="811" t="s">
        <v>3065</v>
      </c>
      <c r="B93" s="813"/>
      <c r="C93" s="812" t="s">
        <v>2872</v>
      </c>
      <c r="D93" s="812" t="s">
        <v>2873</v>
      </c>
      <c r="E93" s="813"/>
      <c r="F93" s="814" t="s">
        <v>2874</v>
      </c>
      <c r="H93" s="811" t="s">
        <v>3066</v>
      </c>
      <c r="I93" s="813"/>
      <c r="J93" s="812" t="s">
        <v>2872</v>
      </c>
      <c r="K93" s="812" t="s">
        <v>2873</v>
      </c>
      <c r="L93" s="813"/>
      <c r="M93" s="814" t="s">
        <v>2874</v>
      </c>
      <c r="O93" s="827"/>
      <c r="P93" s="828"/>
      <c r="Q93" s="828"/>
      <c r="R93" s="828"/>
      <c r="S93" s="828"/>
      <c r="T93" s="829"/>
    </row>
    <row r="94">
      <c r="A94" s="855">
        <v>1.0</v>
      </c>
      <c r="B94" s="831">
        <v>120.0</v>
      </c>
      <c r="C94" s="822">
        <v>30000.0</v>
      </c>
      <c r="D94" s="822">
        <v>75000.0</v>
      </c>
      <c r="E94" s="823"/>
      <c r="F94" s="856">
        <v>500.0</v>
      </c>
      <c r="H94" s="855">
        <v>1.0</v>
      </c>
      <c r="I94" s="831">
        <v>720.0</v>
      </c>
      <c r="J94" s="822">
        <v>60000.0</v>
      </c>
      <c r="K94" s="822">
        <v>300000.0</v>
      </c>
      <c r="L94" s="823"/>
      <c r="M94" s="856">
        <v>800.0</v>
      </c>
      <c r="O94" s="827"/>
      <c r="P94" s="828"/>
      <c r="Q94" s="828"/>
      <c r="R94" s="828"/>
      <c r="S94" s="828"/>
      <c r="T94" s="829"/>
    </row>
    <row r="95">
      <c r="A95" s="826"/>
      <c r="B95" s="826"/>
      <c r="C95" s="826"/>
      <c r="D95" s="826"/>
      <c r="E95" s="826"/>
      <c r="F95" s="826"/>
      <c r="H95" s="826"/>
      <c r="I95" s="826"/>
      <c r="J95" s="826"/>
      <c r="K95" s="826"/>
      <c r="L95" s="826"/>
      <c r="M95" s="826"/>
      <c r="O95" s="811" t="s">
        <v>3067</v>
      </c>
      <c r="P95" s="813"/>
      <c r="Q95" s="812" t="s">
        <v>2872</v>
      </c>
      <c r="R95" s="812" t="s">
        <v>2873</v>
      </c>
      <c r="S95" s="813"/>
      <c r="T95" s="814" t="s">
        <v>2874</v>
      </c>
    </row>
    <row r="96">
      <c r="A96" s="828"/>
      <c r="B96" s="828"/>
      <c r="C96" s="828"/>
      <c r="D96" s="828"/>
      <c r="E96" s="828"/>
      <c r="F96" s="828"/>
      <c r="H96" s="828"/>
      <c r="I96" s="828"/>
      <c r="J96" s="828"/>
      <c r="K96" s="828"/>
      <c r="L96" s="828"/>
      <c r="M96" s="828"/>
      <c r="O96" s="855">
        <v>1.0</v>
      </c>
      <c r="P96" s="831">
        <v>180.0</v>
      </c>
      <c r="Q96" s="822">
        <v>160000.0</v>
      </c>
      <c r="R96" s="822">
        <v>1600000.0</v>
      </c>
      <c r="S96" s="823"/>
      <c r="T96" s="856">
        <v>1500.0</v>
      </c>
    </row>
    <row r="97">
      <c r="A97" s="857" t="s">
        <v>3068</v>
      </c>
      <c r="B97" s="858" t="s">
        <v>3069</v>
      </c>
      <c r="C97" s="439" t="s">
        <v>2878</v>
      </c>
      <c r="D97" s="858" t="s">
        <v>2872</v>
      </c>
      <c r="E97" s="858" t="s">
        <v>3070</v>
      </c>
      <c r="F97" s="859" t="s">
        <v>2874</v>
      </c>
      <c r="H97" s="857" t="s">
        <v>3071</v>
      </c>
      <c r="I97" s="858" t="s">
        <v>3069</v>
      </c>
      <c r="J97" s="858" t="s">
        <v>2878</v>
      </c>
      <c r="K97" s="858" t="s">
        <v>2872</v>
      </c>
      <c r="L97" s="858" t="s">
        <v>3070</v>
      </c>
      <c r="M97" s="859" t="s">
        <v>2874</v>
      </c>
      <c r="N97" s="860"/>
      <c r="P97" s="826"/>
      <c r="Q97" s="826"/>
      <c r="R97" s="826"/>
      <c r="S97" s="826"/>
      <c r="T97" s="826"/>
      <c r="U97" s="826"/>
    </row>
    <row r="98">
      <c r="A98" s="861" t="s">
        <v>2518</v>
      </c>
      <c r="B98" s="862">
        <f>B13+B27+B41+B55+B69+B83+B90+B94</f>
        <v>1800</v>
      </c>
      <c r="C98" s="816">
        <f t="shared" ref="C98:C100" si="24">B98/24</f>
        <v>75</v>
      </c>
      <c r="D98" s="817">
        <f t="shared" ref="D98:E98" si="22">C13+C27+C41+C55+C69+C83+C90+C94</f>
        <v>915000</v>
      </c>
      <c r="E98" s="817">
        <f t="shared" si="22"/>
        <v>2288750</v>
      </c>
      <c r="F98" s="863">
        <f>F13+F27+F41+F55+F69+F83+F90+F94</f>
        <v>19200</v>
      </c>
      <c r="H98" s="861" t="s">
        <v>2518</v>
      </c>
      <c r="I98" s="862">
        <f>I13+I27+I41+I55+I69+I83+I90+I94</f>
        <v>4968</v>
      </c>
      <c r="J98" s="816">
        <f t="shared" ref="J98:J100" si="26">I98/24</f>
        <v>207</v>
      </c>
      <c r="K98" s="817">
        <f t="shared" ref="K98:L98" si="23">J13+J27+J41+J55+J69+J83+J90+J94</f>
        <v>2125000</v>
      </c>
      <c r="L98" s="817">
        <f t="shared" si="23"/>
        <v>9455000</v>
      </c>
      <c r="M98" s="863">
        <f>M13+M27+M41+M55+M69+M83+M90+M94</f>
        <v>34400</v>
      </c>
      <c r="N98" s="860"/>
      <c r="P98" s="828"/>
      <c r="Q98" s="828"/>
      <c r="R98" s="828"/>
      <c r="S98" s="828"/>
      <c r="T98" s="828"/>
      <c r="U98" s="828"/>
    </row>
    <row r="99">
      <c r="A99" s="861" t="s">
        <v>3072</v>
      </c>
      <c r="B99" s="862">
        <f>B55+B69+B90</f>
        <v>575</v>
      </c>
      <c r="C99" s="864">
        <f t="shared" si="24"/>
        <v>23.95833333</v>
      </c>
      <c r="D99" s="817">
        <f t="shared" ref="D99:E99" si="25">C55+C69+C90</f>
        <v>332500</v>
      </c>
      <c r="E99" s="817">
        <f t="shared" si="25"/>
        <v>831250</v>
      </c>
      <c r="F99" s="863">
        <f>F55+F69+F90</f>
        <v>6675</v>
      </c>
      <c r="H99" s="861" t="s">
        <v>3072</v>
      </c>
      <c r="I99" s="816">
        <f>I55+I69+I90</f>
        <v>1728</v>
      </c>
      <c r="J99" s="816">
        <f t="shared" si="26"/>
        <v>72</v>
      </c>
      <c r="K99" s="817">
        <f t="shared" ref="K99:L99" si="27">J55+J69+J90</f>
        <v>917500</v>
      </c>
      <c r="L99" s="817">
        <f t="shared" si="27"/>
        <v>3417500</v>
      </c>
      <c r="M99" s="863">
        <f>M55+M69+M90</f>
        <v>14750</v>
      </c>
      <c r="N99" s="860"/>
      <c r="O99" s="857" t="s">
        <v>3073</v>
      </c>
      <c r="P99" s="858" t="s">
        <v>2878</v>
      </c>
      <c r="Q99" s="858" t="s">
        <v>2872</v>
      </c>
      <c r="R99" s="858" t="s">
        <v>3070</v>
      </c>
      <c r="S99" s="859" t="s">
        <v>2874</v>
      </c>
      <c r="T99" s="860"/>
    </row>
    <row r="100">
      <c r="A100" s="820" t="s">
        <v>3074</v>
      </c>
      <c r="B100" s="821">
        <f>B98-B99</f>
        <v>1225</v>
      </c>
      <c r="C100" s="865">
        <f t="shared" si="24"/>
        <v>51.04166667</v>
      </c>
      <c r="D100" s="822">
        <f t="shared" ref="D100:F100" si="28">D98-D99</f>
        <v>582500</v>
      </c>
      <c r="E100" s="822">
        <f t="shared" si="28"/>
        <v>1457500</v>
      </c>
      <c r="F100" s="866">
        <f t="shared" si="28"/>
        <v>12525</v>
      </c>
      <c r="H100" s="820" t="s">
        <v>3074</v>
      </c>
      <c r="I100" s="821">
        <f>I98-I99</f>
        <v>3240</v>
      </c>
      <c r="J100" s="831">
        <f t="shared" si="26"/>
        <v>135</v>
      </c>
      <c r="K100" s="822">
        <f t="shared" ref="K100:M100" si="29">K98-K99</f>
        <v>1207500</v>
      </c>
      <c r="L100" s="822">
        <f t="shared" si="29"/>
        <v>6037500</v>
      </c>
      <c r="M100" s="866">
        <f t="shared" si="29"/>
        <v>19650</v>
      </c>
      <c r="O100" s="861" t="s">
        <v>2518</v>
      </c>
      <c r="P100" s="862">
        <f t="shared" ref="P100:R100" si="30">P13+P27+P41+P55+P69+P83+P92+P96</f>
        <v>1090</v>
      </c>
      <c r="Q100" s="817">
        <f t="shared" si="30"/>
        <v>5080000</v>
      </c>
      <c r="R100" s="817">
        <f t="shared" si="30"/>
        <v>50900000</v>
      </c>
      <c r="S100" s="863">
        <f>T13+T27+T41+T55+T69+T83+T92+T96</f>
        <v>88300</v>
      </c>
      <c r="T100" s="860"/>
    </row>
    <row r="101">
      <c r="O101" s="861" t="s">
        <v>3072</v>
      </c>
      <c r="P101" s="816">
        <f t="shared" ref="P101:R101" si="31">P55+P69+P92</f>
        <v>325</v>
      </c>
      <c r="Q101" s="817">
        <f t="shared" si="31"/>
        <v>1775000</v>
      </c>
      <c r="R101" s="817">
        <f t="shared" si="31"/>
        <v>17850000</v>
      </c>
      <c r="S101" s="863">
        <f>T55+T69+T92</f>
        <v>54300</v>
      </c>
      <c r="T101" s="860"/>
    </row>
    <row r="102">
      <c r="O102" s="820" t="s">
        <v>3074</v>
      </c>
      <c r="P102" s="821">
        <f t="shared" ref="P102:S102" si="32">P100-P101</f>
        <v>765</v>
      </c>
      <c r="Q102" s="822">
        <f t="shared" si="32"/>
        <v>3305000</v>
      </c>
      <c r="R102" s="822">
        <f t="shared" si="32"/>
        <v>33050000</v>
      </c>
      <c r="S102" s="866">
        <f t="shared" si="32"/>
        <v>34000</v>
      </c>
    </row>
    <row r="104">
      <c r="C104" s="867"/>
      <c r="J104" s="867"/>
    </row>
    <row r="106">
      <c r="P106" s="867"/>
    </row>
  </sheetData>
  <mergeCells count="3">
    <mergeCell ref="A58:B58"/>
    <mergeCell ref="H58:I58"/>
    <mergeCell ref="O58:P58"/>
  </mergeCells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1.73"/>
    <col customWidth="1" min="2" max="2" width="8.27"/>
    <col customWidth="1" min="3" max="3" width="7.73"/>
    <col customWidth="1" min="4" max="4" width="8.36"/>
    <col customWidth="1" min="5" max="5" width="7.64"/>
    <col customWidth="1" min="6" max="6" width="23.27"/>
    <col customWidth="1" min="7" max="7" width="8.45"/>
    <col customWidth="1" min="8" max="8" width="16.18"/>
    <col customWidth="1" min="9" max="9" width="11.55"/>
    <col customWidth="1" min="14" max="14" width="23.55"/>
    <col customWidth="1" min="17" max="17" width="11.45"/>
    <col customWidth="1" min="22" max="22" width="24.0"/>
  </cols>
  <sheetData>
    <row r="1">
      <c r="A1" s="810" t="s">
        <v>2867</v>
      </c>
      <c r="B1" s="681"/>
      <c r="C1" s="681"/>
      <c r="D1" s="681"/>
      <c r="E1" s="681"/>
      <c r="F1" s="681"/>
      <c r="G1" s="682"/>
      <c r="I1" s="810" t="s">
        <v>2868</v>
      </c>
      <c r="J1" s="681"/>
      <c r="K1" s="681"/>
      <c r="L1" s="681"/>
      <c r="M1" s="681"/>
      <c r="N1" s="681"/>
      <c r="O1" s="682"/>
      <c r="Q1" s="810" t="s">
        <v>2869</v>
      </c>
      <c r="R1" s="681"/>
      <c r="S1" s="681"/>
      <c r="T1" s="681"/>
      <c r="U1" s="681"/>
      <c r="V1" s="681"/>
      <c r="W1" s="682"/>
    </row>
    <row r="2">
      <c r="A2" s="811" t="s">
        <v>2870</v>
      </c>
      <c r="B2" s="812" t="s">
        <v>2871</v>
      </c>
      <c r="C2" s="812" t="s">
        <v>445</v>
      </c>
      <c r="D2" s="812" t="s">
        <v>446</v>
      </c>
      <c r="E2" s="812" t="s">
        <v>2873</v>
      </c>
      <c r="F2" s="813"/>
      <c r="G2" s="814" t="s">
        <v>2874</v>
      </c>
      <c r="I2" s="811" t="s">
        <v>2875</v>
      </c>
      <c r="J2" s="812" t="s">
        <v>2876</v>
      </c>
      <c r="K2" s="812" t="s">
        <v>445</v>
      </c>
      <c r="L2" s="812" t="s">
        <v>446</v>
      </c>
      <c r="M2" s="812" t="s">
        <v>2873</v>
      </c>
      <c r="N2" s="813"/>
      <c r="O2" s="814" t="s">
        <v>2874</v>
      </c>
      <c r="Q2" s="811" t="s">
        <v>2877</v>
      </c>
      <c r="R2" s="812" t="s">
        <v>2878</v>
      </c>
      <c r="S2" s="812" t="s">
        <v>445</v>
      </c>
      <c r="T2" s="812" t="s">
        <v>446</v>
      </c>
      <c r="U2" s="812" t="s">
        <v>2873</v>
      </c>
      <c r="V2" s="813"/>
      <c r="W2" s="814" t="s">
        <v>2874</v>
      </c>
    </row>
    <row r="3">
      <c r="A3" s="815">
        <v>1.0</v>
      </c>
      <c r="B3" s="816">
        <v>6.0</v>
      </c>
      <c r="C3" s="817">
        <v>8100.0</v>
      </c>
      <c r="D3" s="817">
        <v>5400.0</v>
      </c>
      <c r="E3" s="817">
        <v>10000.0</v>
      </c>
      <c r="F3" s="818" t="s">
        <v>2879</v>
      </c>
      <c r="G3" s="819">
        <v>80.0</v>
      </c>
      <c r="I3" s="815">
        <v>1.0</v>
      </c>
      <c r="J3" s="816">
        <v>12.0</v>
      </c>
      <c r="K3" s="817">
        <v>17000.0</v>
      </c>
      <c r="L3" s="817">
        <v>11000.0</v>
      </c>
      <c r="M3" s="817">
        <v>50000.0</v>
      </c>
      <c r="N3" s="818" t="s">
        <v>2880</v>
      </c>
      <c r="O3" s="819">
        <v>120.0</v>
      </c>
      <c r="Q3" s="815">
        <v>1.0</v>
      </c>
      <c r="R3" s="816">
        <v>2.0</v>
      </c>
      <c r="S3" s="817">
        <v>45000.0</v>
      </c>
      <c r="T3" s="817">
        <v>30000.0</v>
      </c>
      <c r="U3" s="817">
        <v>200000.0</v>
      </c>
      <c r="V3" s="818" t="s">
        <v>2881</v>
      </c>
      <c r="W3" s="819">
        <v>200.0</v>
      </c>
    </row>
    <row r="4">
      <c r="A4" s="815">
        <v>2.0</v>
      </c>
      <c r="B4" s="816">
        <v>9.0</v>
      </c>
      <c r="C4" s="817">
        <v>10000.0</v>
      </c>
      <c r="D4" s="817">
        <v>6700.0</v>
      </c>
      <c r="E4" s="817">
        <v>12500.0</v>
      </c>
      <c r="F4" s="818" t="s">
        <v>2882</v>
      </c>
      <c r="G4" s="819">
        <v>120.0</v>
      </c>
      <c r="I4" s="815">
        <v>2.0</v>
      </c>
      <c r="J4" s="816">
        <v>20.0</v>
      </c>
      <c r="K4" s="817">
        <v>21000.0</v>
      </c>
      <c r="L4" s="817">
        <v>14000.0</v>
      </c>
      <c r="M4" s="817">
        <v>62500.0</v>
      </c>
      <c r="N4" s="818" t="s">
        <v>2883</v>
      </c>
      <c r="O4" s="819">
        <v>180.0</v>
      </c>
      <c r="Q4" s="815">
        <v>2.0</v>
      </c>
      <c r="R4" s="816">
        <v>3.0</v>
      </c>
      <c r="S4" s="817">
        <v>56000.0</v>
      </c>
      <c r="T4" s="817">
        <v>37000.0</v>
      </c>
      <c r="U4" s="817">
        <v>250000.0</v>
      </c>
      <c r="V4" s="818" t="s">
        <v>2884</v>
      </c>
      <c r="W4" s="819">
        <v>300.0</v>
      </c>
    </row>
    <row r="5">
      <c r="A5" s="815">
        <v>3.0</v>
      </c>
      <c r="B5" s="816">
        <v>12.0</v>
      </c>
      <c r="C5" s="817">
        <v>12000.0</v>
      </c>
      <c r="D5" s="817">
        <v>8100.0</v>
      </c>
      <c r="E5" s="817">
        <v>15000.0</v>
      </c>
      <c r="F5" s="818" t="s">
        <v>2885</v>
      </c>
      <c r="G5" s="819">
        <v>160.0</v>
      </c>
      <c r="I5" s="815">
        <v>3.0</v>
      </c>
      <c r="J5" s="816">
        <v>28.0</v>
      </c>
      <c r="K5" s="817">
        <v>25000.0</v>
      </c>
      <c r="L5" s="817">
        <v>17000.0</v>
      </c>
      <c r="M5" s="817">
        <v>75000.0</v>
      </c>
      <c r="N5" s="818" t="s">
        <v>2886</v>
      </c>
      <c r="O5" s="819">
        <v>240.0</v>
      </c>
      <c r="Q5" s="815">
        <v>3.0</v>
      </c>
      <c r="R5" s="816">
        <v>4.0</v>
      </c>
      <c r="S5" s="817">
        <v>67000.0</v>
      </c>
      <c r="T5" s="817">
        <v>45000.0</v>
      </c>
      <c r="U5" s="817">
        <v>300000.0</v>
      </c>
      <c r="V5" s="818" t="s">
        <v>2887</v>
      </c>
      <c r="W5" s="819">
        <v>400.0</v>
      </c>
    </row>
    <row r="6">
      <c r="A6" s="815">
        <v>4.0</v>
      </c>
      <c r="B6" s="816">
        <v>15.0</v>
      </c>
      <c r="C6" s="817">
        <v>14000.0</v>
      </c>
      <c r="D6" s="817">
        <v>9400.0</v>
      </c>
      <c r="E6" s="817">
        <v>17500.0</v>
      </c>
      <c r="F6" s="818" t="s">
        <v>2888</v>
      </c>
      <c r="G6" s="819">
        <v>200.0</v>
      </c>
      <c r="I6" s="815">
        <v>4.0</v>
      </c>
      <c r="J6" s="816">
        <v>36.0</v>
      </c>
      <c r="K6" s="817">
        <v>29000.0</v>
      </c>
      <c r="L6" s="817">
        <v>19000.0</v>
      </c>
      <c r="M6" s="817">
        <v>87500.0</v>
      </c>
      <c r="N6" s="818" t="s">
        <v>2889</v>
      </c>
      <c r="O6" s="819">
        <v>300.0</v>
      </c>
      <c r="Q6" s="815">
        <v>4.0</v>
      </c>
      <c r="R6" s="816">
        <v>5.0</v>
      </c>
      <c r="S6" s="817">
        <v>78000.0</v>
      </c>
      <c r="T6" s="817">
        <v>52000.0</v>
      </c>
      <c r="U6" s="817">
        <v>350000.0</v>
      </c>
      <c r="V6" s="818" t="s">
        <v>2890</v>
      </c>
      <c r="W6" s="819">
        <v>500.0</v>
      </c>
    </row>
    <row r="7">
      <c r="A7" s="815">
        <v>5.0</v>
      </c>
      <c r="B7" s="816">
        <v>18.0</v>
      </c>
      <c r="C7" s="817">
        <v>16000.0</v>
      </c>
      <c r="D7" s="817">
        <v>10000.0</v>
      </c>
      <c r="E7" s="817">
        <v>20000.0</v>
      </c>
      <c r="F7" s="818" t="s">
        <v>2891</v>
      </c>
      <c r="G7" s="819">
        <v>240.0</v>
      </c>
      <c r="I7" s="815">
        <v>5.0</v>
      </c>
      <c r="J7" s="816">
        <v>44.0</v>
      </c>
      <c r="K7" s="817">
        <v>34000.0</v>
      </c>
      <c r="L7" s="817">
        <v>22000.0</v>
      </c>
      <c r="M7" s="817">
        <v>100000.0</v>
      </c>
      <c r="N7" s="818" t="s">
        <v>2892</v>
      </c>
      <c r="O7" s="819">
        <v>360.0</v>
      </c>
      <c r="Q7" s="815">
        <v>5.0</v>
      </c>
      <c r="R7" s="816">
        <v>6.0</v>
      </c>
      <c r="S7" s="817">
        <v>90000.0</v>
      </c>
      <c r="T7" s="817">
        <v>60000.0</v>
      </c>
      <c r="U7" s="817">
        <v>400000.0</v>
      </c>
      <c r="V7" s="818" t="s">
        <v>2893</v>
      </c>
      <c r="W7" s="819">
        <v>600.0</v>
      </c>
    </row>
    <row r="8">
      <c r="A8" s="815">
        <v>6.0</v>
      </c>
      <c r="B8" s="816">
        <v>21.0</v>
      </c>
      <c r="C8" s="817">
        <v>18000.0</v>
      </c>
      <c r="D8" s="817">
        <v>12000.0</v>
      </c>
      <c r="E8" s="817">
        <v>22500.0</v>
      </c>
      <c r="F8" s="818" t="s">
        <v>2894</v>
      </c>
      <c r="G8" s="819">
        <v>280.0</v>
      </c>
      <c r="I8" s="815">
        <v>6.0</v>
      </c>
      <c r="J8" s="816">
        <v>52.0</v>
      </c>
      <c r="K8" s="817">
        <v>38000.0</v>
      </c>
      <c r="L8" s="817">
        <v>25000.0</v>
      </c>
      <c r="M8" s="817">
        <v>112500.0</v>
      </c>
      <c r="N8" s="818" t="s">
        <v>2895</v>
      </c>
      <c r="O8" s="819">
        <v>420.0</v>
      </c>
      <c r="Q8" s="815">
        <v>6.0</v>
      </c>
      <c r="R8" s="816">
        <v>7.0</v>
      </c>
      <c r="S8" s="817">
        <v>100000.0</v>
      </c>
      <c r="T8" s="817">
        <v>67000.0</v>
      </c>
      <c r="U8" s="817">
        <v>450000.0</v>
      </c>
      <c r="V8" s="818" t="s">
        <v>2896</v>
      </c>
      <c r="W8" s="819">
        <v>700.0</v>
      </c>
    </row>
    <row r="9">
      <c r="A9" s="815">
        <v>7.0</v>
      </c>
      <c r="B9" s="816">
        <v>24.0</v>
      </c>
      <c r="C9" s="817">
        <v>20000.0</v>
      </c>
      <c r="D9" s="817">
        <v>13000.0</v>
      </c>
      <c r="E9" s="817">
        <v>25000.0</v>
      </c>
      <c r="F9" s="818" t="s">
        <v>2897</v>
      </c>
      <c r="G9" s="819">
        <v>320.0</v>
      </c>
      <c r="I9" s="815">
        <v>7.0</v>
      </c>
      <c r="J9" s="816">
        <v>60.0</v>
      </c>
      <c r="K9" s="817">
        <v>42000.0</v>
      </c>
      <c r="L9" s="817">
        <v>28000.0</v>
      </c>
      <c r="M9" s="817">
        <v>125000.0</v>
      </c>
      <c r="N9" s="818" t="s">
        <v>2898</v>
      </c>
      <c r="O9" s="819">
        <v>480.0</v>
      </c>
      <c r="Q9" s="815">
        <v>7.0</v>
      </c>
      <c r="R9" s="816">
        <v>8.0</v>
      </c>
      <c r="S9" s="817">
        <v>110000.0</v>
      </c>
      <c r="T9" s="817">
        <v>75000.0</v>
      </c>
      <c r="U9" s="817">
        <v>500000.0</v>
      </c>
      <c r="V9" s="818" t="s">
        <v>2899</v>
      </c>
      <c r="W9" s="819">
        <v>800.0</v>
      </c>
    </row>
    <row r="10">
      <c r="A10" s="815">
        <v>8.0</v>
      </c>
      <c r="B10" s="816">
        <v>27.0</v>
      </c>
      <c r="C10" s="817">
        <v>22000.0</v>
      </c>
      <c r="D10" s="817">
        <v>14000.0</v>
      </c>
      <c r="E10" s="817">
        <v>25000.0</v>
      </c>
      <c r="F10" s="818" t="s">
        <v>2900</v>
      </c>
      <c r="G10" s="819">
        <v>360.0</v>
      </c>
      <c r="I10" s="815">
        <v>8.0</v>
      </c>
      <c r="J10" s="816">
        <v>68.0</v>
      </c>
      <c r="K10" s="817">
        <v>47000.0</v>
      </c>
      <c r="L10" s="817">
        <v>31000.0</v>
      </c>
      <c r="M10" s="817">
        <v>137500.0</v>
      </c>
      <c r="N10" s="818" t="s">
        <v>2901</v>
      </c>
      <c r="O10" s="819">
        <v>540.0</v>
      </c>
      <c r="Q10" s="815">
        <v>8.0</v>
      </c>
      <c r="R10" s="816">
        <v>9.0</v>
      </c>
      <c r="S10" s="817">
        <v>120000.0</v>
      </c>
      <c r="T10" s="817">
        <v>82000.0</v>
      </c>
      <c r="U10" s="817">
        <v>550000.0</v>
      </c>
      <c r="V10" s="818" t="s">
        <v>2902</v>
      </c>
      <c r="W10" s="819">
        <v>900.0</v>
      </c>
    </row>
    <row r="11">
      <c r="A11" s="815">
        <v>9.0</v>
      </c>
      <c r="B11" s="816">
        <v>30.0</v>
      </c>
      <c r="C11" s="817">
        <v>24000.0</v>
      </c>
      <c r="D11" s="817">
        <v>16000.0</v>
      </c>
      <c r="E11" s="817">
        <v>30000.0</v>
      </c>
      <c r="F11" s="818" t="s">
        <v>2903</v>
      </c>
      <c r="G11" s="819">
        <v>400.0</v>
      </c>
      <c r="I11" s="815">
        <v>9.0</v>
      </c>
      <c r="J11" s="816">
        <v>76.0</v>
      </c>
      <c r="K11" s="817">
        <v>51000.0</v>
      </c>
      <c r="L11" s="817">
        <v>34000.0</v>
      </c>
      <c r="M11" s="817">
        <v>150000.0</v>
      </c>
      <c r="N11" s="818" t="s">
        <v>2904</v>
      </c>
      <c r="O11" s="819">
        <v>600.0</v>
      </c>
      <c r="Q11" s="815">
        <v>9.0</v>
      </c>
      <c r="R11" s="816">
        <v>10.0</v>
      </c>
      <c r="S11" s="817">
        <v>130000.0</v>
      </c>
      <c r="T11" s="817">
        <v>90000.0</v>
      </c>
      <c r="U11" s="817">
        <v>600000.0</v>
      </c>
      <c r="V11" s="818" t="s">
        <v>2905</v>
      </c>
      <c r="W11" s="819">
        <v>1000.0</v>
      </c>
    </row>
    <row r="12">
      <c r="A12" s="815">
        <v>10.0</v>
      </c>
      <c r="B12" s="816">
        <v>33.0</v>
      </c>
      <c r="C12" s="817">
        <v>26000.0</v>
      </c>
      <c r="D12" s="817">
        <v>17000.0</v>
      </c>
      <c r="E12" s="817">
        <v>32500.0</v>
      </c>
      <c r="F12" s="818" t="s">
        <v>2906</v>
      </c>
      <c r="G12" s="819">
        <v>440.0</v>
      </c>
      <c r="I12" s="815">
        <v>10.0</v>
      </c>
      <c r="J12" s="816">
        <v>84.0</v>
      </c>
      <c r="K12" s="817">
        <v>55000.0</v>
      </c>
      <c r="L12" s="817">
        <v>37000.0</v>
      </c>
      <c r="M12" s="817">
        <v>162500.0</v>
      </c>
      <c r="N12" s="818" t="s">
        <v>2907</v>
      </c>
      <c r="O12" s="819">
        <v>660.0</v>
      </c>
      <c r="Q12" s="815">
        <v>10.0</v>
      </c>
      <c r="R12" s="816">
        <v>11.0</v>
      </c>
      <c r="S12" s="817">
        <v>140000.0</v>
      </c>
      <c r="T12" s="817">
        <v>97000.0</v>
      </c>
      <c r="U12" s="817">
        <v>650000.0</v>
      </c>
      <c r="V12" s="818" t="s">
        <v>2908</v>
      </c>
      <c r="W12" s="819">
        <v>1100.0</v>
      </c>
    </row>
    <row r="13">
      <c r="A13" s="820" t="s">
        <v>2518</v>
      </c>
      <c r="B13" s="821">
        <f t="shared" ref="B13:E13" si="1">SUM(B3:B12)</f>
        <v>195</v>
      </c>
      <c r="C13" s="822">
        <f t="shared" si="1"/>
        <v>170100</v>
      </c>
      <c r="D13" s="822">
        <f t="shared" si="1"/>
        <v>111600</v>
      </c>
      <c r="E13" s="822">
        <f t="shared" si="1"/>
        <v>210000</v>
      </c>
      <c r="F13" s="823"/>
      <c r="G13" s="824">
        <f>SUM(G3:G12)</f>
        <v>2600</v>
      </c>
      <c r="I13" s="820" t="s">
        <v>2518</v>
      </c>
      <c r="J13" s="821">
        <f t="shared" ref="J13:M13" si="2">SUM(J3:J12)</f>
        <v>480</v>
      </c>
      <c r="K13" s="822">
        <f t="shared" si="2"/>
        <v>359000</v>
      </c>
      <c r="L13" s="822">
        <f t="shared" si="2"/>
        <v>238000</v>
      </c>
      <c r="M13" s="822">
        <f t="shared" si="2"/>
        <v>1062500</v>
      </c>
      <c r="N13" s="823"/>
      <c r="O13" s="824">
        <f>SUM(O3:O12)</f>
        <v>3900</v>
      </c>
      <c r="Q13" s="820" t="s">
        <v>2518</v>
      </c>
      <c r="R13" s="821">
        <f t="shared" ref="R13:U13" si="3">SUM(R3:R12)</f>
        <v>65</v>
      </c>
      <c r="S13" s="822">
        <f t="shared" si="3"/>
        <v>936000</v>
      </c>
      <c r="T13" s="822">
        <f t="shared" si="3"/>
        <v>635000</v>
      </c>
      <c r="U13" s="822">
        <f t="shared" si="3"/>
        <v>4250000</v>
      </c>
      <c r="V13" s="823"/>
      <c r="W13" s="824">
        <f>SUM(W3:W12)</f>
        <v>6500</v>
      </c>
    </row>
    <row r="14">
      <c r="A14" s="825"/>
      <c r="B14" s="826"/>
      <c r="C14" s="826"/>
      <c r="D14" s="826"/>
      <c r="E14" s="826"/>
      <c r="F14" s="826"/>
      <c r="G14" s="157"/>
      <c r="I14" s="825"/>
      <c r="J14" s="826"/>
      <c r="K14" s="826"/>
      <c r="L14" s="826"/>
      <c r="M14" s="826"/>
      <c r="N14" s="826"/>
      <c r="O14" s="157"/>
      <c r="Q14" s="825"/>
      <c r="R14" s="826"/>
      <c r="S14" s="826"/>
      <c r="T14" s="826"/>
      <c r="U14" s="826"/>
      <c r="V14" s="826"/>
      <c r="W14" s="157"/>
    </row>
    <row r="15">
      <c r="A15" s="827"/>
      <c r="B15" s="828"/>
      <c r="C15" s="828"/>
      <c r="D15" s="828"/>
      <c r="E15" s="828"/>
      <c r="F15" s="828"/>
      <c r="G15" s="829"/>
      <c r="I15" s="827"/>
      <c r="J15" s="828"/>
      <c r="K15" s="828"/>
      <c r="L15" s="828"/>
      <c r="M15" s="828"/>
      <c r="N15" s="828"/>
      <c r="O15" s="829"/>
      <c r="Q15" s="827"/>
      <c r="R15" s="828"/>
      <c r="S15" s="828"/>
      <c r="T15" s="828"/>
      <c r="U15" s="828"/>
      <c r="V15" s="828"/>
      <c r="W15" s="829"/>
    </row>
    <row r="16">
      <c r="A16" s="811" t="s">
        <v>2909</v>
      </c>
      <c r="B16" s="813"/>
      <c r="C16" s="812" t="s">
        <v>447</v>
      </c>
      <c r="D16" s="812" t="s">
        <v>448</v>
      </c>
      <c r="E16" s="812" t="s">
        <v>2873</v>
      </c>
      <c r="F16" s="813"/>
      <c r="G16" s="814" t="s">
        <v>2874</v>
      </c>
      <c r="I16" s="811" t="s">
        <v>2910</v>
      </c>
      <c r="J16" s="813"/>
      <c r="K16" s="812" t="s">
        <v>447</v>
      </c>
      <c r="L16" s="812" t="s">
        <v>448</v>
      </c>
      <c r="M16" s="812" t="s">
        <v>2873</v>
      </c>
      <c r="N16" s="813"/>
      <c r="O16" s="868"/>
      <c r="Q16" s="811" t="s">
        <v>2911</v>
      </c>
      <c r="R16" s="813"/>
      <c r="S16" s="812" t="s">
        <v>447</v>
      </c>
      <c r="T16" s="812" t="s">
        <v>448</v>
      </c>
      <c r="U16" s="813"/>
      <c r="V16" s="813"/>
      <c r="W16" s="868"/>
    </row>
    <row r="17">
      <c r="A17" s="815">
        <v>1.0</v>
      </c>
      <c r="B17" s="816">
        <v>8.0</v>
      </c>
      <c r="C17" s="817">
        <v>10000.0</v>
      </c>
      <c r="D17" s="817">
        <v>5400.0</v>
      </c>
      <c r="E17" s="817">
        <v>15000.0</v>
      </c>
      <c r="F17" s="818" t="s">
        <v>2912</v>
      </c>
      <c r="G17" s="819">
        <v>90.0</v>
      </c>
      <c r="I17" s="815">
        <v>1.0</v>
      </c>
      <c r="J17" s="816">
        <v>15.0</v>
      </c>
      <c r="K17" s="817">
        <v>22000.0</v>
      </c>
      <c r="L17" s="817">
        <v>11000.0</v>
      </c>
      <c r="M17" s="817">
        <v>60000.0</v>
      </c>
      <c r="N17" s="818" t="s">
        <v>2913</v>
      </c>
      <c r="O17" s="819">
        <v>140.0</v>
      </c>
      <c r="Q17" s="815">
        <v>1.0</v>
      </c>
      <c r="R17" s="816">
        <v>4.0</v>
      </c>
      <c r="S17" s="817">
        <v>63000.0</v>
      </c>
      <c r="T17" s="817">
        <v>30000.0</v>
      </c>
      <c r="U17" s="817">
        <v>320000.0</v>
      </c>
      <c r="V17" s="818" t="s">
        <v>2914</v>
      </c>
      <c r="W17" s="819">
        <v>240.0</v>
      </c>
    </row>
    <row r="18">
      <c r="A18" s="815">
        <v>2.0</v>
      </c>
      <c r="B18" s="816">
        <v>12.0</v>
      </c>
      <c r="C18" s="817">
        <v>13000.0</v>
      </c>
      <c r="D18" s="817">
        <v>6700.0</v>
      </c>
      <c r="E18" s="817">
        <v>18750.0</v>
      </c>
      <c r="F18" s="818" t="s">
        <v>2915</v>
      </c>
      <c r="G18" s="819">
        <v>135.0</v>
      </c>
      <c r="I18" s="815">
        <v>2.0</v>
      </c>
      <c r="J18" s="816">
        <v>25.0</v>
      </c>
      <c r="K18" s="817">
        <v>28000.0</v>
      </c>
      <c r="L18" s="817">
        <v>14000.0</v>
      </c>
      <c r="M18" s="817">
        <v>75000.0</v>
      </c>
      <c r="N18" s="818" t="s">
        <v>2916</v>
      </c>
      <c r="O18" s="819">
        <v>210.0</v>
      </c>
      <c r="Q18" s="815">
        <v>2.0</v>
      </c>
      <c r="R18" s="816">
        <v>6.0</v>
      </c>
      <c r="S18" s="817">
        <v>78000.0</v>
      </c>
      <c r="T18" s="817">
        <v>37000.0</v>
      </c>
      <c r="U18" s="817">
        <v>400000.0</v>
      </c>
      <c r="V18" s="818" t="s">
        <v>2917</v>
      </c>
      <c r="W18" s="819">
        <v>360.0</v>
      </c>
    </row>
    <row r="19">
      <c r="A19" s="815">
        <v>3.0</v>
      </c>
      <c r="B19" s="816">
        <v>16.0</v>
      </c>
      <c r="C19" s="817">
        <v>16000.0</v>
      </c>
      <c r="D19" s="817">
        <v>8100.0</v>
      </c>
      <c r="E19" s="817">
        <v>22500.0</v>
      </c>
      <c r="F19" s="818" t="s">
        <v>2918</v>
      </c>
      <c r="G19" s="819">
        <v>180.0</v>
      </c>
      <c r="I19" s="815">
        <v>3.0</v>
      </c>
      <c r="J19" s="816">
        <v>35.0</v>
      </c>
      <c r="K19" s="817">
        <v>34000.0</v>
      </c>
      <c r="L19" s="817">
        <v>17000.0</v>
      </c>
      <c r="M19" s="817">
        <v>90000.0</v>
      </c>
      <c r="N19" s="818" t="s">
        <v>2919</v>
      </c>
      <c r="O19" s="819">
        <v>280.0</v>
      </c>
      <c r="Q19" s="815">
        <v>3.0</v>
      </c>
      <c r="R19" s="816">
        <v>8.0</v>
      </c>
      <c r="S19" s="817"/>
      <c r="T19" s="817"/>
      <c r="U19" s="817">
        <v>480000.0</v>
      </c>
      <c r="V19" s="818" t="s">
        <v>2920</v>
      </c>
      <c r="W19" s="819">
        <v>480.0</v>
      </c>
    </row>
    <row r="20">
      <c r="A20" s="815">
        <v>4.0</v>
      </c>
      <c r="B20" s="816">
        <v>20.0</v>
      </c>
      <c r="C20" s="817">
        <v>18000.0</v>
      </c>
      <c r="D20" s="817">
        <v>9400.0</v>
      </c>
      <c r="E20" s="817">
        <v>26250.0</v>
      </c>
      <c r="F20" s="818" t="s">
        <v>2921</v>
      </c>
      <c r="G20" s="819">
        <v>225.0</v>
      </c>
      <c r="I20" s="815">
        <v>4.0</v>
      </c>
      <c r="J20" s="816">
        <v>45.0</v>
      </c>
      <c r="K20" s="817">
        <v>39000.0</v>
      </c>
      <c r="L20" s="817">
        <v>19000.0</v>
      </c>
      <c r="M20" s="817">
        <v>105000.0</v>
      </c>
      <c r="N20" s="818" t="s">
        <v>2922</v>
      </c>
      <c r="O20" s="819">
        <v>350.0</v>
      </c>
      <c r="Q20" s="815">
        <v>4.0</v>
      </c>
      <c r="R20" s="816">
        <v>10.0</v>
      </c>
      <c r="S20" s="817"/>
      <c r="T20" s="817"/>
      <c r="U20" s="817">
        <v>560000.0</v>
      </c>
      <c r="V20" s="818" t="s">
        <v>2923</v>
      </c>
      <c r="W20" s="819">
        <v>600.0</v>
      </c>
    </row>
    <row r="21">
      <c r="A21" s="815">
        <v>5.0</v>
      </c>
      <c r="B21" s="816">
        <v>24.0</v>
      </c>
      <c r="C21" s="817">
        <v>21000.0</v>
      </c>
      <c r="D21" s="817">
        <v>10000.0</v>
      </c>
      <c r="E21" s="817">
        <v>30000.0</v>
      </c>
      <c r="F21" s="818" t="s">
        <v>2924</v>
      </c>
      <c r="G21" s="819">
        <v>270.0</v>
      </c>
      <c r="I21" s="815">
        <v>5.0</v>
      </c>
      <c r="J21" s="816">
        <v>55.0</v>
      </c>
      <c r="K21" s="817">
        <v>45000.0</v>
      </c>
      <c r="L21" s="817">
        <v>22000.0</v>
      </c>
      <c r="M21" s="817">
        <v>120000.0</v>
      </c>
      <c r="N21" s="818" t="s">
        <v>2925</v>
      </c>
      <c r="O21" s="819">
        <v>420.0</v>
      </c>
      <c r="Q21" s="815">
        <v>5.0</v>
      </c>
      <c r="R21" s="816">
        <v>12.0</v>
      </c>
      <c r="S21" s="817"/>
      <c r="T21" s="817"/>
      <c r="U21" s="817">
        <v>640000.0</v>
      </c>
      <c r="V21" s="818" t="s">
        <v>2926</v>
      </c>
      <c r="W21" s="819">
        <v>720.0</v>
      </c>
    </row>
    <row r="22">
      <c r="A22" s="815">
        <v>6.0</v>
      </c>
      <c r="B22" s="816">
        <v>28.0</v>
      </c>
      <c r="C22" s="817">
        <v>24000.0</v>
      </c>
      <c r="D22" s="817">
        <v>12000.0</v>
      </c>
      <c r="E22" s="817">
        <v>37500.0</v>
      </c>
      <c r="F22" s="818" t="s">
        <v>2927</v>
      </c>
      <c r="G22" s="819">
        <v>315.0</v>
      </c>
      <c r="I22" s="815">
        <v>6.0</v>
      </c>
      <c r="J22" s="816">
        <v>65.0</v>
      </c>
      <c r="K22" s="817">
        <v>51000.0</v>
      </c>
      <c r="L22" s="817">
        <v>25000.0</v>
      </c>
      <c r="M22" s="817">
        <v>135000.0</v>
      </c>
      <c r="N22" s="818" t="s">
        <v>2928</v>
      </c>
      <c r="O22" s="819">
        <v>490.0</v>
      </c>
      <c r="Q22" s="815">
        <v>6.0</v>
      </c>
      <c r="R22" s="816">
        <v>14.0</v>
      </c>
      <c r="S22" s="817"/>
      <c r="T22" s="817"/>
      <c r="U22" s="817">
        <v>720000.0</v>
      </c>
      <c r="V22" s="818" t="s">
        <v>2929</v>
      </c>
      <c r="W22" s="819">
        <v>840.0</v>
      </c>
    </row>
    <row r="23">
      <c r="A23" s="815">
        <v>7.0</v>
      </c>
      <c r="B23" s="816">
        <v>32.0</v>
      </c>
      <c r="C23" s="817">
        <v>27000.0</v>
      </c>
      <c r="D23" s="817">
        <v>13000.0</v>
      </c>
      <c r="E23" s="817">
        <v>37500.0</v>
      </c>
      <c r="F23" s="818" t="s">
        <v>2930</v>
      </c>
      <c r="G23" s="819">
        <v>360.0</v>
      </c>
      <c r="I23" s="815">
        <v>7.0</v>
      </c>
      <c r="J23" s="816">
        <v>75.0</v>
      </c>
      <c r="K23" s="817">
        <v>57000.0</v>
      </c>
      <c r="L23" s="817">
        <v>28000.0</v>
      </c>
      <c r="M23" s="817">
        <v>150000.0</v>
      </c>
      <c r="N23" s="818" t="s">
        <v>2931</v>
      </c>
      <c r="O23" s="819">
        <v>560.0</v>
      </c>
      <c r="Q23" s="815">
        <v>7.0</v>
      </c>
      <c r="R23" s="816">
        <v>16.0</v>
      </c>
      <c r="S23" s="817">
        <v>170000.0</v>
      </c>
      <c r="T23" s="817">
        <v>86000.0</v>
      </c>
      <c r="U23" s="817">
        <v>800000.0</v>
      </c>
      <c r="V23" s="818" t="s">
        <v>2932</v>
      </c>
      <c r="W23" s="819">
        <v>960.0</v>
      </c>
    </row>
    <row r="24">
      <c r="A24" s="815">
        <v>8.0</v>
      </c>
      <c r="B24" s="816">
        <v>36.0</v>
      </c>
      <c r="C24" s="817">
        <v>29000.0</v>
      </c>
      <c r="D24" s="817">
        <v>14000.0</v>
      </c>
      <c r="E24" s="817">
        <v>41250.0</v>
      </c>
      <c r="F24" s="818" t="s">
        <v>2933</v>
      </c>
      <c r="G24" s="819">
        <v>405.0</v>
      </c>
      <c r="I24" s="815">
        <v>8.0</v>
      </c>
      <c r="J24" s="816">
        <v>85.0</v>
      </c>
      <c r="K24" s="817">
        <v>62000.0</v>
      </c>
      <c r="L24" s="817">
        <v>31000.0</v>
      </c>
      <c r="M24" s="817">
        <v>165000.0</v>
      </c>
      <c r="N24" s="818" t="s">
        <v>2934</v>
      </c>
      <c r="O24" s="819">
        <v>630.0</v>
      </c>
      <c r="Q24" s="815">
        <v>8.0</v>
      </c>
      <c r="R24" s="816">
        <v>18.0</v>
      </c>
      <c r="S24" s="817"/>
      <c r="T24" s="817"/>
      <c r="U24" s="817">
        <v>880000.0</v>
      </c>
      <c r="V24" s="818" t="s">
        <v>2935</v>
      </c>
      <c r="W24" s="819">
        <v>1080.0</v>
      </c>
    </row>
    <row r="25">
      <c r="A25" s="815">
        <v>9.0</v>
      </c>
      <c r="B25" s="816">
        <v>40.0</v>
      </c>
      <c r="C25" s="817">
        <v>32000.0</v>
      </c>
      <c r="D25" s="817">
        <v>16000.0</v>
      </c>
      <c r="E25" s="817">
        <v>45000.0</v>
      </c>
      <c r="F25" s="818" t="s">
        <v>2936</v>
      </c>
      <c r="G25" s="819">
        <v>450.0</v>
      </c>
      <c r="I25" s="815">
        <v>9.0</v>
      </c>
      <c r="J25" s="816">
        <v>95.0</v>
      </c>
      <c r="K25" s="817">
        <v>68000.0</v>
      </c>
      <c r="L25" s="817">
        <v>34000.0</v>
      </c>
      <c r="M25" s="817">
        <v>180000.0</v>
      </c>
      <c r="N25" s="818" t="s">
        <v>2937</v>
      </c>
      <c r="O25" s="819">
        <v>700.0</v>
      </c>
      <c r="Q25" s="815">
        <v>9.0</v>
      </c>
      <c r="R25" s="816">
        <v>20.0</v>
      </c>
      <c r="S25" s="817"/>
      <c r="T25" s="817"/>
      <c r="U25" s="817">
        <v>960000.0</v>
      </c>
      <c r="V25" s="818" t="s">
        <v>2938</v>
      </c>
      <c r="W25" s="819">
        <v>1200.0</v>
      </c>
    </row>
    <row r="26">
      <c r="A26" s="815">
        <v>10.0</v>
      </c>
      <c r="B26" s="816">
        <v>44.0</v>
      </c>
      <c r="C26" s="817">
        <v>35000.0</v>
      </c>
      <c r="D26" s="817">
        <v>17000.0</v>
      </c>
      <c r="E26" s="817">
        <v>48750.0</v>
      </c>
      <c r="F26" s="818" t="s">
        <v>2939</v>
      </c>
      <c r="G26" s="819">
        <v>495.0</v>
      </c>
      <c r="I26" s="815">
        <v>10.0</v>
      </c>
      <c r="J26" s="816">
        <v>105.0</v>
      </c>
      <c r="K26" s="817">
        <v>74000.0</v>
      </c>
      <c r="L26" s="817">
        <v>37000.0</v>
      </c>
      <c r="M26" s="817">
        <v>195000.0</v>
      </c>
      <c r="N26" s="818" t="s">
        <v>2940</v>
      </c>
      <c r="O26" s="819">
        <v>770.0</v>
      </c>
      <c r="Q26" s="815">
        <v>10.0</v>
      </c>
      <c r="R26" s="816">
        <v>22.0</v>
      </c>
      <c r="S26" s="817"/>
      <c r="T26" s="817"/>
      <c r="U26" s="817">
        <v>1040000.0</v>
      </c>
      <c r="V26" s="818" t="s">
        <v>2941</v>
      </c>
      <c r="W26" s="819">
        <v>1320.0</v>
      </c>
    </row>
    <row r="27">
      <c r="A27" s="820" t="s">
        <v>2518</v>
      </c>
      <c r="B27" s="821">
        <f t="shared" ref="B27:E27" si="4">SUM(B17:B26)</f>
        <v>260</v>
      </c>
      <c r="C27" s="822">
        <f t="shared" si="4"/>
        <v>225000</v>
      </c>
      <c r="D27" s="822">
        <f t="shared" si="4"/>
        <v>111600</v>
      </c>
      <c r="E27" s="822">
        <f t="shared" si="4"/>
        <v>322500</v>
      </c>
      <c r="F27" s="823"/>
      <c r="G27" s="824">
        <f>SUM(G17:G26)</f>
        <v>2925</v>
      </c>
      <c r="I27" s="820" t="s">
        <v>2518</v>
      </c>
      <c r="J27" s="821">
        <f t="shared" ref="J27:M27" si="5">SUM(J17:J26)</f>
        <v>600</v>
      </c>
      <c r="K27" s="822">
        <f t="shared" si="5"/>
        <v>480000</v>
      </c>
      <c r="L27" s="822">
        <f t="shared" si="5"/>
        <v>238000</v>
      </c>
      <c r="M27" s="822">
        <f t="shared" si="5"/>
        <v>1275000</v>
      </c>
      <c r="N27" s="823"/>
      <c r="O27" s="824">
        <f>SUM(O17:O26)</f>
        <v>4550</v>
      </c>
      <c r="Q27" s="820" t="s">
        <v>2518</v>
      </c>
      <c r="R27" s="821">
        <f t="shared" ref="R27:U27" si="6">SUM(R17:R26)</f>
        <v>130</v>
      </c>
      <c r="S27" s="822">
        <f t="shared" si="6"/>
        <v>311000</v>
      </c>
      <c r="T27" s="822">
        <f t="shared" si="6"/>
        <v>153000</v>
      </c>
      <c r="U27" s="822">
        <f t="shared" si="6"/>
        <v>6800000</v>
      </c>
      <c r="V27" s="823"/>
      <c r="W27" s="824">
        <f>SUM(W17:W26)</f>
        <v>7800</v>
      </c>
    </row>
    <row r="28">
      <c r="A28" s="827"/>
      <c r="B28" s="828"/>
      <c r="C28" s="828"/>
      <c r="D28" s="828"/>
      <c r="E28" s="828"/>
      <c r="F28" s="828"/>
      <c r="G28" s="829"/>
      <c r="I28" s="827"/>
      <c r="J28" s="828"/>
      <c r="K28" s="828"/>
      <c r="L28" s="828"/>
      <c r="M28" s="828"/>
      <c r="N28" s="828"/>
      <c r="O28" s="829"/>
      <c r="Q28" s="827"/>
      <c r="R28" s="828"/>
      <c r="S28" s="828"/>
      <c r="T28" s="828"/>
      <c r="U28" s="828"/>
      <c r="V28" s="828"/>
      <c r="W28" s="829"/>
    </row>
    <row r="29">
      <c r="A29" s="827"/>
      <c r="B29" s="828"/>
      <c r="C29" s="828"/>
      <c r="D29" s="828"/>
      <c r="E29" s="828"/>
      <c r="F29" s="828"/>
      <c r="G29" s="829"/>
      <c r="I29" s="827"/>
      <c r="J29" s="828"/>
      <c r="K29" s="828"/>
      <c r="L29" s="828"/>
      <c r="M29" s="828"/>
      <c r="N29" s="828"/>
      <c r="O29" s="829"/>
      <c r="Q29" s="827"/>
      <c r="R29" s="828"/>
      <c r="S29" s="828"/>
      <c r="T29" s="828"/>
      <c r="U29" s="828"/>
      <c r="V29" s="828"/>
      <c r="W29" s="829"/>
    </row>
    <row r="30">
      <c r="A30" s="811" t="s">
        <v>2942</v>
      </c>
      <c r="B30" s="813"/>
      <c r="C30" s="812" t="s">
        <v>445</v>
      </c>
      <c r="D30" s="812" t="s">
        <v>449</v>
      </c>
      <c r="E30" s="812" t="s">
        <v>2873</v>
      </c>
      <c r="F30" s="813"/>
      <c r="G30" s="814" t="s">
        <v>2874</v>
      </c>
      <c r="I30" s="811" t="s">
        <v>2943</v>
      </c>
      <c r="J30" s="813"/>
      <c r="K30" s="812" t="s">
        <v>445</v>
      </c>
      <c r="L30" s="812" t="s">
        <v>449</v>
      </c>
      <c r="M30" s="812" t="s">
        <v>2873</v>
      </c>
      <c r="N30" s="813"/>
      <c r="O30" s="814"/>
      <c r="Q30" s="811" t="s">
        <v>2944</v>
      </c>
      <c r="R30" s="813"/>
      <c r="S30" s="812" t="s">
        <v>445</v>
      </c>
      <c r="T30" s="812" t="s">
        <v>449</v>
      </c>
      <c r="U30" s="813"/>
      <c r="V30" s="813"/>
      <c r="W30" s="814"/>
    </row>
    <row r="31">
      <c r="A31" s="815">
        <v>1.0</v>
      </c>
      <c r="B31" s="816">
        <v>10.0</v>
      </c>
      <c r="C31" s="817">
        <v>8100.0</v>
      </c>
      <c r="D31" s="817">
        <v>16000.0</v>
      </c>
      <c r="E31" s="817">
        <v>20000.0</v>
      </c>
      <c r="F31" s="818" t="s">
        <v>2945</v>
      </c>
      <c r="G31" s="819">
        <v>100.0</v>
      </c>
      <c r="I31" s="815">
        <v>1.0</v>
      </c>
      <c r="J31" s="816">
        <v>18.0</v>
      </c>
      <c r="K31" s="817">
        <v>17000.0</v>
      </c>
      <c r="L31" s="817">
        <v>34000.0</v>
      </c>
      <c r="M31" s="817">
        <v>80000.0</v>
      </c>
      <c r="N31" s="818" t="s">
        <v>2946</v>
      </c>
      <c r="O31" s="819">
        <v>160.0</v>
      </c>
      <c r="Q31" s="815">
        <v>1.0</v>
      </c>
      <c r="R31" s="816">
        <v>6.0</v>
      </c>
      <c r="S31" s="817">
        <v>45000.0</v>
      </c>
      <c r="T31" s="817">
        <v>90000.0</v>
      </c>
      <c r="U31" s="817">
        <v>480000.0</v>
      </c>
      <c r="V31" s="818" t="s">
        <v>2947</v>
      </c>
      <c r="W31" s="819">
        <v>280.0</v>
      </c>
    </row>
    <row r="32">
      <c r="A32" s="815">
        <v>2.0</v>
      </c>
      <c r="B32" s="816">
        <v>15.0</v>
      </c>
      <c r="C32" s="817">
        <v>10000.0</v>
      </c>
      <c r="D32" s="817">
        <v>20000.0</v>
      </c>
      <c r="E32" s="817">
        <v>25000.0</v>
      </c>
      <c r="F32" s="818" t="s">
        <v>2948</v>
      </c>
      <c r="G32" s="819">
        <v>150.0</v>
      </c>
      <c r="I32" s="815">
        <v>2.0</v>
      </c>
      <c r="J32" s="816">
        <v>30.0</v>
      </c>
      <c r="K32" s="817">
        <v>21000.0</v>
      </c>
      <c r="L32" s="817">
        <v>42000.0</v>
      </c>
      <c r="M32" s="817">
        <v>100000.0</v>
      </c>
      <c r="N32" s="818" t="s">
        <v>2949</v>
      </c>
      <c r="O32" s="819">
        <v>240.0</v>
      </c>
      <c r="Q32" s="815">
        <v>2.0</v>
      </c>
      <c r="R32" s="816">
        <v>9.0</v>
      </c>
      <c r="S32" s="817"/>
      <c r="T32" s="817"/>
      <c r="U32" s="817">
        <v>600000.0</v>
      </c>
      <c r="V32" s="818" t="s">
        <v>2950</v>
      </c>
      <c r="W32" s="819">
        <v>420.0</v>
      </c>
    </row>
    <row r="33">
      <c r="A33" s="815">
        <v>3.0</v>
      </c>
      <c r="B33" s="816">
        <v>20.0</v>
      </c>
      <c r="C33" s="817">
        <v>12000.0</v>
      </c>
      <c r="D33" s="817">
        <v>24000.0</v>
      </c>
      <c r="E33" s="817">
        <v>30000.0</v>
      </c>
      <c r="F33" s="818" t="s">
        <v>2951</v>
      </c>
      <c r="G33" s="819">
        <v>200.0</v>
      </c>
      <c r="I33" s="815">
        <v>3.0</v>
      </c>
      <c r="J33" s="816">
        <v>42.0</v>
      </c>
      <c r="K33" s="817">
        <v>25000.0</v>
      </c>
      <c r="L33" s="817">
        <v>51000.0</v>
      </c>
      <c r="M33" s="817">
        <v>120000.0</v>
      </c>
      <c r="N33" s="818" t="s">
        <v>2952</v>
      </c>
      <c r="O33" s="819">
        <v>320.0</v>
      </c>
      <c r="Q33" s="815">
        <v>3.0</v>
      </c>
      <c r="R33" s="816">
        <v>12.0</v>
      </c>
      <c r="S33" s="817"/>
      <c r="T33" s="817"/>
      <c r="U33" s="817">
        <v>720000.0</v>
      </c>
      <c r="V33" s="818" t="s">
        <v>2953</v>
      </c>
      <c r="W33" s="819">
        <v>560.0</v>
      </c>
    </row>
    <row r="34">
      <c r="A34" s="815">
        <v>4.0</v>
      </c>
      <c r="B34" s="816">
        <v>25.0</v>
      </c>
      <c r="C34" s="817">
        <v>14000.0</v>
      </c>
      <c r="D34" s="817">
        <v>28000.0</v>
      </c>
      <c r="E34" s="817">
        <v>35000.0</v>
      </c>
      <c r="F34" s="818" t="s">
        <v>2954</v>
      </c>
      <c r="G34" s="819">
        <v>250.0</v>
      </c>
      <c r="I34" s="815">
        <v>4.0</v>
      </c>
      <c r="J34" s="816">
        <v>54.0</v>
      </c>
      <c r="K34" s="817">
        <v>29000.0</v>
      </c>
      <c r="L34" s="817">
        <v>59000.0</v>
      </c>
      <c r="M34" s="817">
        <v>140000.0</v>
      </c>
      <c r="N34" s="818" t="s">
        <v>2955</v>
      </c>
      <c r="O34" s="819">
        <v>400.0</v>
      </c>
      <c r="Q34" s="815">
        <v>4.0</v>
      </c>
      <c r="R34" s="816">
        <v>15.0</v>
      </c>
      <c r="S34" s="817"/>
      <c r="T34" s="817"/>
      <c r="U34" s="817">
        <v>840000.0</v>
      </c>
      <c r="V34" s="818" t="s">
        <v>2956</v>
      </c>
      <c r="W34" s="819">
        <v>700.0</v>
      </c>
    </row>
    <row r="35">
      <c r="A35" s="815">
        <v>5.0</v>
      </c>
      <c r="B35" s="816">
        <v>30.0</v>
      </c>
      <c r="C35" s="817">
        <v>16000.0</v>
      </c>
      <c r="D35" s="817">
        <v>32000.0</v>
      </c>
      <c r="E35" s="817">
        <v>40000.0</v>
      </c>
      <c r="F35" s="818" t="s">
        <v>2957</v>
      </c>
      <c r="G35" s="819">
        <v>300.0</v>
      </c>
      <c r="I35" s="815">
        <v>5.0</v>
      </c>
      <c r="J35" s="816">
        <v>66.0</v>
      </c>
      <c r="K35" s="817">
        <v>34000.0</v>
      </c>
      <c r="L35" s="817">
        <v>68000.0</v>
      </c>
      <c r="M35" s="817">
        <v>160000.0</v>
      </c>
      <c r="N35" s="818" t="s">
        <v>2958</v>
      </c>
      <c r="O35" s="819">
        <v>480.0</v>
      </c>
      <c r="Q35" s="815">
        <v>5.0</v>
      </c>
      <c r="R35" s="816">
        <v>18.0</v>
      </c>
      <c r="S35" s="817"/>
      <c r="T35" s="817"/>
      <c r="U35" s="817">
        <v>960000.0</v>
      </c>
      <c r="V35" s="818" t="s">
        <v>2959</v>
      </c>
      <c r="W35" s="819">
        <v>840.0</v>
      </c>
    </row>
    <row r="36">
      <c r="A36" s="815">
        <v>6.0</v>
      </c>
      <c r="B36" s="816">
        <v>35.0</v>
      </c>
      <c r="C36" s="817">
        <v>18000.0</v>
      </c>
      <c r="D36" s="817">
        <v>36000.0</v>
      </c>
      <c r="E36" s="817">
        <v>45000.0</v>
      </c>
      <c r="F36" s="818" t="s">
        <v>2960</v>
      </c>
      <c r="G36" s="819">
        <v>350.0</v>
      </c>
      <c r="I36" s="815">
        <v>6.0</v>
      </c>
      <c r="J36" s="816">
        <v>78.0</v>
      </c>
      <c r="K36" s="817">
        <v>38000.0</v>
      </c>
      <c r="L36" s="817">
        <v>76000.0</v>
      </c>
      <c r="M36" s="817">
        <v>180000.0</v>
      </c>
      <c r="N36" s="818" t="s">
        <v>2961</v>
      </c>
      <c r="O36" s="819">
        <v>560.0</v>
      </c>
      <c r="Q36" s="815">
        <v>6.0</v>
      </c>
      <c r="R36" s="816">
        <v>21.0</v>
      </c>
      <c r="S36" s="817"/>
      <c r="T36" s="817"/>
      <c r="U36" s="817">
        <v>1080000.0</v>
      </c>
      <c r="V36" s="818" t="s">
        <v>2962</v>
      </c>
      <c r="W36" s="819">
        <v>980.0</v>
      </c>
    </row>
    <row r="37">
      <c r="A37" s="815">
        <v>7.0</v>
      </c>
      <c r="B37" s="816">
        <v>40.0</v>
      </c>
      <c r="C37" s="817">
        <v>20000.0</v>
      </c>
      <c r="D37" s="817">
        <v>40000.0</v>
      </c>
      <c r="E37" s="817">
        <v>50000.0</v>
      </c>
      <c r="F37" s="818" t="s">
        <v>2963</v>
      </c>
      <c r="G37" s="819">
        <v>400.0</v>
      </c>
      <c r="I37" s="815">
        <v>7.0</v>
      </c>
      <c r="J37" s="816">
        <v>90.0</v>
      </c>
      <c r="K37" s="817">
        <v>42000.0</v>
      </c>
      <c r="L37" s="817">
        <v>85000.0</v>
      </c>
      <c r="M37" s="817">
        <v>200000.0</v>
      </c>
      <c r="N37" s="818" t="s">
        <v>2964</v>
      </c>
      <c r="O37" s="819">
        <v>640.0</v>
      </c>
      <c r="Q37" s="815">
        <v>7.0</v>
      </c>
      <c r="R37" s="816">
        <v>24.0</v>
      </c>
      <c r="S37" s="817"/>
      <c r="T37" s="817"/>
      <c r="U37" s="817">
        <v>1200000.0</v>
      </c>
      <c r="V37" s="818" t="s">
        <v>2965</v>
      </c>
      <c r="W37" s="819">
        <v>1120.0</v>
      </c>
    </row>
    <row r="38">
      <c r="A38" s="815">
        <v>8.0</v>
      </c>
      <c r="B38" s="816">
        <v>45.0</v>
      </c>
      <c r="C38" s="817">
        <v>22000.0</v>
      </c>
      <c r="D38" s="817">
        <v>44000.0</v>
      </c>
      <c r="E38" s="817">
        <v>55000.0</v>
      </c>
      <c r="F38" s="818" t="s">
        <v>2966</v>
      </c>
      <c r="G38" s="819">
        <v>450.0</v>
      </c>
      <c r="I38" s="815">
        <v>8.0</v>
      </c>
      <c r="J38" s="816">
        <v>102.0</v>
      </c>
      <c r="K38" s="817">
        <v>47000.0</v>
      </c>
      <c r="L38" s="817">
        <v>94000.0</v>
      </c>
      <c r="M38" s="817">
        <v>220000.0</v>
      </c>
      <c r="N38" s="818" t="s">
        <v>2967</v>
      </c>
      <c r="O38" s="819">
        <v>720.0</v>
      </c>
      <c r="Q38" s="815">
        <v>8.0</v>
      </c>
      <c r="R38" s="816">
        <v>27.0</v>
      </c>
      <c r="S38" s="817"/>
      <c r="T38" s="817"/>
      <c r="U38" s="817">
        <v>1320000.0</v>
      </c>
      <c r="V38" s="818" t="s">
        <v>2968</v>
      </c>
      <c r="W38" s="819">
        <v>1260.0</v>
      </c>
    </row>
    <row r="39">
      <c r="A39" s="815">
        <v>9.0</v>
      </c>
      <c r="B39" s="816">
        <v>50.0</v>
      </c>
      <c r="C39" s="817">
        <v>24000.0</v>
      </c>
      <c r="D39" s="817">
        <v>48000.0</v>
      </c>
      <c r="E39" s="817">
        <v>60000.0</v>
      </c>
      <c r="F39" s="818" t="s">
        <v>2965</v>
      </c>
      <c r="G39" s="819">
        <v>500.0</v>
      </c>
      <c r="I39" s="815">
        <v>9.0</v>
      </c>
      <c r="J39" s="816">
        <v>114.0</v>
      </c>
      <c r="K39" s="817">
        <v>51000.0</v>
      </c>
      <c r="L39" s="817">
        <v>100000.0</v>
      </c>
      <c r="M39" s="817">
        <v>240000.0</v>
      </c>
      <c r="N39" s="818" t="s">
        <v>2969</v>
      </c>
      <c r="O39" s="819">
        <v>800.0</v>
      </c>
      <c r="Q39" s="815">
        <v>9.0</v>
      </c>
      <c r="R39" s="816">
        <v>30.0</v>
      </c>
      <c r="S39" s="817"/>
      <c r="T39" s="817"/>
      <c r="U39" s="817">
        <v>1440000.0</v>
      </c>
      <c r="V39" s="818" t="s">
        <v>2970</v>
      </c>
      <c r="W39" s="819">
        <v>1400.0</v>
      </c>
    </row>
    <row r="40">
      <c r="A40" s="815">
        <v>10.0</v>
      </c>
      <c r="B40" s="816">
        <v>55.0</v>
      </c>
      <c r="C40" s="817">
        <v>26000.0</v>
      </c>
      <c r="D40" s="817">
        <v>52000.0</v>
      </c>
      <c r="E40" s="817">
        <v>65000.0</v>
      </c>
      <c r="F40" s="818" t="s">
        <v>2971</v>
      </c>
      <c r="G40" s="819">
        <v>550.0</v>
      </c>
      <c r="I40" s="815">
        <v>10.0</v>
      </c>
      <c r="J40" s="816">
        <v>126.0</v>
      </c>
      <c r="K40" s="817">
        <v>55000.0</v>
      </c>
      <c r="L40" s="817">
        <v>110000.0</v>
      </c>
      <c r="M40" s="817">
        <v>260000.0</v>
      </c>
      <c r="N40" s="818" t="s">
        <v>2972</v>
      </c>
      <c r="O40" s="819">
        <v>880.0</v>
      </c>
      <c r="Q40" s="815">
        <v>10.0</v>
      </c>
      <c r="R40" s="816">
        <v>33.0</v>
      </c>
      <c r="S40" s="817"/>
      <c r="T40" s="817"/>
      <c r="U40" s="817">
        <v>1560000.0</v>
      </c>
      <c r="V40" s="818" t="s">
        <v>2973</v>
      </c>
      <c r="W40" s="819">
        <v>1540.0</v>
      </c>
    </row>
    <row r="41">
      <c r="A41" s="820" t="s">
        <v>2518</v>
      </c>
      <c r="B41" s="821">
        <f t="shared" ref="B41:E41" si="7">SUM(B31:B40)</f>
        <v>325</v>
      </c>
      <c r="C41" s="822">
        <f t="shared" si="7"/>
        <v>170100</v>
      </c>
      <c r="D41" s="822">
        <f t="shared" si="7"/>
        <v>340000</v>
      </c>
      <c r="E41" s="822">
        <f t="shared" si="7"/>
        <v>425000</v>
      </c>
      <c r="F41" s="823"/>
      <c r="G41" s="824">
        <f>SUM(G31:G40)</f>
        <v>3250</v>
      </c>
      <c r="H41" s="830"/>
      <c r="I41" s="820" t="s">
        <v>2518</v>
      </c>
      <c r="J41" s="821">
        <f t="shared" ref="J41:M41" si="8">SUM(J31:J40)</f>
        <v>720</v>
      </c>
      <c r="K41" s="822">
        <f t="shared" si="8"/>
        <v>359000</v>
      </c>
      <c r="L41" s="822">
        <f t="shared" si="8"/>
        <v>719000</v>
      </c>
      <c r="M41" s="822">
        <f t="shared" si="8"/>
        <v>1700000</v>
      </c>
      <c r="N41" s="823"/>
      <c r="O41" s="824">
        <f>SUM(O31:O40)</f>
        <v>5200</v>
      </c>
      <c r="Q41" s="820" t="s">
        <v>2518</v>
      </c>
      <c r="R41" s="821">
        <f t="shared" ref="R41:U41" si="9">SUM(R31:R40)</f>
        <v>195</v>
      </c>
      <c r="S41" s="822">
        <f t="shared" si="9"/>
        <v>45000</v>
      </c>
      <c r="T41" s="822">
        <f t="shared" si="9"/>
        <v>90000</v>
      </c>
      <c r="U41" s="822">
        <f t="shared" si="9"/>
        <v>10200000</v>
      </c>
      <c r="V41" s="823"/>
      <c r="W41" s="824">
        <f>SUM(W31:W40)</f>
        <v>9100</v>
      </c>
    </row>
    <row r="42">
      <c r="A42" s="827"/>
      <c r="B42" s="828"/>
      <c r="C42" s="828"/>
      <c r="D42" s="828"/>
      <c r="E42" s="828"/>
      <c r="F42" s="828"/>
      <c r="G42" s="829"/>
      <c r="I42" s="827"/>
      <c r="J42" s="828"/>
      <c r="K42" s="828"/>
      <c r="L42" s="828"/>
      <c r="M42" s="828"/>
      <c r="N42" s="828"/>
      <c r="O42" s="829"/>
      <c r="Q42" s="827"/>
      <c r="R42" s="828"/>
      <c r="S42" s="828"/>
      <c r="T42" s="828"/>
      <c r="U42" s="828"/>
      <c r="V42" s="828"/>
      <c r="W42" s="829"/>
    </row>
    <row r="43">
      <c r="A43" s="827"/>
      <c r="B43" s="828"/>
      <c r="C43" s="828"/>
      <c r="D43" s="828"/>
      <c r="E43" s="828"/>
      <c r="F43" s="828"/>
      <c r="G43" s="829"/>
      <c r="I43" s="827"/>
      <c r="J43" s="828"/>
      <c r="K43" s="828"/>
      <c r="L43" s="828"/>
      <c r="M43" s="828"/>
      <c r="N43" s="828"/>
      <c r="O43" s="829"/>
      <c r="Q43" s="827"/>
      <c r="R43" s="828"/>
      <c r="S43" s="828"/>
      <c r="T43" s="828"/>
      <c r="U43" s="828"/>
      <c r="V43" s="828"/>
      <c r="W43" s="829"/>
    </row>
    <row r="44">
      <c r="A44" s="811" t="s">
        <v>2974</v>
      </c>
      <c r="B44" s="813"/>
      <c r="C44" s="812" t="s">
        <v>445</v>
      </c>
      <c r="D44" s="812" t="s">
        <v>446</v>
      </c>
      <c r="E44" s="812" t="s">
        <v>2873</v>
      </c>
      <c r="F44" s="813"/>
      <c r="G44" s="814" t="s">
        <v>2874</v>
      </c>
      <c r="I44" s="811" t="s">
        <v>2975</v>
      </c>
      <c r="J44" s="813"/>
      <c r="K44" s="812" t="s">
        <v>445</v>
      </c>
      <c r="L44" s="812" t="s">
        <v>446</v>
      </c>
      <c r="M44" s="812" t="s">
        <v>2873</v>
      </c>
      <c r="N44" s="813"/>
      <c r="O44" s="868"/>
      <c r="Q44" s="811" t="s">
        <v>2976</v>
      </c>
      <c r="R44" s="813"/>
      <c r="S44" s="812" t="s">
        <v>445</v>
      </c>
      <c r="T44" s="812" t="s">
        <v>446</v>
      </c>
      <c r="U44" s="813"/>
      <c r="V44" s="813"/>
      <c r="W44" s="868"/>
    </row>
    <row r="45">
      <c r="A45" s="815">
        <v>1.0</v>
      </c>
      <c r="B45" s="816">
        <v>6.0</v>
      </c>
      <c r="C45" s="817">
        <v>5400.0</v>
      </c>
      <c r="D45" s="817">
        <v>8100.0</v>
      </c>
      <c r="E45" s="817">
        <v>10000.0</v>
      </c>
      <c r="F45" s="818" t="s">
        <v>2977</v>
      </c>
      <c r="G45" s="819">
        <v>80.0</v>
      </c>
      <c r="I45" s="815">
        <v>1.0</v>
      </c>
      <c r="J45" s="816">
        <v>12.0</v>
      </c>
      <c r="K45" s="817">
        <v>11000.0</v>
      </c>
      <c r="L45" s="817">
        <v>17000.0</v>
      </c>
      <c r="M45" s="817">
        <v>50000.0</v>
      </c>
      <c r="N45" s="818" t="s">
        <v>2978</v>
      </c>
      <c r="O45" s="819">
        <v>120.0</v>
      </c>
      <c r="Q45" s="815">
        <v>1.0</v>
      </c>
      <c r="R45" s="816">
        <v>2.0</v>
      </c>
      <c r="S45" s="817">
        <v>30000.0</v>
      </c>
      <c r="T45" s="817">
        <v>45000.0</v>
      </c>
      <c r="U45" s="817">
        <v>200000.0</v>
      </c>
      <c r="V45" s="818" t="s">
        <v>2979</v>
      </c>
      <c r="W45" s="819">
        <v>200.0</v>
      </c>
    </row>
    <row r="46">
      <c r="A46" s="815">
        <v>2.0</v>
      </c>
      <c r="B46" s="816">
        <v>9.0</v>
      </c>
      <c r="C46" s="817">
        <v>6700.0</v>
      </c>
      <c r="D46" s="817">
        <v>10000.0</v>
      </c>
      <c r="E46" s="817">
        <v>12500.0</v>
      </c>
      <c r="F46" s="818" t="s">
        <v>2980</v>
      </c>
      <c r="G46" s="819">
        <v>120.0</v>
      </c>
      <c r="I46" s="815">
        <v>2.0</v>
      </c>
      <c r="J46" s="816">
        <v>20.0</v>
      </c>
      <c r="K46" s="817">
        <v>14000.0</v>
      </c>
      <c r="L46" s="817">
        <v>21000.0</v>
      </c>
      <c r="M46" s="817">
        <v>62500.0</v>
      </c>
      <c r="N46" s="818" t="s">
        <v>2981</v>
      </c>
      <c r="O46" s="819">
        <v>180.0</v>
      </c>
      <c r="Q46" s="815">
        <v>2.0</v>
      </c>
      <c r="R46" s="816">
        <v>3.0</v>
      </c>
      <c r="S46" s="817">
        <v>37000.0</v>
      </c>
      <c r="T46" s="817">
        <v>54000.0</v>
      </c>
      <c r="U46" s="817">
        <v>250000.0</v>
      </c>
      <c r="V46" s="818" t="s">
        <v>2982</v>
      </c>
      <c r="W46" s="819">
        <v>300.0</v>
      </c>
    </row>
    <row r="47">
      <c r="A47" s="815">
        <v>3.0</v>
      </c>
      <c r="B47" s="816">
        <v>12.0</v>
      </c>
      <c r="C47" s="817">
        <v>8100.0</v>
      </c>
      <c r="D47" s="817">
        <v>12000.0</v>
      </c>
      <c r="E47" s="817">
        <v>15000.0</v>
      </c>
      <c r="F47" s="818" t="s">
        <v>2983</v>
      </c>
      <c r="G47" s="819">
        <v>160.0</v>
      </c>
      <c r="I47" s="815">
        <v>3.0</v>
      </c>
      <c r="J47" s="816">
        <v>28.0</v>
      </c>
      <c r="K47" s="817">
        <v>17000.0</v>
      </c>
      <c r="L47" s="817">
        <v>25000.0</v>
      </c>
      <c r="M47" s="817">
        <v>75000.0</v>
      </c>
      <c r="N47" s="818" t="s">
        <v>2984</v>
      </c>
      <c r="O47" s="819">
        <v>240.0</v>
      </c>
      <c r="Q47" s="815">
        <v>3.0</v>
      </c>
      <c r="R47" s="816">
        <v>4.0</v>
      </c>
      <c r="S47" s="817">
        <v>45000.0</v>
      </c>
      <c r="T47" s="817">
        <v>65000.0</v>
      </c>
      <c r="U47" s="817">
        <v>300000.0</v>
      </c>
      <c r="V47" s="818" t="s">
        <v>2985</v>
      </c>
      <c r="W47" s="819">
        <v>400.0</v>
      </c>
    </row>
    <row r="48">
      <c r="A48" s="815">
        <v>4.0</v>
      </c>
      <c r="B48" s="816">
        <v>15.0</v>
      </c>
      <c r="C48" s="817">
        <v>9400.0</v>
      </c>
      <c r="D48" s="817">
        <v>14000.0</v>
      </c>
      <c r="E48" s="817">
        <v>17500.0</v>
      </c>
      <c r="F48" s="818" t="s">
        <v>2986</v>
      </c>
      <c r="G48" s="819">
        <v>200.0</v>
      </c>
      <c r="I48" s="815">
        <v>4.0</v>
      </c>
      <c r="J48" s="816">
        <v>36.0</v>
      </c>
      <c r="K48" s="817">
        <v>19000.0</v>
      </c>
      <c r="L48" s="817">
        <v>29000.0</v>
      </c>
      <c r="M48" s="817">
        <v>87500.0</v>
      </c>
      <c r="N48" s="818" t="s">
        <v>2987</v>
      </c>
      <c r="O48" s="819">
        <v>300.0</v>
      </c>
      <c r="Q48" s="815">
        <v>4.0</v>
      </c>
      <c r="R48" s="816">
        <v>5.0</v>
      </c>
      <c r="S48" s="817">
        <v>52000.0</v>
      </c>
      <c r="T48" s="817">
        <v>75000.0</v>
      </c>
      <c r="U48" s="817">
        <v>350000.0</v>
      </c>
      <c r="V48" s="818" t="s">
        <v>2988</v>
      </c>
      <c r="W48" s="819">
        <v>500.0</v>
      </c>
    </row>
    <row r="49">
      <c r="A49" s="815">
        <v>5.0</v>
      </c>
      <c r="B49" s="816">
        <v>18.0</v>
      </c>
      <c r="C49" s="817">
        <v>10000.0</v>
      </c>
      <c r="D49" s="817">
        <v>16000.0</v>
      </c>
      <c r="E49" s="817">
        <v>20000.0</v>
      </c>
      <c r="F49" s="818" t="s">
        <v>2989</v>
      </c>
      <c r="G49" s="819">
        <v>240.0</v>
      </c>
      <c r="I49" s="815">
        <v>5.0</v>
      </c>
      <c r="J49" s="816">
        <v>44.0</v>
      </c>
      <c r="K49" s="817">
        <v>22000.0</v>
      </c>
      <c r="L49" s="817">
        <v>34000.0</v>
      </c>
      <c r="M49" s="817">
        <v>100000.0</v>
      </c>
      <c r="N49" s="818" t="s">
        <v>2990</v>
      </c>
      <c r="O49" s="819">
        <v>360.0</v>
      </c>
      <c r="Q49" s="815">
        <v>5.0</v>
      </c>
      <c r="R49" s="816">
        <v>6.0</v>
      </c>
      <c r="S49" s="817">
        <v>60000.0</v>
      </c>
      <c r="T49" s="817">
        <v>86000.0</v>
      </c>
      <c r="U49" s="817">
        <v>400000.0</v>
      </c>
      <c r="V49" s="818" t="s">
        <v>2991</v>
      </c>
      <c r="W49" s="819">
        <v>600.0</v>
      </c>
    </row>
    <row r="50">
      <c r="A50" s="815">
        <v>6.0</v>
      </c>
      <c r="B50" s="816">
        <v>21.0</v>
      </c>
      <c r="C50" s="817">
        <v>12000.0</v>
      </c>
      <c r="D50" s="817">
        <v>18000.0</v>
      </c>
      <c r="E50" s="817">
        <v>22500.0</v>
      </c>
      <c r="F50" s="818" t="s">
        <v>2992</v>
      </c>
      <c r="G50" s="819">
        <v>280.0</v>
      </c>
      <c r="I50" s="815">
        <v>6.0</v>
      </c>
      <c r="J50" s="816">
        <v>52.0</v>
      </c>
      <c r="K50" s="817">
        <v>25000.0</v>
      </c>
      <c r="L50" s="817">
        <v>38000.0</v>
      </c>
      <c r="M50" s="817">
        <v>112500.0</v>
      </c>
      <c r="N50" s="818" t="s">
        <v>2993</v>
      </c>
      <c r="O50" s="819">
        <v>420.0</v>
      </c>
      <c r="Q50" s="815">
        <v>6.0</v>
      </c>
      <c r="R50" s="816">
        <v>7.0</v>
      </c>
      <c r="S50" s="817">
        <v>67000.0</v>
      </c>
      <c r="T50" s="817">
        <v>97000.0</v>
      </c>
      <c r="U50" s="817">
        <v>450000.0</v>
      </c>
      <c r="V50" s="818" t="s">
        <v>2994</v>
      </c>
      <c r="W50" s="819">
        <v>700.0</v>
      </c>
    </row>
    <row r="51">
      <c r="A51" s="815">
        <v>7.0</v>
      </c>
      <c r="B51" s="816">
        <v>24.0</v>
      </c>
      <c r="C51" s="817">
        <v>13000.0</v>
      </c>
      <c r="D51" s="817">
        <v>20000.0</v>
      </c>
      <c r="E51" s="817">
        <v>25000.0</v>
      </c>
      <c r="F51" s="818" t="s">
        <v>2995</v>
      </c>
      <c r="G51" s="819">
        <v>320.0</v>
      </c>
      <c r="I51" s="815">
        <v>7.0</v>
      </c>
      <c r="J51" s="816">
        <v>60.0</v>
      </c>
      <c r="K51" s="817">
        <v>28000.0</v>
      </c>
      <c r="L51" s="817">
        <v>42000.0</v>
      </c>
      <c r="M51" s="817">
        <v>125000.0</v>
      </c>
      <c r="N51" s="818" t="s">
        <v>2996</v>
      </c>
      <c r="O51" s="819">
        <v>480.0</v>
      </c>
      <c r="Q51" s="815">
        <v>7.0</v>
      </c>
      <c r="R51" s="816">
        <v>8.0</v>
      </c>
      <c r="S51" s="817">
        <v>75000.0</v>
      </c>
      <c r="T51" s="817">
        <v>100000.0</v>
      </c>
      <c r="U51" s="817">
        <v>500000.0</v>
      </c>
      <c r="V51" s="818" t="s">
        <v>2997</v>
      </c>
      <c r="W51" s="819">
        <v>800.0</v>
      </c>
    </row>
    <row r="52">
      <c r="A52" s="815">
        <v>8.0</v>
      </c>
      <c r="B52" s="816">
        <v>27.0</v>
      </c>
      <c r="C52" s="817">
        <v>14000.0</v>
      </c>
      <c r="D52" s="817">
        <v>22000.0</v>
      </c>
      <c r="E52" s="817">
        <v>27500.0</v>
      </c>
      <c r="F52" s="818" t="s">
        <v>2998</v>
      </c>
      <c r="G52" s="819">
        <v>360.0</v>
      </c>
      <c r="I52" s="815">
        <v>8.0</v>
      </c>
      <c r="J52" s="816">
        <v>68.0</v>
      </c>
      <c r="K52" s="817">
        <v>31000.0</v>
      </c>
      <c r="L52" s="817">
        <v>47000.0</v>
      </c>
      <c r="M52" s="817">
        <v>137500.0</v>
      </c>
      <c r="N52" s="818" t="s">
        <v>2999</v>
      </c>
      <c r="O52" s="819">
        <v>540.0</v>
      </c>
      <c r="Q52" s="815">
        <v>8.0</v>
      </c>
      <c r="R52" s="816">
        <v>9.0</v>
      </c>
      <c r="S52" s="817">
        <v>82000.0</v>
      </c>
      <c r="T52" s="817">
        <v>110000.0</v>
      </c>
      <c r="U52" s="817">
        <v>550000.0</v>
      </c>
      <c r="V52" s="818" t="s">
        <v>3000</v>
      </c>
      <c r="W52" s="819">
        <v>900.0</v>
      </c>
    </row>
    <row r="53">
      <c r="A53" s="815">
        <v>9.0</v>
      </c>
      <c r="B53" s="816">
        <v>30.0</v>
      </c>
      <c r="C53" s="817">
        <v>16000.0</v>
      </c>
      <c r="D53" s="817">
        <v>24000.0</v>
      </c>
      <c r="E53" s="817">
        <v>30000.0</v>
      </c>
      <c r="F53" s="818" t="s">
        <v>3001</v>
      </c>
      <c r="G53" s="819">
        <v>400.0</v>
      </c>
      <c r="I53" s="815">
        <v>9.0</v>
      </c>
      <c r="J53" s="816">
        <v>76.0</v>
      </c>
      <c r="K53" s="817">
        <v>34000.0</v>
      </c>
      <c r="L53" s="817">
        <v>51000.0</v>
      </c>
      <c r="M53" s="817">
        <v>150000.0</v>
      </c>
      <c r="N53" s="818" t="s">
        <v>3002</v>
      </c>
      <c r="O53" s="819">
        <v>600.0</v>
      </c>
      <c r="Q53" s="815">
        <v>9.0</v>
      </c>
      <c r="R53" s="816">
        <v>10.0</v>
      </c>
      <c r="S53" s="817">
        <v>90000.0</v>
      </c>
      <c r="T53" s="817">
        <v>130000.0</v>
      </c>
      <c r="U53" s="817">
        <v>600000.0</v>
      </c>
      <c r="V53" s="818" t="s">
        <v>3003</v>
      </c>
      <c r="W53" s="819">
        <v>1000.0</v>
      </c>
    </row>
    <row r="54">
      <c r="A54" s="815">
        <v>10.0</v>
      </c>
      <c r="B54" s="816">
        <v>33.0</v>
      </c>
      <c r="C54" s="817">
        <v>17000.0</v>
      </c>
      <c r="D54" s="817">
        <v>26000.0</v>
      </c>
      <c r="E54" s="817">
        <v>32500.0</v>
      </c>
      <c r="F54" s="818" t="s">
        <v>3004</v>
      </c>
      <c r="G54" s="819">
        <v>440.0</v>
      </c>
      <c r="I54" s="815">
        <v>10.0</v>
      </c>
      <c r="J54" s="816">
        <v>84.0</v>
      </c>
      <c r="K54" s="817">
        <v>37000.0</v>
      </c>
      <c r="L54" s="817">
        <v>55000.0</v>
      </c>
      <c r="M54" s="817">
        <v>162500.0</v>
      </c>
      <c r="N54" s="818" t="s">
        <v>3005</v>
      </c>
      <c r="O54" s="819">
        <v>660.0</v>
      </c>
      <c r="Q54" s="815">
        <v>10.0</v>
      </c>
      <c r="R54" s="816">
        <v>11.0</v>
      </c>
      <c r="S54" s="817">
        <v>97000.0</v>
      </c>
      <c r="T54" s="817">
        <v>140000.0</v>
      </c>
      <c r="U54" s="817">
        <v>650000.0</v>
      </c>
      <c r="V54" s="818" t="s">
        <v>3006</v>
      </c>
      <c r="W54" s="819">
        <v>1100.0</v>
      </c>
    </row>
    <row r="55">
      <c r="A55" s="820" t="s">
        <v>2518</v>
      </c>
      <c r="B55" s="821">
        <f t="shared" ref="B55:E55" si="10">SUM(B45:B54)</f>
        <v>195</v>
      </c>
      <c r="C55" s="822">
        <f t="shared" si="10"/>
        <v>111600</v>
      </c>
      <c r="D55" s="822">
        <f t="shared" si="10"/>
        <v>170100</v>
      </c>
      <c r="E55" s="822">
        <f t="shared" si="10"/>
        <v>212500</v>
      </c>
      <c r="F55" s="823"/>
      <c r="G55" s="824">
        <f>SUM(G45:G54)</f>
        <v>2600</v>
      </c>
      <c r="I55" s="820" t="s">
        <v>2518</v>
      </c>
      <c r="J55" s="831">
        <f t="shared" ref="J55:M55" si="11">SUM(J45:J54)</f>
        <v>480</v>
      </c>
      <c r="K55" s="822">
        <f t="shared" si="11"/>
        <v>238000</v>
      </c>
      <c r="L55" s="822">
        <f t="shared" si="11"/>
        <v>359000</v>
      </c>
      <c r="M55" s="822">
        <f t="shared" si="11"/>
        <v>1062500</v>
      </c>
      <c r="N55" s="823"/>
      <c r="O55" s="824">
        <f>SUM(O45:O54)</f>
        <v>3900</v>
      </c>
      <c r="Q55" s="820" t="s">
        <v>2518</v>
      </c>
      <c r="R55" s="831">
        <f t="shared" ref="R55:U55" si="12">SUM(R45:R54)</f>
        <v>65</v>
      </c>
      <c r="S55" s="822">
        <f t="shared" si="12"/>
        <v>635000</v>
      </c>
      <c r="T55" s="822">
        <f t="shared" si="12"/>
        <v>902000</v>
      </c>
      <c r="U55" s="822">
        <f t="shared" si="12"/>
        <v>4250000</v>
      </c>
      <c r="V55" s="823"/>
      <c r="W55" s="824">
        <f>SUM(W45:W54)</f>
        <v>6500</v>
      </c>
    </row>
    <row r="56">
      <c r="A56" s="827"/>
      <c r="B56" s="828"/>
      <c r="C56" s="828"/>
      <c r="D56" s="828"/>
      <c r="E56" s="828"/>
      <c r="F56" s="828"/>
      <c r="G56" s="829"/>
      <c r="I56" s="827"/>
      <c r="J56" s="828"/>
      <c r="K56" s="828"/>
      <c r="L56" s="828"/>
      <c r="M56" s="828"/>
      <c r="N56" s="828"/>
      <c r="O56" s="829"/>
      <c r="Q56" s="827"/>
      <c r="R56" s="828"/>
      <c r="S56" s="828"/>
      <c r="T56" s="828"/>
      <c r="U56" s="828"/>
      <c r="V56" s="828"/>
      <c r="W56" s="829"/>
    </row>
    <row r="57">
      <c r="A57" s="827"/>
      <c r="B57" s="828"/>
      <c r="C57" s="828"/>
      <c r="D57" s="828"/>
      <c r="E57" s="828"/>
      <c r="F57" s="828"/>
      <c r="G57" s="829"/>
      <c r="I57" s="827"/>
      <c r="J57" s="828"/>
      <c r="K57" s="828"/>
      <c r="L57" s="828"/>
      <c r="M57" s="828"/>
      <c r="N57" s="828"/>
      <c r="O57" s="829"/>
      <c r="Q57" s="827"/>
      <c r="R57" s="828"/>
      <c r="S57" s="828"/>
      <c r="T57" s="828"/>
      <c r="U57" s="828"/>
      <c r="V57" s="828"/>
      <c r="W57" s="829"/>
    </row>
    <row r="58">
      <c r="A58" s="869" t="s">
        <v>3007</v>
      </c>
      <c r="B58" s="870"/>
      <c r="C58" s="871" t="s">
        <v>447</v>
      </c>
      <c r="D58" s="871" t="s">
        <v>449</v>
      </c>
      <c r="E58" s="871" t="s">
        <v>2873</v>
      </c>
      <c r="F58" s="872"/>
      <c r="G58" s="873" t="s">
        <v>2874</v>
      </c>
      <c r="I58" s="869" t="s">
        <v>3008</v>
      </c>
      <c r="J58" s="870"/>
      <c r="K58" s="871" t="s">
        <v>447</v>
      </c>
      <c r="L58" s="871" t="s">
        <v>449</v>
      </c>
      <c r="M58" s="871" t="s">
        <v>2873</v>
      </c>
      <c r="N58" s="872"/>
      <c r="O58" s="874"/>
      <c r="Q58" s="869" t="s">
        <v>3009</v>
      </c>
      <c r="R58" s="870"/>
      <c r="S58" s="871" t="s">
        <v>447</v>
      </c>
      <c r="T58" s="871" t="s">
        <v>449</v>
      </c>
      <c r="U58" s="872"/>
      <c r="V58" s="872"/>
      <c r="W58" s="874"/>
    </row>
    <row r="59">
      <c r="A59" s="837">
        <v>1.0</v>
      </c>
      <c r="B59" s="838">
        <v>8.0</v>
      </c>
      <c r="C59" s="839">
        <v>10000.0</v>
      </c>
      <c r="D59" s="839">
        <v>5400.0</v>
      </c>
      <c r="E59" s="839">
        <v>15000.0</v>
      </c>
      <c r="F59" s="840" t="s">
        <v>3010</v>
      </c>
      <c r="G59" s="841">
        <v>90.0</v>
      </c>
      <c r="I59" s="837">
        <v>1.0</v>
      </c>
      <c r="J59" s="838">
        <v>15.0</v>
      </c>
      <c r="K59" s="839">
        <v>22000.0</v>
      </c>
      <c r="L59" s="839">
        <v>11000.0</v>
      </c>
      <c r="M59" s="839">
        <v>60000.0</v>
      </c>
      <c r="N59" s="840" t="s">
        <v>3011</v>
      </c>
      <c r="O59" s="841">
        <v>140.0</v>
      </c>
      <c r="Q59" s="837">
        <v>1.0</v>
      </c>
      <c r="R59" s="838">
        <v>4.0</v>
      </c>
      <c r="S59" s="839">
        <v>63000.0</v>
      </c>
      <c r="T59" s="839">
        <v>31000.0</v>
      </c>
      <c r="U59" s="839">
        <v>320000.0</v>
      </c>
      <c r="V59" s="840" t="s">
        <v>3012</v>
      </c>
      <c r="W59" s="841">
        <v>240.0</v>
      </c>
    </row>
    <row r="60">
      <c r="A60" s="875">
        <v>2.0</v>
      </c>
      <c r="B60" s="876">
        <v>12.0</v>
      </c>
      <c r="C60" s="877">
        <v>13000.0</v>
      </c>
      <c r="D60" s="877">
        <v>6700.0</v>
      </c>
      <c r="E60" s="877">
        <v>18750.0</v>
      </c>
      <c r="F60" s="878" t="s">
        <v>3013</v>
      </c>
      <c r="G60" s="879">
        <v>135.0</v>
      </c>
      <c r="I60" s="875">
        <v>2.0</v>
      </c>
      <c r="J60" s="876">
        <v>25.0</v>
      </c>
      <c r="K60" s="877">
        <v>28000.0</v>
      </c>
      <c r="L60" s="877">
        <v>14000.0</v>
      </c>
      <c r="M60" s="877">
        <v>75000.0</v>
      </c>
      <c r="N60" s="878" t="s">
        <v>3014</v>
      </c>
      <c r="O60" s="879">
        <v>210.0</v>
      </c>
      <c r="Q60" s="875">
        <v>2.0</v>
      </c>
      <c r="R60" s="876">
        <v>6.0</v>
      </c>
      <c r="S60" s="877">
        <v>78000.0</v>
      </c>
      <c r="T60" s="877">
        <v>39000.0</v>
      </c>
      <c r="U60" s="877">
        <v>400000.0</v>
      </c>
      <c r="V60" s="878" t="s">
        <v>3015</v>
      </c>
      <c r="W60" s="879">
        <v>360.0</v>
      </c>
    </row>
    <row r="61">
      <c r="A61" s="837">
        <v>3.0</v>
      </c>
      <c r="B61" s="838">
        <v>16.0</v>
      </c>
      <c r="C61" s="839">
        <v>16000.0</v>
      </c>
      <c r="D61" s="839">
        <v>8100.0</v>
      </c>
      <c r="E61" s="839">
        <v>22500.0</v>
      </c>
      <c r="F61" s="840" t="s">
        <v>3016</v>
      </c>
      <c r="G61" s="841">
        <v>180.0</v>
      </c>
      <c r="I61" s="837">
        <v>3.0</v>
      </c>
      <c r="J61" s="838">
        <v>35.0</v>
      </c>
      <c r="K61" s="839">
        <v>34000.0</v>
      </c>
      <c r="L61" s="839">
        <v>17000.0</v>
      </c>
      <c r="M61" s="839">
        <v>90000.0</v>
      </c>
      <c r="N61" s="840" t="s">
        <v>3017</v>
      </c>
      <c r="O61" s="841">
        <v>280.0</v>
      </c>
      <c r="Q61" s="837">
        <v>3.0</v>
      </c>
      <c r="R61" s="838">
        <v>8.0</v>
      </c>
      <c r="S61" s="839"/>
      <c r="T61" s="839"/>
      <c r="U61" s="839">
        <v>480000.0</v>
      </c>
      <c r="V61" s="840" t="s">
        <v>3018</v>
      </c>
      <c r="W61" s="841">
        <v>480.0</v>
      </c>
    </row>
    <row r="62">
      <c r="A62" s="875">
        <v>4.0</v>
      </c>
      <c r="B62" s="876">
        <v>20.0</v>
      </c>
      <c r="C62" s="877">
        <v>18000.0</v>
      </c>
      <c r="D62" s="877">
        <v>9400.0</v>
      </c>
      <c r="E62" s="877">
        <v>26250.0</v>
      </c>
      <c r="F62" s="878" t="s">
        <v>3019</v>
      </c>
      <c r="G62" s="879">
        <v>25.0</v>
      </c>
      <c r="I62" s="875">
        <v>4.0</v>
      </c>
      <c r="J62" s="876">
        <v>45.0</v>
      </c>
      <c r="K62" s="877">
        <v>39000.0</v>
      </c>
      <c r="L62" s="877">
        <v>19000.0</v>
      </c>
      <c r="M62" s="877">
        <v>105000.0</v>
      </c>
      <c r="N62" s="878" t="s">
        <v>3020</v>
      </c>
      <c r="O62" s="879">
        <v>350.0</v>
      </c>
      <c r="Q62" s="875">
        <v>4.0</v>
      </c>
      <c r="R62" s="876">
        <v>10.0</v>
      </c>
      <c r="S62" s="877"/>
      <c r="T62" s="877"/>
      <c r="U62" s="877">
        <v>560000.0</v>
      </c>
      <c r="V62" s="878" t="s">
        <v>3021</v>
      </c>
      <c r="W62" s="879">
        <v>600.0</v>
      </c>
    </row>
    <row r="63">
      <c r="A63" s="837">
        <v>5.0</v>
      </c>
      <c r="B63" s="838">
        <v>24.0</v>
      </c>
      <c r="C63" s="839">
        <v>21000.0</v>
      </c>
      <c r="D63" s="839">
        <v>10000.0</v>
      </c>
      <c r="E63" s="839">
        <v>30000.0</v>
      </c>
      <c r="F63" s="840" t="s">
        <v>3022</v>
      </c>
      <c r="G63" s="841">
        <v>270.0</v>
      </c>
      <c r="I63" s="837">
        <v>5.0</v>
      </c>
      <c r="J63" s="838">
        <v>55.0</v>
      </c>
      <c r="K63" s="839">
        <v>45000.0</v>
      </c>
      <c r="L63" s="839">
        <v>22000.0</v>
      </c>
      <c r="M63" s="839">
        <v>120000.0</v>
      </c>
      <c r="N63" s="840" t="s">
        <v>3023</v>
      </c>
      <c r="O63" s="841">
        <v>420.0</v>
      </c>
      <c r="Q63" s="837">
        <v>5.0</v>
      </c>
      <c r="R63" s="838">
        <v>12.0</v>
      </c>
      <c r="S63" s="839"/>
      <c r="T63" s="839"/>
      <c r="U63" s="839">
        <v>640000.0</v>
      </c>
      <c r="V63" s="840" t="s">
        <v>3024</v>
      </c>
      <c r="W63" s="841">
        <v>720.0</v>
      </c>
    </row>
    <row r="64">
      <c r="A64" s="875">
        <v>6.0</v>
      </c>
      <c r="B64" s="876">
        <v>28.0</v>
      </c>
      <c r="C64" s="877">
        <v>24000.0</v>
      </c>
      <c r="D64" s="877">
        <v>12000.0</v>
      </c>
      <c r="E64" s="877">
        <v>33750.0</v>
      </c>
      <c r="F64" s="878" t="s">
        <v>3025</v>
      </c>
      <c r="G64" s="879">
        <v>315.0</v>
      </c>
      <c r="I64" s="875">
        <v>6.0</v>
      </c>
      <c r="J64" s="876">
        <v>65.0</v>
      </c>
      <c r="K64" s="877">
        <v>51000.0</v>
      </c>
      <c r="L64" s="877">
        <v>25000.0</v>
      </c>
      <c r="M64" s="877">
        <v>135000.0</v>
      </c>
      <c r="N64" s="878" t="s">
        <v>3026</v>
      </c>
      <c r="O64" s="879">
        <v>490.0</v>
      </c>
      <c r="Q64" s="875">
        <v>6.0</v>
      </c>
      <c r="R64" s="876">
        <v>14.0</v>
      </c>
      <c r="S64" s="877"/>
      <c r="T64" s="877"/>
      <c r="U64" s="877">
        <v>720000.0</v>
      </c>
      <c r="V64" s="878" t="s">
        <v>3027</v>
      </c>
      <c r="W64" s="879">
        <v>840.0</v>
      </c>
    </row>
    <row r="65">
      <c r="A65" s="837">
        <v>7.0</v>
      </c>
      <c r="B65" s="838">
        <v>32.0</v>
      </c>
      <c r="C65" s="839">
        <v>27000.0</v>
      </c>
      <c r="D65" s="839">
        <v>13000.0</v>
      </c>
      <c r="E65" s="839">
        <v>37500.0</v>
      </c>
      <c r="F65" s="840" t="s">
        <v>3028</v>
      </c>
      <c r="G65" s="841">
        <v>360.0</v>
      </c>
      <c r="I65" s="837">
        <v>7.0</v>
      </c>
      <c r="J65" s="838">
        <v>75.0</v>
      </c>
      <c r="K65" s="839">
        <v>57000.0</v>
      </c>
      <c r="L65" s="839">
        <v>28000.0</v>
      </c>
      <c r="M65" s="839">
        <v>150000.0</v>
      </c>
      <c r="N65" s="840" t="s">
        <v>3029</v>
      </c>
      <c r="O65" s="841">
        <v>560.0</v>
      </c>
      <c r="Q65" s="837">
        <v>7.0</v>
      </c>
      <c r="R65" s="838">
        <v>16.0</v>
      </c>
      <c r="S65" s="839">
        <v>170000.0</v>
      </c>
      <c r="T65" s="839">
        <v>86000.0</v>
      </c>
      <c r="U65" s="839">
        <v>800000.0</v>
      </c>
      <c r="V65" s="840" t="s">
        <v>3030</v>
      </c>
      <c r="W65" s="841">
        <v>960.0</v>
      </c>
    </row>
    <row r="66">
      <c r="A66" s="875">
        <v>8.0</v>
      </c>
      <c r="B66" s="876">
        <v>36.0</v>
      </c>
      <c r="C66" s="877">
        <v>29000.0</v>
      </c>
      <c r="D66" s="877">
        <v>14000.0</v>
      </c>
      <c r="E66" s="877">
        <v>41250.0</v>
      </c>
      <c r="F66" s="878" t="s">
        <v>3031</v>
      </c>
      <c r="G66" s="879">
        <v>405.0</v>
      </c>
      <c r="I66" s="875">
        <v>8.0</v>
      </c>
      <c r="J66" s="876">
        <v>85.0</v>
      </c>
      <c r="K66" s="877">
        <v>62000.0</v>
      </c>
      <c r="L66" s="877">
        <v>31000.0</v>
      </c>
      <c r="M66" s="877">
        <v>165000.0</v>
      </c>
      <c r="N66" s="878" t="s">
        <v>3032</v>
      </c>
      <c r="O66" s="879">
        <v>630.0</v>
      </c>
      <c r="Q66" s="875">
        <v>8.0</v>
      </c>
      <c r="R66" s="876">
        <v>18.0</v>
      </c>
      <c r="S66" s="877"/>
      <c r="T66" s="877"/>
      <c r="U66" s="877">
        <v>880000.0</v>
      </c>
      <c r="V66" s="878" t="s">
        <v>3033</v>
      </c>
      <c r="W66" s="879">
        <v>1080.0</v>
      </c>
    </row>
    <row r="67">
      <c r="A67" s="837">
        <v>9.0</v>
      </c>
      <c r="B67" s="838">
        <v>40.0</v>
      </c>
      <c r="C67" s="839">
        <v>32000.0</v>
      </c>
      <c r="D67" s="839">
        <v>16000.0</v>
      </c>
      <c r="E67" s="839">
        <v>45000.0</v>
      </c>
      <c r="F67" s="840" t="s">
        <v>3034</v>
      </c>
      <c r="G67" s="841">
        <v>450.0</v>
      </c>
      <c r="I67" s="837">
        <v>9.0</v>
      </c>
      <c r="J67" s="838">
        <v>95.0</v>
      </c>
      <c r="K67" s="839">
        <v>68000.0</v>
      </c>
      <c r="L67" s="839">
        <v>34000.0</v>
      </c>
      <c r="M67" s="839">
        <v>180000.0</v>
      </c>
      <c r="N67" s="840" t="s">
        <v>3035</v>
      </c>
      <c r="O67" s="841">
        <v>700.0</v>
      </c>
      <c r="Q67" s="837">
        <v>9.0</v>
      </c>
      <c r="R67" s="838">
        <v>20.0</v>
      </c>
      <c r="S67" s="839"/>
      <c r="T67" s="839"/>
      <c r="U67" s="839">
        <v>960000.0</v>
      </c>
      <c r="V67" s="840" t="s">
        <v>3036</v>
      </c>
      <c r="W67" s="841">
        <v>1200.0</v>
      </c>
    </row>
    <row r="68">
      <c r="A68" s="875">
        <v>10.0</v>
      </c>
      <c r="B68" s="876">
        <v>44.0</v>
      </c>
      <c r="C68" s="877">
        <v>35000.0</v>
      </c>
      <c r="D68" s="877">
        <v>17000.0</v>
      </c>
      <c r="E68" s="877">
        <v>48750.0</v>
      </c>
      <c r="F68" s="878" t="s">
        <v>3037</v>
      </c>
      <c r="G68" s="879">
        <v>495.0</v>
      </c>
      <c r="I68" s="875">
        <v>10.0</v>
      </c>
      <c r="J68" s="876">
        <v>105.0</v>
      </c>
      <c r="K68" s="877">
        <v>74000.0</v>
      </c>
      <c r="L68" s="877">
        <v>37000.0</v>
      </c>
      <c r="M68" s="877">
        <v>195000.0</v>
      </c>
      <c r="N68" s="878" t="s">
        <v>3038</v>
      </c>
      <c r="O68" s="879">
        <v>770.0</v>
      </c>
      <c r="Q68" s="875">
        <v>10.0</v>
      </c>
      <c r="R68" s="876">
        <v>22.0</v>
      </c>
      <c r="S68" s="877"/>
      <c r="T68" s="877"/>
      <c r="U68" s="877">
        <v>1040000.0</v>
      </c>
      <c r="V68" s="878" t="s">
        <v>3039</v>
      </c>
      <c r="W68" s="879">
        <v>1320.0</v>
      </c>
    </row>
    <row r="69">
      <c r="A69" s="847" t="s">
        <v>2518</v>
      </c>
      <c r="B69" s="848">
        <f t="shared" ref="B69:E69" si="13">SUM(B59:B68)</f>
        <v>260</v>
      </c>
      <c r="C69" s="849">
        <f t="shared" si="13"/>
        <v>225000</v>
      </c>
      <c r="D69" s="849">
        <f t="shared" si="13"/>
        <v>111600</v>
      </c>
      <c r="E69" s="849">
        <f t="shared" si="13"/>
        <v>318750</v>
      </c>
      <c r="F69" s="850"/>
      <c r="G69" s="851">
        <f>SUM(G59:G68)</f>
        <v>2725</v>
      </c>
      <c r="I69" s="847" t="s">
        <v>2518</v>
      </c>
      <c r="J69" s="852">
        <f t="shared" ref="J69:M69" si="14">SUM(J59:J68)</f>
        <v>600</v>
      </c>
      <c r="K69" s="849">
        <f t="shared" si="14"/>
        <v>480000</v>
      </c>
      <c r="L69" s="849">
        <f t="shared" si="14"/>
        <v>238000</v>
      </c>
      <c r="M69" s="849">
        <f t="shared" si="14"/>
        <v>1275000</v>
      </c>
      <c r="N69" s="850"/>
      <c r="O69" s="851">
        <f>SUM(O59:O68)</f>
        <v>4550</v>
      </c>
      <c r="Q69" s="847" t="s">
        <v>2518</v>
      </c>
      <c r="R69" s="852">
        <f t="shared" ref="R69:U69" si="15">SUM(R59:R68)</f>
        <v>130</v>
      </c>
      <c r="S69" s="849">
        <f t="shared" si="15"/>
        <v>311000</v>
      </c>
      <c r="T69" s="849">
        <f t="shared" si="15"/>
        <v>156000</v>
      </c>
      <c r="U69" s="849">
        <f t="shared" si="15"/>
        <v>6800000</v>
      </c>
      <c r="V69" s="850"/>
      <c r="W69" s="851">
        <f>SUM(W59:W68)</f>
        <v>7800</v>
      </c>
    </row>
    <row r="70">
      <c r="A70" s="827"/>
      <c r="B70" s="828"/>
      <c r="C70" s="828"/>
      <c r="D70" s="828"/>
      <c r="E70" s="828"/>
      <c r="F70" s="828"/>
      <c r="G70" s="829"/>
      <c r="I70" s="827"/>
      <c r="J70" s="828"/>
      <c r="K70" s="828"/>
      <c r="L70" s="828"/>
      <c r="M70" s="828"/>
      <c r="N70" s="828"/>
      <c r="O70" s="829"/>
      <c r="Q70" s="827"/>
      <c r="R70" s="828"/>
      <c r="S70" s="828"/>
      <c r="T70" s="828"/>
      <c r="U70" s="828"/>
      <c r="V70" s="828"/>
      <c r="W70" s="829"/>
    </row>
    <row r="71">
      <c r="A71" s="827"/>
      <c r="B71" s="828"/>
      <c r="C71" s="828"/>
      <c r="D71" s="828"/>
      <c r="E71" s="828"/>
      <c r="F71" s="828"/>
      <c r="G71" s="829"/>
      <c r="I71" s="827"/>
      <c r="J71" s="828"/>
      <c r="K71" s="828"/>
      <c r="L71" s="828"/>
      <c r="M71" s="828"/>
      <c r="N71" s="828"/>
      <c r="O71" s="829"/>
      <c r="Q71" s="827"/>
      <c r="R71" s="828"/>
      <c r="S71" s="828"/>
      <c r="T71" s="828"/>
      <c r="U71" s="828"/>
      <c r="V71" s="828"/>
      <c r="W71" s="829"/>
    </row>
    <row r="72">
      <c r="A72" s="811" t="s">
        <v>3040</v>
      </c>
      <c r="B72" s="813"/>
      <c r="C72" s="812" t="s">
        <v>446</v>
      </c>
      <c r="D72" s="812" t="s">
        <v>448</v>
      </c>
      <c r="E72" s="812" t="s">
        <v>2873</v>
      </c>
      <c r="F72" s="813"/>
      <c r="G72" s="814" t="s">
        <v>2874</v>
      </c>
      <c r="I72" s="811" t="s">
        <v>3041</v>
      </c>
      <c r="J72" s="813"/>
      <c r="K72" s="812" t="s">
        <v>446</v>
      </c>
      <c r="L72" s="812" t="s">
        <v>448</v>
      </c>
      <c r="M72" s="812" t="s">
        <v>2873</v>
      </c>
      <c r="N72" s="813"/>
      <c r="O72" s="868"/>
      <c r="Q72" s="811" t="s">
        <v>3042</v>
      </c>
      <c r="R72" s="813"/>
      <c r="S72" s="812" t="s">
        <v>446</v>
      </c>
      <c r="T72" s="812" t="s">
        <v>448</v>
      </c>
      <c r="U72" s="813"/>
      <c r="V72" s="813"/>
      <c r="W72" s="868"/>
    </row>
    <row r="73">
      <c r="A73" s="815">
        <v>1.0</v>
      </c>
      <c r="B73" s="816">
        <v>10.0</v>
      </c>
      <c r="C73" s="817">
        <v>8100.0</v>
      </c>
      <c r="D73" s="817">
        <v>16000.0</v>
      </c>
      <c r="E73" s="817">
        <v>20000.0</v>
      </c>
      <c r="F73" s="818" t="s">
        <v>2946</v>
      </c>
      <c r="G73" s="819">
        <v>100.0</v>
      </c>
      <c r="I73" s="815">
        <v>1.0</v>
      </c>
      <c r="J73" s="816">
        <v>18.0</v>
      </c>
      <c r="K73" s="817">
        <v>17000.0</v>
      </c>
      <c r="L73" s="817">
        <v>34000.0</v>
      </c>
      <c r="M73" s="817">
        <v>80000.0</v>
      </c>
      <c r="N73" s="818" t="s">
        <v>2945</v>
      </c>
      <c r="O73" s="819">
        <v>160.0</v>
      </c>
      <c r="Q73" s="815">
        <v>1.0</v>
      </c>
      <c r="R73" s="816">
        <v>6.0</v>
      </c>
      <c r="S73" s="817"/>
      <c r="T73" s="817"/>
      <c r="U73" s="817">
        <v>480000.0</v>
      </c>
      <c r="V73" s="818" t="s">
        <v>3043</v>
      </c>
      <c r="W73" s="819">
        <v>280.0</v>
      </c>
    </row>
    <row r="74">
      <c r="A74" s="815">
        <v>2.0</v>
      </c>
      <c r="B74" s="816">
        <v>15.0</v>
      </c>
      <c r="C74" s="817">
        <v>10000.0</v>
      </c>
      <c r="D74" s="817">
        <v>20000.0</v>
      </c>
      <c r="E74" s="817">
        <v>25000.0</v>
      </c>
      <c r="F74" s="818" t="s">
        <v>2949</v>
      </c>
      <c r="G74" s="819">
        <v>150.0</v>
      </c>
      <c r="I74" s="815">
        <v>2.0</v>
      </c>
      <c r="J74" s="816">
        <v>30.0</v>
      </c>
      <c r="K74" s="817">
        <v>21000.0</v>
      </c>
      <c r="L74" s="817">
        <v>42000.0</v>
      </c>
      <c r="M74" s="817">
        <v>100000.0</v>
      </c>
      <c r="N74" s="818" t="s">
        <v>2948</v>
      </c>
      <c r="O74" s="819">
        <v>240.0</v>
      </c>
      <c r="Q74" s="815">
        <v>2.0</v>
      </c>
      <c r="R74" s="816">
        <v>9.0</v>
      </c>
      <c r="S74" s="817"/>
      <c r="T74" s="817"/>
      <c r="U74" s="817">
        <v>600000.0</v>
      </c>
      <c r="V74" s="818" t="s">
        <v>3044</v>
      </c>
      <c r="W74" s="819">
        <v>420.0</v>
      </c>
    </row>
    <row r="75">
      <c r="A75" s="815">
        <v>3.0</v>
      </c>
      <c r="B75" s="816">
        <v>20.0</v>
      </c>
      <c r="C75" s="817">
        <v>12000.0</v>
      </c>
      <c r="D75" s="817">
        <v>24000.0</v>
      </c>
      <c r="E75" s="817">
        <v>30000.0</v>
      </c>
      <c r="F75" s="818" t="s">
        <v>2952</v>
      </c>
      <c r="G75" s="819">
        <v>200.0</v>
      </c>
      <c r="I75" s="815">
        <v>3.0</v>
      </c>
      <c r="J75" s="816">
        <v>42.0</v>
      </c>
      <c r="K75" s="817">
        <v>25000.0</v>
      </c>
      <c r="L75" s="817">
        <v>51000.0</v>
      </c>
      <c r="M75" s="817">
        <v>120000.0</v>
      </c>
      <c r="N75" s="818" t="s">
        <v>2951</v>
      </c>
      <c r="O75" s="819">
        <v>320.0</v>
      </c>
      <c r="Q75" s="815">
        <v>3.0</v>
      </c>
      <c r="R75" s="816">
        <v>12.0</v>
      </c>
      <c r="S75" s="817"/>
      <c r="T75" s="817"/>
      <c r="U75" s="817">
        <v>720000.0</v>
      </c>
      <c r="V75" s="818" t="s">
        <v>3045</v>
      </c>
      <c r="W75" s="819">
        <v>560.0</v>
      </c>
    </row>
    <row r="76">
      <c r="A76" s="815">
        <v>4.0</v>
      </c>
      <c r="B76" s="816">
        <v>25.0</v>
      </c>
      <c r="C76" s="817">
        <v>14000.0</v>
      </c>
      <c r="D76" s="817">
        <v>28000.0</v>
      </c>
      <c r="E76" s="817">
        <v>35000.0</v>
      </c>
      <c r="F76" s="818" t="s">
        <v>2955</v>
      </c>
      <c r="G76" s="819">
        <v>250.0</v>
      </c>
      <c r="I76" s="815">
        <v>4.0</v>
      </c>
      <c r="J76" s="816">
        <v>54.0</v>
      </c>
      <c r="K76" s="817">
        <v>29000.0</v>
      </c>
      <c r="L76" s="817">
        <v>59000.0</v>
      </c>
      <c r="M76" s="817">
        <v>140000.0</v>
      </c>
      <c r="N76" s="818" t="s">
        <v>2954</v>
      </c>
      <c r="O76" s="819">
        <v>400.0</v>
      </c>
      <c r="Q76" s="815">
        <v>4.0</v>
      </c>
      <c r="R76" s="816">
        <v>15.0</v>
      </c>
      <c r="S76" s="817"/>
      <c r="T76" s="817"/>
      <c r="U76" s="817">
        <v>840000.0</v>
      </c>
      <c r="V76" s="818" t="s">
        <v>3046</v>
      </c>
      <c r="W76" s="819">
        <v>700.0</v>
      </c>
    </row>
    <row r="77">
      <c r="A77" s="815">
        <v>5.0</v>
      </c>
      <c r="B77" s="816">
        <v>30.0</v>
      </c>
      <c r="C77" s="817">
        <v>16000.0</v>
      </c>
      <c r="D77" s="817">
        <v>32000.0</v>
      </c>
      <c r="E77" s="817">
        <v>40000.0</v>
      </c>
      <c r="F77" s="818" t="s">
        <v>2958</v>
      </c>
      <c r="G77" s="819">
        <v>300.0</v>
      </c>
      <c r="I77" s="815">
        <v>5.0</v>
      </c>
      <c r="J77" s="816">
        <v>66.0</v>
      </c>
      <c r="K77" s="817">
        <v>34000.0</v>
      </c>
      <c r="L77" s="817">
        <v>68000.0</v>
      </c>
      <c r="M77" s="817">
        <v>160000.0</v>
      </c>
      <c r="N77" s="818" t="s">
        <v>2957</v>
      </c>
      <c r="O77" s="819">
        <v>480.0</v>
      </c>
      <c r="Q77" s="815">
        <v>5.0</v>
      </c>
      <c r="R77" s="816">
        <v>18.0</v>
      </c>
      <c r="S77" s="817"/>
      <c r="T77" s="817"/>
      <c r="U77" s="817">
        <v>960000.0</v>
      </c>
      <c r="V77" s="818" t="s">
        <v>3047</v>
      </c>
      <c r="W77" s="819">
        <v>840.0</v>
      </c>
    </row>
    <row r="78">
      <c r="A78" s="815">
        <v>6.0</v>
      </c>
      <c r="B78" s="816">
        <v>35.0</v>
      </c>
      <c r="C78" s="817">
        <v>18000.0</v>
      </c>
      <c r="D78" s="817">
        <v>36000.0</v>
      </c>
      <c r="E78" s="817">
        <v>45000.0</v>
      </c>
      <c r="F78" s="818" t="s">
        <v>2961</v>
      </c>
      <c r="G78" s="819">
        <v>350.0</v>
      </c>
      <c r="I78" s="815">
        <v>6.0</v>
      </c>
      <c r="J78" s="816">
        <v>78.0</v>
      </c>
      <c r="K78" s="817">
        <v>38000.0</v>
      </c>
      <c r="L78" s="817">
        <v>76000.0</v>
      </c>
      <c r="M78" s="817">
        <v>180000.0</v>
      </c>
      <c r="N78" s="818" t="s">
        <v>2960</v>
      </c>
      <c r="O78" s="819">
        <v>560.0</v>
      </c>
      <c r="Q78" s="815">
        <v>6.0</v>
      </c>
      <c r="R78" s="816">
        <v>21.0</v>
      </c>
      <c r="S78" s="817"/>
      <c r="T78" s="817"/>
      <c r="U78" s="817">
        <v>1080000.0</v>
      </c>
      <c r="V78" s="818" t="s">
        <v>3048</v>
      </c>
      <c r="W78" s="819">
        <v>980.0</v>
      </c>
    </row>
    <row r="79">
      <c r="A79" s="815">
        <v>7.0</v>
      </c>
      <c r="B79" s="816">
        <v>40.0</v>
      </c>
      <c r="C79" s="817">
        <v>20000.0</v>
      </c>
      <c r="D79" s="817">
        <v>40000.0</v>
      </c>
      <c r="E79" s="817">
        <v>50000.0</v>
      </c>
      <c r="F79" s="818" t="s">
        <v>2964</v>
      </c>
      <c r="G79" s="819">
        <v>400.0</v>
      </c>
      <c r="I79" s="815">
        <v>7.0</v>
      </c>
      <c r="J79" s="816">
        <v>90.0</v>
      </c>
      <c r="K79" s="817">
        <v>42000.0</v>
      </c>
      <c r="L79" s="817">
        <v>85000.0</v>
      </c>
      <c r="M79" s="817">
        <v>200000.0</v>
      </c>
      <c r="N79" s="818" t="s">
        <v>2963</v>
      </c>
      <c r="O79" s="819">
        <v>640.0</v>
      </c>
      <c r="Q79" s="815">
        <v>7.0</v>
      </c>
      <c r="R79" s="816">
        <v>24.0</v>
      </c>
      <c r="S79" s="817"/>
      <c r="T79" s="817"/>
      <c r="U79" s="817">
        <v>1200000.0</v>
      </c>
      <c r="V79" s="818" t="s">
        <v>3049</v>
      </c>
      <c r="W79" s="819">
        <v>1120.0</v>
      </c>
    </row>
    <row r="80">
      <c r="A80" s="815">
        <v>8.0</v>
      </c>
      <c r="B80" s="816">
        <v>45.0</v>
      </c>
      <c r="C80" s="817">
        <v>22000.0</v>
      </c>
      <c r="D80" s="817">
        <v>44000.0</v>
      </c>
      <c r="E80" s="817">
        <v>55000.0</v>
      </c>
      <c r="F80" s="818" t="s">
        <v>2967</v>
      </c>
      <c r="G80" s="819">
        <v>450.0</v>
      </c>
      <c r="I80" s="815">
        <v>8.0</v>
      </c>
      <c r="J80" s="816">
        <v>102.0</v>
      </c>
      <c r="K80" s="817">
        <v>47000.0</v>
      </c>
      <c r="L80" s="817">
        <v>94000.0</v>
      </c>
      <c r="M80" s="817">
        <v>220000.0</v>
      </c>
      <c r="N80" s="818" t="s">
        <v>2966</v>
      </c>
      <c r="O80" s="819">
        <v>720.0</v>
      </c>
      <c r="Q80" s="815">
        <v>8.0</v>
      </c>
      <c r="R80" s="816">
        <v>27.0</v>
      </c>
      <c r="S80" s="817"/>
      <c r="T80" s="817"/>
      <c r="U80" s="817">
        <v>1320000.0</v>
      </c>
      <c r="V80" s="818" t="s">
        <v>3050</v>
      </c>
      <c r="W80" s="819">
        <v>1260.0</v>
      </c>
    </row>
    <row r="81">
      <c r="A81" s="815">
        <v>9.0</v>
      </c>
      <c r="B81" s="816">
        <v>50.0</v>
      </c>
      <c r="C81" s="817">
        <v>24000.0</v>
      </c>
      <c r="D81" s="817">
        <v>48000.0</v>
      </c>
      <c r="E81" s="817">
        <v>60000.0</v>
      </c>
      <c r="F81" s="818" t="s">
        <v>2969</v>
      </c>
      <c r="G81" s="819">
        <v>500.0</v>
      </c>
      <c r="I81" s="815">
        <v>9.0</v>
      </c>
      <c r="J81" s="816">
        <v>114.0</v>
      </c>
      <c r="K81" s="817">
        <v>51000.0</v>
      </c>
      <c r="L81" s="817">
        <v>100000.0</v>
      </c>
      <c r="M81" s="817">
        <v>240000.0</v>
      </c>
      <c r="N81" s="818" t="s">
        <v>2965</v>
      </c>
      <c r="O81" s="819">
        <v>800.0</v>
      </c>
      <c r="Q81" s="815">
        <v>9.0</v>
      </c>
      <c r="R81" s="816">
        <v>30.0</v>
      </c>
      <c r="S81" s="817"/>
      <c r="T81" s="817"/>
      <c r="U81" s="817">
        <v>1440000.0</v>
      </c>
      <c r="V81" s="818" t="s">
        <v>3051</v>
      </c>
      <c r="W81" s="819">
        <v>1400.0</v>
      </c>
    </row>
    <row r="82">
      <c r="A82" s="815">
        <v>10.0</v>
      </c>
      <c r="B82" s="816">
        <v>55.0</v>
      </c>
      <c r="C82" s="817">
        <v>26000.0</v>
      </c>
      <c r="D82" s="817">
        <v>52000.0</v>
      </c>
      <c r="E82" s="817">
        <v>65000.0</v>
      </c>
      <c r="F82" s="818" t="s">
        <v>2972</v>
      </c>
      <c r="G82" s="819">
        <v>550.0</v>
      </c>
      <c r="I82" s="815">
        <v>10.0</v>
      </c>
      <c r="J82" s="816">
        <v>126.0</v>
      </c>
      <c r="K82" s="817">
        <v>55000.0</v>
      </c>
      <c r="L82" s="817">
        <v>110000.0</v>
      </c>
      <c r="M82" s="817">
        <v>260000.0</v>
      </c>
      <c r="N82" s="818" t="s">
        <v>2971</v>
      </c>
      <c r="O82" s="819">
        <v>880.0</v>
      </c>
      <c r="Q82" s="815">
        <v>10.0</v>
      </c>
      <c r="R82" s="816">
        <v>33.0</v>
      </c>
      <c r="S82" s="817"/>
      <c r="T82" s="817"/>
      <c r="U82" s="817">
        <v>1560000.0</v>
      </c>
      <c r="V82" s="818" t="s">
        <v>3052</v>
      </c>
      <c r="W82" s="819">
        <v>1540.0</v>
      </c>
    </row>
    <row r="83">
      <c r="A83" s="820" t="s">
        <v>2518</v>
      </c>
      <c r="B83" s="821">
        <f t="shared" ref="B83:E83" si="16">SUM(B73:B82)</f>
        <v>325</v>
      </c>
      <c r="C83" s="822">
        <f t="shared" si="16"/>
        <v>170100</v>
      </c>
      <c r="D83" s="822">
        <f t="shared" si="16"/>
        <v>340000</v>
      </c>
      <c r="E83" s="822">
        <f t="shared" si="16"/>
        <v>425000</v>
      </c>
      <c r="F83" s="823"/>
      <c r="G83" s="824">
        <f>SUM(G73:G82)</f>
        <v>3250</v>
      </c>
      <c r="I83" s="820" t="s">
        <v>2518</v>
      </c>
      <c r="J83" s="821">
        <f t="shared" ref="J83:M83" si="17">SUM(J73:J82)</f>
        <v>720</v>
      </c>
      <c r="K83" s="822">
        <f t="shared" si="17"/>
        <v>359000</v>
      </c>
      <c r="L83" s="822">
        <f t="shared" si="17"/>
        <v>719000</v>
      </c>
      <c r="M83" s="822">
        <f t="shared" si="17"/>
        <v>1700000</v>
      </c>
      <c r="N83" s="823"/>
      <c r="O83" s="824">
        <f>SUM(O73:O82)</f>
        <v>5200</v>
      </c>
      <c r="Q83" s="820" t="s">
        <v>2518</v>
      </c>
      <c r="R83" s="821">
        <f t="shared" ref="R83:U83" si="18">SUM(R73:R82)</f>
        <v>195</v>
      </c>
      <c r="S83" s="822">
        <f t="shared" si="18"/>
        <v>0</v>
      </c>
      <c r="T83" s="822">
        <f t="shared" si="18"/>
        <v>0</v>
      </c>
      <c r="U83" s="822">
        <f t="shared" si="18"/>
        <v>10200000</v>
      </c>
      <c r="V83" s="823"/>
      <c r="W83" s="824">
        <f>SUM(W73:W82)</f>
        <v>9100</v>
      </c>
    </row>
    <row r="84">
      <c r="A84" s="827"/>
      <c r="B84" s="828"/>
      <c r="C84" s="828"/>
      <c r="D84" s="828"/>
      <c r="E84" s="828"/>
      <c r="F84" s="828"/>
      <c r="G84" s="829"/>
      <c r="I84" s="827"/>
      <c r="J84" s="828"/>
      <c r="K84" s="828"/>
      <c r="L84" s="828"/>
      <c r="M84" s="828"/>
      <c r="N84" s="828"/>
      <c r="O84" s="829"/>
      <c r="Q84" s="827"/>
      <c r="R84" s="828"/>
      <c r="S84" s="828"/>
      <c r="T84" s="828"/>
      <c r="U84" s="828"/>
      <c r="V84" s="828"/>
      <c r="W84" s="829"/>
    </row>
    <row r="85">
      <c r="A85" s="827"/>
      <c r="B85" s="828"/>
      <c r="C85" s="828"/>
      <c r="D85" s="828"/>
      <c r="E85" s="828"/>
      <c r="F85" s="828"/>
      <c r="G85" s="829"/>
      <c r="I85" s="827"/>
      <c r="J85" s="828"/>
      <c r="K85" s="828"/>
      <c r="L85" s="828"/>
      <c r="M85" s="828"/>
      <c r="N85" s="828"/>
      <c r="O85" s="829"/>
      <c r="Q85" s="827"/>
      <c r="R85" s="828"/>
      <c r="S85" s="828"/>
      <c r="T85" s="828"/>
      <c r="U85" s="828"/>
      <c r="V85" s="828"/>
      <c r="W85" s="829"/>
    </row>
    <row r="86">
      <c r="A86" s="811" t="s">
        <v>3053</v>
      </c>
      <c r="B86" s="813"/>
      <c r="C86" s="812" t="s">
        <v>447</v>
      </c>
      <c r="D86" s="812" t="s">
        <v>449</v>
      </c>
      <c r="E86" s="812" t="s">
        <v>2873</v>
      </c>
      <c r="F86" s="813"/>
      <c r="G86" s="814" t="s">
        <v>2874</v>
      </c>
      <c r="I86" s="811" t="s">
        <v>3054</v>
      </c>
      <c r="J86" s="813"/>
      <c r="K86" s="812" t="s">
        <v>447</v>
      </c>
      <c r="L86" s="812" t="s">
        <v>448</v>
      </c>
      <c r="M86" s="812" t="s">
        <v>2873</v>
      </c>
      <c r="N86" s="813"/>
      <c r="O86" s="868"/>
      <c r="Q86" s="811" t="s">
        <v>3055</v>
      </c>
      <c r="R86" s="813"/>
      <c r="S86" s="812" t="s">
        <v>447</v>
      </c>
      <c r="T86" s="812" t="s">
        <v>448</v>
      </c>
      <c r="U86" s="813"/>
      <c r="V86" s="813"/>
      <c r="W86" s="868"/>
    </row>
    <row r="87">
      <c r="A87" s="815">
        <v>1.0</v>
      </c>
      <c r="B87" s="816">
        <v>20.0</v>
      </c>
      <c r="C87" s="817">
        <v>30000.0</v>
      </c>
      <c r="D87" s="817">
        <v>30000.0</v>
      </c>
      <c r="E87" s="817">
        <v>50000.0</v>
      </c>
      <c r="F87" s="818" t="s">
        <v>3056</v>
      </c>
      <c r="G87" s="819">
        <v>400.0</v>
      </c>
      <c r="I87" s="815">
        <v>1.0</v>
      </c>
      <c r="J87" s="816">
        <v>72.0</v>
      </c>
      <c r="K87" s="817">
        <v>100000.0</v>
      </c>
      <c r="L87" s="817">
        <v>100000.0</v>
      </c>
      <c r="M87" s="817">
        <v>120000.0</v>
      </c>
      <c r="N87" s="818" t="s">
        <v>3057</v>
      </c>
      <c r="O87" s="819">
        <v>1800.0</v>
      </c>
      <c r="Q87" s="815">
        <v>1.0</v>
      </c>
      <c r="R87" s="816">
        <v>10.0</v>
      </c>
      <c r="S87" s="817"/>
      <c r="T87" s="817"/>
      <c r="U87" s="817">
        <v>720000.0</v>
      </c>
      <c r="V87" s="818" t="s">
        <v>3058</v>
      </c>
      <c r="W87" s="819">
        <v>6000.0</v>
      </c>
    </row>
    <row r="88">
      <c r="A88" s="815">
        <v>2.0</v>
      </c>
      <c r="B88" s="816">
        <v>40.0</v>
      </c>
      <c r="C88" s="817">
        <v>60000.0</v>
      </c>
      <c r="D88" s="817">
        <v>60000.0</v>
      </c>
      <c r="E88" s="817">
        <v>100000.0</v>
      </c>
      <c r="F88" s="818" t="s">
        <v>3059</v>
      </c>
      <c r="G88" s="819">
        <v>450.0</v>
      </c>
      <c r="I88" s="815">
        <v>2.0</v>
      </c>
      <c r="J88" s="816">
        <v>216.0</v>
      </c>
      <c r="K88" s="817">
        <v>200000.0</v>
      </c>
      <c r="L88" s="817">
        <v>200000.0</v>
      </c>
      <c r="M88" s="817">
        <v>360000.0</v>
      </c>
      <c r="N88" s="818" t="s">
        <v>3060</v>
      </c>
      <c r="O88" s="819">
        <v>2100.0</v>
      </c>
      <c r="Q88" s="815">
        <v>2.0</v>
      </c>
      <c r="R88" s="816">
        <v>18.0</v>
      </c>
      <c r="S88" s="817"/>
      <c r="T88" s="817"/>
      <c r="U88" s="817">
        <v>1040000.0</v>
      </c>
      <c r="V88" s="818" t="s">
        <v>3061</v>
      </c>
      <c r="W88" s="819">
        <v>7000.0</v>
      </c>
    </row>
    <row r="89">
      <c r="A89" s="815">
        <v>3.0</v>
      </c>
      <c r="B89" s="816">
        <v>60.0</v>
      </c>
      <c r="C89" s="817">
        <v>90000.0</v>
      </c>
      <c r="D89" s="817">
        <v>90000.0</v>
      </c>
      <c r="E89" s="817">
        <v>150000.0</v>
      </c>
      <c r="F89" s="818" t="s">
        <v>3062</v>
      </c>
      <c r="G89" s="819">
        <v>500.0</v>
      </c>
      <c r="I89" s="815">
        <v>3.0</v>
      </c>
      <c r="J89" s="816">
        <v>360.0</v>
      </c>
      <c r="K89" s="817">
        <v>300000.0</v>
      </c>
      <c r="L89" s="817">
        <v>300000.0</v>
      </c>
      <c r="M89" s="817">
        <v>600000.0</v>
      </c>
      <c r="N89" s="818" t="s">
        <v>3063</v>
      </c>
      <c r="O89" s="819">
        <v>2400.0</v>
      </c>
      <c r="Q89" s="815">
        <v>3.0</v>
      </c>
      <c r="R89" s="816">
        <v>26.0</v>
      </c>
      <c r="S89" s="817"/>
      <c r="T89" s="817"/>
      <c r="U89" s="817">
        <v>1360000.0</v>
      </c>
      <c r="V89" s="818" t="s">
        <v>3061</v>
      </c>
      <c r="W89" s="819">
        <v>8000.0</v>
      </c>
    </row>
    <row r="90">
      <c r="A90" s="820" t="s">
        <v>2518</v>
      </c>
      <c r="B90" s="821">
        <f>SUM(B87:B89)</f>
        <v>120</v>
      </c>
      <c r="C90" s="822">
        <f t="shared" ref="C90:E90" si="19">sum(C87:C89)</f>
        <v>180000</v>
      </c>
      <c r="D90" s="822">
        <f t="shared" si="19"/>
        <v>180000</v>
      </c>
      <c r="E90" s="822">
        <f t="shared" si="19"/>
        <v>300000</v>
      </c>
      <c r="F90" s="823"/>
      <c r="G90" s="824">
        <f>sum(G87:G89)</f>
        <v>1350</v>
      </c>
      <c r="I90" s="820" t="s">
        <v>2518</v>
      </c>
      <c r="J90" s="831">
        <f>SUM(J87:J89)</f>
        <v>648</v>
      </c>
      <c r="K90" s="822">
        <f t="shared" ref="K90:M90" si="20">sum(K87:K89)</f>
        <v>600000</v>
      </c>
      <c r="L90" s="822">
        <f t="shared" si="20"/>
        <v>600000</v>
      </c>
      <c r="M90" s="822">
        <f t="shared" si="20"/>
        <v>1080000</v>
      </c>
      <c r="N90" s="823"/>
      <c r="O90" s="824">
        <f>sum(O87:O89)</f>
        <v>6300</v>
      </c>
      <c r="Q90" s="815">
        <v>4.0</v>
      </c>
      <c r="R90" s="816">
        <v>34.0</v>
      </c>
      <c r="S90" s="817"/>
      <c r="T90" s="817"/>
      <c r="U90" s="817">
        <v>1680000.0</v>
      </c>
      <c r="V90" s="818" t="s">
        <v>3064</v>
      </c>
      <c r="W90" s="819">
        <v>9000.0</v>
      </c>
    </row>
    <row r="91">
      <c r="A91" s="827"/>
      <c r="B91" s="828"/>
      <c r="C91" s="828"/>
      <c r="D91" s="828"/>
      <c r="E91" s="828"/>
      <c r="F91" s="828"/>
      <c r="G91" s="829"/>
      <c r="I91" s="853"/>
      <c r="J91" s="681"/>
      <c r="K91" s="681"/>
      <c r="L91" s="681"/>
      <c r="M91" s="681"/>
      <c r="N91" s="681"/>
      <c r="O91" s="682"/>
      <c r="Q91" s="815">
        <v>5.0</v>
      </c>
      <c r="R91" s="816">
        <v>42.0</v>
      </c>
      <c r="S91" s="817"/>
      <c r="T91" s="817"/>
      <c r="U91" s="817">
        <v>2000000.0</v>
      </c>
      <c r="V91" s="818" t="s">
        <v>3064</v>
      </c>
      <c r="W91" s="819">
        <v>10000.0</v>
      </c>
    </row>
    <row r="92">
      <c r="A92" s="827"/>
      <c r="B92" s="828"/>
      <c r="C92" s="828"/>
      <c r="D92" s="828"/>
      <c r="E92" s="828"/>
      <c r="F92" s="828"/>
      <c r="G92" s="829"/>
      <c r="I92" s="854"/>
      <c r="J92" s="165"/>
      <c r="K92" s="165"/>
      <c r="L92" s="165"/>
      <c r="M92" s="165"/>
      <c r="N92" s="165"/>
      <c r="O92" s="166"/>
      <c r="Q92" s="820" t="s">
        <v>2518</v>
      </c>
      <c r="R92" s="831">
        <f>SUM(R87:R91)</f>
        <v>130</v>
      </c>
      <c r="S92" s="822">
        <f t="shared" ref="S92:U92" si="21">sum(S87:S91)</f>
        <v>0</v>
      </c>
      <c r="T92" s="822">
        <f t="shared" si="21"/>
        <v>0</v>
      </c>
      <c r="U92" s="822">
        <f t="shared" si="21"/>
        <v>6800000</v>
      </c>
      <c r="V92" s="823"/>
      <c r="W92" s="824">
        <f>sum(W87:W91)</f>
        <v>40000</v>
      </c>
    </row>
    <row r="93">
      <c r="A93" s="811" t="s">
        <v>3065</v>
      </c>
      <c r="B93" s="813"/>
      <c r="C93" s="812" t="s">
        <v>449</v>
      </c>
      <c r="D93" s="812" t="s">
        <v>448</v>
      </c>
      <c r="E93" s="812" t="s">
        <v>2873</v>
      </c>
      <c r="F93" s="813"/>
      <c r="G93" s="814" t="s">
        <v>2874</v>
      </c>
      <c r="I93" s="811" t="s">
        <v>3066</v>
      </c>
      <c r="J93" s="813"/>
      <c r="K93" s="812" t="s">
        <v>449</v>
      </c>
      <c r="L93" s="812" t="s">
        <v>448</v>
      </c>
      <c r="M93" s="812" t="s">
        <v>2873</v>
      </c>
      <c r="N93" s="813"/>
      <c r="O93" s="868"/>
      <c r="Q93" s="827"/>
      <c r="R93" s="828"/>
      <c r="S93" s="828"/>
      <c r="T93" s="828"/>
      <c r="U93" s="828"/>
      <c r="V93" s="828"/>
      <c r="W93" s="829"/>
    </row>
    <row r="94">
      <c r="A94" s="855">
        <v>1.0</v>
      </c>
      <c r="B94" s="831">
        <v>120.0</v>
      </c>
      <c r="C94" s="822">
        <v>30000.0</v>
      </c>
      <c r="D94" s="822">
        <v>30000.0</v>
      </c>
      <c r="E94" s="822">
        <v>75000.0</v>
      </c>
      <c r="F94" s="823"/>
      <c r="G94" s="856">
        <v>500.0</v>
      </c>
      <c r="I94" s="855">
        <v>1.0</v>
      </c>
      <c r="J94" s="831">
        <v>720.0</v>
      </c>
      <c r="K94" s="822">
        <v>90000.0</v>
      </c>
      <c r="L94" s="822">
        <v>90000.0</v>
      </c>
      <c r="M94" s="822">
        <v>300000.0</v>
      </c>
      <c r="N94" s="823"/>
      <c r="O94" s="856">
        <v>800.0</v>
      </c>
      <c r="Q94" s="827"/>
      <c r="R94" s="828"/>
      <c r="S94" s="828"/>
      <c r="T94" s="828"/>
      <c r="U94" s="828"/>
      <c r="V94" s="828"/>
      <c r="W94" s="829"/>
    </row>
    <row r="95">
      <c r="A95" s="826"/>
      <c r="B95" s="826"/>
      <c r="C95" s="826"/>
      <c r="D95" s="826"/>
      <c r="E95" s="826"/>
      <c r="F95" s="826"/>
      <c r="G95" s="826"/>
      <c r="I95" s="826"/>
      <c r="J95" s="826"/>
      <c r="K95" s="826"/>
      <c r="L95" s="826"/>
      <c r="M95" s="826"/>
      <c r="N95" s="826"/>
      <c r="O95" s="826"/>
      <c r="Q95" s="811" t="s">
        <v>3067</v>
      </c>
      <c r="R95" s="813"/>
      <c r="S95" s="812" t="s">
        <v>449</v>
      </c>
      <c r="T95" s="812" t="s">
        <v>448</v>
      </c>
      <c r="U95" s="813"/>
      <c r="V95" s="813"/>
      <c r="W95" s="868"/>
    </row>
    <row r="96">
      <c r="I96" s="828"/>
      <c r="J96" s="828"/>
      <c r="K96" s="828"/>
      <c r="L96" s="828"/>
      <c r="M96" s="828"/>
      <c r="N96" s="828"/>
      <c r="O96" s="828"/>
      <c r="Q96" s="855">
        <v>1.0</v>
      </c>
      <c r="R96" s="831">
        <v>180.0</v>
      </c>
      <c r="S96" s="822"/>
      <c r="T96" s="822"/>
      <c r="U96" s="822">
        <v>1600000.0</v>
      </c>
      <c r="V96" s="823"/>
      <c r="W96" s="856">
        <v>1500.0</v>
      </c>
    </row>
    <row r="97">
      <c r="A97" s="683" t="s">
        <v>3068</v>
      </c>
      <c r="B97" s="858" t="s">
        <v>2518</v>
      </c>
      <c r="C97" s="858" t="s">
        <v>3072</v>
      </c>
      <c r="D97" s="859" t="s">
        <v>3074</v>
      </c>
      <c r="I97" s="683" t="s">
        <v>3071</v>
      </c>
      <c r="J97" s="858" t="s">
        <v>2518</v>
      </c>
      <c r="K97" s="858" t="s">
        <v>3072</v>
      </c>
      <c r="L97" s="859" t="s">
        <v>3074</v>
      </c>
      <c r="P97" s="860"/>
      <c r="R97" s="826"/>
      <c r="S97" s="826"/>
      <c r="T97" s="826"/>
      <c r="U97" s="826"/>
      <c r="V97" s="826"/>
      <c r="W97" s="826"/>
      <c r="X97" s="826"/>
    </row>
    <row r="98">
      <c r="A98" s="702" t="s">
        <v>3069</v>
      </c>
      <c r="B98" s="880">
        <f>B13+B27+B41+B55+B69+B83+B90+B94</f>
        <v>1800</v>
      </c>
      <c r="C98" s="881">
        <f>B55+B69+B90</f>
        <v>575</v>
      </c>
      <c r="D98" s="882">
        <f>B98-C98</f>
        <v>1225</v>
      </c>
      <c r="I98" s="702" t="s">
        <v>3069</v>
      </c>
      <c r="J98" s="880">
        <f>J13+J27+J41+J55+J69+J83+J90+J94</f>
        <v>4968</v>
      </c>
      <c r="K98" s="696">
        <f>J55+J69+J90</f>
        <v>1728</v>
      </c>
      <c r="L98" s="882">
        <f>J98-K98</f>
        <v>3240</v>
      </c>
      <c r="P98" s="860"/>
      <c r="R98" s="828"/>
      <c r="S98" s="828"/>
      <c r="T98" s="828"/>
      <c r="U98" s="828"/>
      <c r="V98" s="828"/>
      <c r="W98" s="828"/>
      <c r="X98" s="828"/>
    </row>
    <row r="99">
      <c r="A99" s="702" t="s">
        <v>2878</v>
      </c>
      <c r="B99" s="778">
        <f t="shared" ref="B99:D99" si="22">B98/24</f>
        <v>75</v>
      </c>
      <c r="C99" s="883">
        <f t="shared" si="22"/>
        <v>23.95833333</v>
      </c>
      <c r="D99" s="884">
        <f t="shared" si="22"/>
        <v>51.04166667</v>
      </c>
      <c r="I99" s="702" t="s">
        <v>2878</v>
      </c>
      <c r="J99" s="778">
        <f t="shared" ref="J99:L99" si="23">J98/24</f>
        <v>207</v>
      </c>
      <c r="K99" s="883">
        <f t="shared" si="23"/>
        <v>72</v>
      </c>
      <c r="L99" s="884">
        <f t="shared" si="23"/>
        <v>135</v>
      </c>
      <c r="P99" s="860"/>
      <c r="Q99" s="683" t="s">
        <v>3073</v>
      </c>
      <c r="R99" s="858" t="s">
        <v>2518</v>
      </c>
      <c r="S99" s="858" t="s">
        <v>3072</v>
      </c>
      <c r="T99" s="859" t="s">
        <v>3074</v>
      </c>
    </row>
    <row r="100">
      <c r="A100" s="702" t="s">
        <v>3075</v>
      </c>
      <c r="B100" s="885">
        <f>C13+C41+C55</f>
        <v>451800</v>
      </c>
      <c r="C100" s="885">
        <f>C55</f>
        <v>111600</v>
      </c>
      <c r="D100" s="886">
        <f t="shared" ref="D100:D106" si="24">B100-C100</f>
        <v>340200</v>
      </c>
      <c r="I100" s="702" t="s">
        <v>3075</v>
      </c>
      <c r="J100" s="885">
        <f>K13+K41+K55</f>
        <v>956000</v>
      </c>
      <c r="K100" s="885">
        <f>K13</f>
        <v>359000</v>
      </c>
      <c r="L100" s="886">
        <f t="shared" ref="L100:L106" si="25">J100-K100</f>
        <v>597000</v>
      </c>
      <c r="Q100" s="702" t="s">
        <v>2878</v>
      </c>
      <c r="R100" s="880">
        <f>R13+R27+R41+R55+R69+R83+R92+R96</f>
        <v>1090</v>
      </c>
      <c r="S100" s="883">
        <f>R55+R69+R92</f>
        <v>325</v>
      </c>
      <c r="T100" s="884">
        <f t="shared" ref="T100:T107" si="26">R100-S100</f>
        <v>765</v>
      </c>
    </row>
    <row r="101">
      <c r="A101" s="702" t="s">
        <v>3076</v>
      </c>
      <c r="B101" s="885">
        <f>D13+D55+C83</f>
        <v>451800</v>
      </c>
      <c r="C101" s="885">
        <f>D55</f>
        <v>170100</v>
      </c>
      <c r="D101" s="886">
        <f t="shared" si="24"/>
        <v>281700</v>
      </c>
      <c r="I101" s="702" t="s">
        <v>3076</v>
      </c>
      <c r="J101" s="885">
        <f>L13+L55+K83</f>
        <v>956000</v>
      </c>
      <c r="K101" s="885">
        <f>L13</f>
        <v>238000</v>
      </c>
      <c r="L101" s="886">
        <f t="shared" si="25"/>
        <v>718000</v>
      </c>
      <c r="Q101" s="702" t="s">
        <v>3075</v>
      </c>
      <c r="R101" s="885">
        <f>S13+S41+S55</f>
        <v>1616000</v>
      </c>
      <c r="S101" s="885">
        <f>S55</f>
        <v>635000</v>
      </c>
      <c r="T101" s="886">
        <f t="shared" si="26"/>
        <v>981000</v>
      </c>
    </row>
    <row r="102">
      <c r="A102" s="702" t="s">
        <v>3077</v>
      </c>
      <c r="B102" s="885">
        <f>C27+C69+C90</f>
        <v>630000</v>
      </c>
      <c r="C102" s="885">
        <f>C69+C90</f>
        <v>405000</v>
      </c>
      <c r="D102" s="886">
        <f t="shared" si="24"/>
        <v>225000</v>
      </c>
      <c r="I102" s="702" t="s">
        <v>3077</v>
      </c>
      <c r="J102" s="885">
        <f>K27+K69+K90</f>
        <v>1560000</v>
      </c>
      <c r="K102" s="885">
        <f>K27+K90</f>
        <v>1080000</v>
      </c>
      <c r="L102" s="886">
        <f t="shared" si="25"/>
        <v>480000</v>
      </c>
      <c r="Q102" s="702" t="s">
        <v>3076</v>
      </c>
      <c r="R102" s="885">
        <f>T13+T55+S83</f>
        <v>1537000</v>
      </c>
      <c r="S102" s="885">
        <f>T55</f>
        <v>902000</v>
      </c>
      <c r="T102" s="886">
        <f t="shared" si="26"/>
        <v>635000</v>
      </c>
    </row>
    <row r="103">
      <c r="A103" s="702" t="s">
        <v>3078</v>
      </c>
      <c r="B103" s="885">
        <f>D27+D83+D94</f>
        <v>481600</v>
      </c>
      <c r="C103" s="778">
        <f>0</f>
        <v>0</v>
      </c>
      <c r="D103" s="886">
        <f t="shared" si="24"/>
        <v>481600</v>
      </c>
      <c r="I103" s="702" t="s">
        <v>3078</v>
      </c>
      <c r="J103" s="885">
        <f>L27+L83+L94</f>
        <v>1047000</v>
      </c>
      <c r="K103" s="885">
        <f>L27+L90</f>
        <v>838000</v>
      </c>
      <c r="L103" s="886">
        <f t="shared" si="25"/>
        <v>209000</v>
      </c>
      <c r="Q103" s="702" t="s">
        <v>3077</v>
      </c>
      <c r="R103" s="885">
        <f>S27+S69+S92</f>
        <v>622000</v>
      </c>
      <c r="S103" s="885">
        <f>S69+S92</f>
        <v>311000</v>
      </c>
      <c r="T103" s="886">
        <f t="shared" si="26"/>
        <v>311000</v>
      </c>
    </row>
    <row r="104">
      <c r="A104" s="702" t="s">
        <v>3079</v>
      </c>
      <c r="B104" s="885">
        <f>D41+D69+D90+C94</f>
        <v>661600</v>
      </c>
      <c r="C104" s="885">
        <f>D69+D90</f>
        <v>291600</v>
      </c>
      <c r="D104" s="886">
        <f t="shared" si="24"/>
        <v>370000</v>
      </c>
      <c r="I104" s="702" t="s">
        <v>3079</v>
      </c>
      <c r="J104" s="885">
        <f>L41+L69+L90+K94</f>
        <v>1647000</v>
      </c>
      <c r="K104" s="778">
        <f>0</f>
        <v>0</v>
      </c>
      <c r="L104" s="886">
        <f t="shared" si="25"/>
        <v>1647000</v>
      </c>
      <c r="Q104" s="702" t="s">
        <v>3078</v>
      </c>
      <c r="R104" s="885">
        <f>T27+T83+T92+T96</f>
        <v>153000</v>
      </c>
      <c r="S104" s="885">
        <f>T92</f>
        <v>0</v>
      </c>
      <c r="T104" s="886">
        <f t="shared" si="26"/>
        <v>153000</v>
      </c>
    </row>
    <row r="105">
      <c r="A105" s="702" t="s">
        <v>3070</v>
      </c>
      <c r="B105" s="885">
        <f>E13+E27+E41+E55+E69+E83+E90+E94</f>
        <v>2288750</v>
      </c>
      <c r="C105" s="885">
        <f>E55+E69+E90</f>
        <v>831250</v>
      </c>
      <c r="D105" s="886">
        <f t="shared" si="24"/>
        <v>1457500</v>
      </c>
      <c r="I105" s="702" t="s">
        <v>3070</v>
      </c>
      <c r="J105" s="885">
        <f>M13+M27+M41+M55+M69+M83+M90+M94</f>
        <v>9455000</v>
      </c>
      <c r="K105" s="885">
        <f>M55+M69+M90</f>
        <v>3417500</v>
      </c>
      <c r="L105" s="886">
        <f t="shared" si="25"/>
        <v>6037500</v>
      </c>
      <c r="Q105" s="702" t="s">
        <v>3079</v>
      </c>
      <c r="R105" s="885">
        <f>T41+T69+S96</f>
        <v>246000</v>
      </c>
      <c r="S105" s="885">
        <f>T69</f>
        <v>156000</v>
      </c>
      <c r="T105" s="886">
        <f t="shared" si="26"/>
        <v>90000</v>
      </c>
    </row>
    <row r="106">
      <c r="A106" s="705" t="s">
        <v>2874</v>
      </c>
      <c r="B106" s="887">
        <f>G13+G27+G41+G55+G69+G83+G90+G94</f>
        <v>19200</v>
      </c>
      <c r="C106" s="887">
        <f>G55+G69+G90</f>
        <v>6675</v>
      </c>
      <c r="D106" s="888">
        <f t="shared" si="24"/>
        <v>12525</v>
      </c>
      <c r="I106" s="705" t="s">
        <v>2874</v>
      </c>
      <c r="J106" s="887">
        <f>O13+O27+O41+O55+O69+O83+O90+O94</f>
        <v>34400</v>
      </c>
      <c r="K106" s="887">
        <f>O55+O69+O90</f>
        <v>14750</v>
      </c>
      <c r="L106" s="888">
        <f t="shared" si="25"/>
        <v>19650</v>
      </c>
      <c r="Q106" s="702" t="s">
        <v>3070</v>
      </c>
      <c r="R106" s="885">
        <f>U13+U27+U41+U55+U69+U83+U92+U96</f>
        <v>50900000</v>
      </c>
      <c r="S106" s="885">
        <f>U55+U69+U92</f>
        <v>17850000</v>
      </c>
      <c r="T106" s="886">
        <f t="shared" si="26"/>
        <v>33050000</v>
      </c>
    </row>
    <row r="107">
      <c r="Q107" s="705" t="s">
        <v>2874</v>
      </c>
      <c r="R107" s="887">
        <f>W13+W27+W41+W55+W69+W83+W92+W96</f>
        <v>88300</v>
      </c>
      <c r="S107" s="887">
        <f>W55+W69+W92</f>
        <v>54300</v>
      </c>
      <c r="T107" s="888">
        <f t="shared" si="26"/>
        <v>34000</v>
      </c>
    </row>
  </sheetData>
  <mergeCells count="3">
    <mergeCell ref="A58:B58"/>
    <mergeCell ref="I58:J58"/>
    <mergeCell ref="Q58:R58"/>
  </mergeCells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4.91"/>
    <col customWidth="1" min="2" max="2" width="23.82"/>
    <col customWidth="1" min="3" max="3" width="7.45"/>
    <col customWidth="1" min="4" max="4" width="103.27"/>
    <col customWidth="1" min="5" max="5" width="16.82"/>
    <col customWidth="1" min="6" max="6" width="39.18"/>
  </cols>
  <sheetData>
    <row r="1">
      <c r="A1" s="683" t="s">
        <v>3080</v>
      </c>
      <c r="B1" s="683" t="s">
        <v>3081</v>
      </c>
      <c r="C1" s="164" t="s">
        <v>3082</v>
      </c>
      <c r="D1" s="738" t="s">
        <v>3083</v>
      </c>
      <c r="E1" s="738" t="s">
        <v>3084</v>
      </c>
      <c r="F1" s="164" t="s">
        <v>3085</v>
      </c>
    </row>
    <row r="2">
      <c r="A2" s="702">
        <v>1.0</v>
      </c>
      <c r="B2" s="702" t="s">
        <v>3086</v>
      </c>
      <c r="C2" s="697">
        <f t="shared" ref="C2:C66" si="1">A2*28</f>
        <v>28</v>
      </c>
      <c r="D2" s="889" t="s">
        <v>3087</v>
      </c>
      <c r="E2" s="696" t="s">
        <v>3088</v>
      </c>
      <c r="F2" s="697" t="s">
        <v>3089</v>
      </c>
    </row>
    <row r="3">
      <c r="A3" s="702">
        <v>2.0</v>
      </c>
      <c r="B3" s="702" t="s">
        <v>3090</v>
      </c>
      <c r="C3" s="697">
        <f t="shared" si="1"/>
        <v>56</v>
      </c>
      <c r="D3" s="889" t="s">
        <v>3091</v>
      </c>
      <c r="E3" s="696" t="s">
        <v>3092</v>
      </c>
      <c r="F3" s="697" t="s">
        <v>3093</v>
      </c>
    </row>
    <row r="4">
      <c r="A4" s="702">
        <v>3.0</v>
      </c>
      <c r="B4" s="702" t="s">
        <v>844</v>
      </c>
      <c r="C4" s="697">
        <f t="shared" si="1"/>
        <v>84</v>
      </c>
      <c r="D4" s="889" t="s">
        <v>3094</v>
      </c>
      <c r="E4" s="696" t="s">
        <v>3095</v>
      </c>
      <c r="F4" s="697" t="s">
        <v>3096</v>
      </c>
    </row>
    <row r="5">
      <c r="A5" s="702">
        <v>4.0</v>
      </c>
      <c r="B5" s="702" t="s">
        <v>3097</v>
      </c>
      <c r="C5" s="697">
        <f t="shared" si="1"/>
        <v>112</v>
      </c>
      <c r="D5" s="889" t="s">
        <v>3098</v>
      </c>
      <c r="E5" s="696" t="s">
        <v>3092</v>
      </c>
      <c r="F5" s="697" t="s">
        <v>3099</v>
      </c>
    </row>
    <row r="6">
      <c r="A6" s="702">
        <v>5.0</v>
      </c>
      <c r="B6" s="702" t="s">
        <v>925</v>
      </c>
      <c r="C6" s="697">
        <f t="shared" si="1"/>
        <v>140</v>
      </c>
      <c r="D6" s="889" t="s">
        <v>3100</v>
      </c>
      <c r="E6" s="696" t="s">
        <v>3101</v>
      </c>
      <c r="F6" s="697" t="s">
        <v>3102</v>
      </c>
    </row>
    <row r="7">
      <c r="A7" s="702">
        <v>6.0</v>
      </c>
      <c r="B7" s="702" t="s">
        <v>939</v>
      </c>
      <c r="C7" s="697">
        <f t="shared" si="1"/>
        <v>168</v>
      </c>
      <c r="D7" s="889" t="s">
        <v>3103</v>
      </c>
      <c r="E7" s="696" t="s">
        <v>3101</v>
      </c>
      <c r="F7" s="697" t="s">
        <v>3104</v>
      </c>
    </row>
    <row r="8">
      <c r="A8" s="702">
        <v>7.0</v>
      </c>
      <c r="B8" s="702" t="s">
        <v>588</v>
      </c>
      <c r="C8" s="697">
        <f t="shared" si="1"/>
        <v>196</v>
      </c>
      <c r="D8" s="889" t="s">
        <v>3105</v>
      </c>
      <c r="E8" s="696" t="s">
        <v>3106</v>
      </c>
      <c r="F8" s="697" t="s">
        <v>3107</v>
      </c>
    </row>
    <row r="9">
      <c r="A9" s="702">
        <v>8.0</v>
      </c>
      <c r="B9" s="702" t="s">
        <v>982</v>
      </c>
      <c r="C9" s="697">
        <f t="shared" si="1"/>
        <v>224</v>
      </c>
      <c r="D9" s="889" t="s">
        <v>3108</v>
      </c>
      <c r="E9" s="696" t="s">
        <v>3109</v>
      </c>
      <c r="F9" s="697" t="s">
        <v>3110</v>
      </c>
    </row>
    <row r="10">
      <c r="A10" s="702">
        <v>9.0</v>
      </c>
      <c r="B10" s="702" t="s">
        <v>886</v>
      </c>
      <c r="C10" s="697">
        <f t="shared" si="1"/>
        <v>252</v>
      </c>
      <c r="D10" s="889" t="s">
        <v>3111</v>
      </c>
      <c r="E10" s="696" t="s">
        <v>3112</v>
      </c>
      <c r="F10" s="697" t="s">
        <v>3113</v>
      </c>
    </row>
    <row r="11">
      <c r="A11" s="702">
        <v>10.0</v>
      </c>
      <c r="B11" s="702" t="s">
        <v>3114</v>
      </c>
      <c r="C11" s="697">
        <f t="shared" si="1"/>
        <v>280</v>
      </c>
      <c r="D11" s="889" t="s">
        <v>3115</v>
      </c>
      <c r="E11" s="696" t="s">
        <v>3116</v>
      </c>
      <c r="F11" s="697" t="s">
        <v>3117</v>
      </c>
    </row>
    <row r="12">
      <c r="A12" s="702">
        <v>11.0</v>
      </c>
      <c r="B12" s="702" t="s">
        <v>1239</v>
      </c>
      <c r="C12" s="697">
        <f t="shared" si="1"/>
        <v>308</v>
      </c>
      <c r="D12" s="889" t="s">
        <v>3118</v>
      </c>
      <c r="E12" s="696" t="s">
        <v>3116</v>
      </c>
      <c r="F12" s="697" t="s">
        <v>3119</v>
      </c>
    </row>
    <row r="13">
      <c r="A13" s="702">
        <v>12.0</v>
      </c>
      <c r="B13" s="702" t="s">
        <v>3120</v>
      </c>
      <c r="C13" s="697">
        <f t="shared" si="1"/>
        <v>336</v>
      </c>
      <c r="D13" s="889" t="s">
        <v>3121</v>
      </c>
      <c r="E13" s="696" t="s">
        <v>3116</v>
      </c>
      <c r="F13" s="697" t="s">
        <v>3122</v>
      </c>
    </row>
    <row r="14">
      <c r="A14" s="702">
        <v>13.0</v>
      </c>
      <c r="B14" s="702" t="s">
        <v>1197</v>
      </c>
      <c r="C14" s="697">
        <f t="shared" si="1"/>
        <v>364</v>
      </c>
      <c r="D14" s="889" t="s">
        <v>3123</v>
      </c>
      <c r="E14" s="696" t="s">
        <v>1793</v>
      </c>
      <c r="F14" s="697" t="s">
        <v>3124</v>
      </c>
    </row>
    <row r="15">
      <c r="A15" s="702">
        <v>14.0</v>
      </c>
      <c r="B15" s="702" t="s">
        <v>808</v>
      </c>
      <c r="C15" s="697">
        <f t="shared" si="1"/>
        <v>392</v>
      </c>
      <c r="D15" s="889" t="s">
        <v>3125</v>
      </c>
      <c r="E15" s="696" t="s">
        <v>3095</v>
      </c>
      <c r="F15" s="697" t="s">
        <v>3126</v>
      </c>
    </row>
    <row r="16">
      <c r="A16" s="702">
        <v>15.0</v>
      </c>
      <c r="B16" s="702" t="s">
        <v>1156</v>
      </c>
      <c r="C16" s="697">
        <f t="shared" si="1"/>
        <v>420</v>
      </c>
      <c r="D16" s="889" t="s">
        <v>3127</v>
      </c>
      <c r="E16" s="696" t="s">
        <v>1779</v>
      </c>
      <c r="F16" s="697" t="s">
        <v>3128</v>
      </c>
    </row>
    <row r="17">
      <c r="A17" s="702">
        <v>16.0</v>
      </c>
      <c r="B17" s="702" t="s">
        <v>1294</v>
      </c>
      <c r="C17" s="697">
        <f t="shared" si="1"/>
        <v>448</v>
      </c>
      <c r="D17" s="889" t="s">
        <v>3129</v>
      </c>
      <c r="E17" s="696" t="s">
        <v>3116</v>
      </c>
      <c r="F17" s="697" t="s">
        <v>3130</v>
      </c>
    </row>
    <row r="18">
      <c r="A18" s="702">
        <v>17.0</v>
      </c>
      <c r="B18" s="702" t="s">
        <v>1241</v>
      </c>
      <c r="C18" s="697">
        <f t="shared" si="1"/>
        <v>476</v>
      </c>
      <c r="D18" s="889" t="s">
        <v>3131</v>
      </c>
      <c r="E18" s="696" t="s">
        <v>1766</v>
      </c>
      <c r="F18" s="697" t="s">
        <v>3132</v>
      </c>
    </row>
    <row r="19">
      <c r="A19" s="702">
        <v>18.0</v>
      </c>
      <c r="B19" s="702" t="s">
        <v>3133</v>
      </c>
      <c r="C19" s="697">
        <f t="shared" si="1"/>
        <v>504</v>
      </c>
      <c r="D19" s="889" t="s">
        <v>3134</v>
      </c>
      <c r="E19" s="696" t="s">
        <v>3116</v>
      </c>
      <c r="F19" s="697" t="s">
        <v>3135</v>
      </c>
    </row>
    <row r="20">
      <c r="A20" s="702">
        <v>19.0</v>
      </c>
      <c r="B20" s="702" t="s">
        <v>2575</v>
      </c>
      <c r="C20" s="697">
        <f t="shared" si="1"/>
        <v>532</v>
      </c>
      <c r="D20" s="889" t="s">
        <v>3136</v>
      </c>
      <c r="E20" s="696" t="s">
        <v>1793</v>
      </c>
      <c r="F20" s="697" t="s">
        <v>3137</v>
      </c>
    </row>
    <row r="21">
      <c r="A21" s="702">
        <v>20.0</v>
      </c>
      <c r="B21" s="702" t="s">
        <v>650</v>
      </c>
      <c r="C21" s="697">
        <f t="shared" si="1"/>
        <v>560</v>
      </c>
      <c r="D21" s="889" t="s">
        <v>3138</v>
      </c>
      <c r="E21" s="696" t="s">
        <v>3139</v>
      </c>
      <c r="F21" s="697" t="s">
        <v>3140</v>
      </c>
    </row>
    <row r="22">
      <c r="A22" s="702">
        <v>21.0</v>
      </c>
      <c r="B22" s="702" t="s">
        <v>1533</v>
      </c>
      <c r="C22" s="697">
        <f t="shared" si="1"/>
        <v>588</v>
      </c>
      <c r="D22" s="889" t="s">
        <v>3141</v>
      </c>
      <c r="E22" s="696" t="s">
        <v>3116</v>
      </c>
      <c r="F22" s="697" t="s">
        <v>3142</v>
      </c>
    </row>
    <row r="23">
      <c r="A23" s="702">
        <v>22.0</v>
      </c>
      <c r="B23" s="702" t="s">
        <v>3143</v>
      </c>
      <c r="C23" s="697">
        <f t="shared" si="1"/>
        <v>616</v>
      </c>
      <c r="D23" s="889" t="s">
        <v>3144</v>
      </c>
      <c r="E23" s="696" t="s">
        <v>3116</v>
      </c>
      <c r="F23" s="697" t="s">
        <v>3145</v>
      </c>
    </row>
    <row r="24">
      <c r="A24" s="702">
        <v>23.0</v>
      </c>
      <c r="B24" s="702" t="s">
        <v>3146</v>
      </c>
      <c r="C24" s="697">
        <f t="shared" si="1"/>
        <v>644</v>
      </c>
      <c r="D24" s="889" t="s">
        <v>3147</v>
      </c>
      <c r="E24" s="696" t="s">
        <v>3116</v>
      </c>
      <c r="F24" s="697" t="s">
        <v>3148</v>
      </c>
    </row>
    <row r="25">
      <c r="A25" s="702">
        <v>24.0</v>
      </c>
      <c r="B25" s="702" t="s">
        <v>872</v>
      </c>
      <c r="C25" s="697">
        <f t="shared" si="1"/>
        <v>672</v>
      </c>
      <c r="D25" s="889" t="s">
        <v>3149</v>
      </c>
      <c r="E25" s="696" t="s">
        <v>3112</v>
      </c>
      <c r="F25" s="697" t="s">
        <v>3150</v>
      </c>
    </row>
    <row r="26">
      <c r="A26" s="702">
        <v>25.0</v>
      </c>
      <c r="B26" s="702" t="s">
        <v>2608</v>
      </c>
      <c r="C26" s="697">
        <f t="shared" si="1"/>
        <v>700</v>
      </c>
      <c r="D26" s="889" t="s">
        <v>3151</v>
      </c>
      <c r="E26" s="696" t="s">
        <v>2592</v>
      </c>
      <c r="F26" s="697" t="s">
        <v>3152</v>
      </c>
    </row>
    <row r="27">
      <c r="A27" s="702">
        <v>26.0</v>
      </c>
      <c r="B27" s="702" t="s">
        <v>3153</v>
      </c>
      <c r="C27" s="697">
        <f t="shared" si="1"/>
        <v>728</v>
      </c>
      <c r="D27" s="889" t="s">
        <v>3154</v>
      </c>
      <c r="E27" s="696" t="s">
        <v>3155</v>
      </c>
      <c r="F27" s="697" t="s">
        <v>3156</v>
      </c>
    </row>
    <row r="28">
      <c r="A28" s="702">
        <v>27.0</v>
      </c>
      <c r="B28" s="702" t="s">
        <v>3157</v>
      </c>
      <c r="C28" s="697">
        <f t="shared" si="1"/>
        <v>756</v>
      </c>
      <c r="D28" s="889" t="s">
        <v>3158</v>
      </c>
      <c r="E28" s="696" t="s">
        <v>3116</v>
      </c>
      <c r="F28" s="697" t="s">
        <v>3159</v>
      </c>
    </row>
    <row r="29">
      <c r="A29" s="702">
        <v>28.0</v>
      </c>
      <c r="B29" s="702" t="s">
        <v>2615</v>
      </c>
      <c r="C29" s="697">
        <f t="shared" si="1"/>
        <v>784</v>
      </c>
      <c r="D29" s="889" t="s">
        <v>3160</v>
      </c>
      <c r="E29" s="696" t="s">
        <v>2592</v>
      </c>
      <c r="F29" s="697" t="s">
        <v>3161</v>
      </c>
    </row>
    <row r="30">
      <c r="A30" s="702">
        <v>29.0</v>
      </c>
      <c r="B30" s="702" t="s">
        <v>2529</v>
      </c>
      <c r="C30" s="697">
        <f t="shared" si="1"/>
        <v>812</v>
      </c>
      <c r="D30" s="889" t="s">
        <v>3162</v>
      </c>
      <c r="E30" s="696" t="s">
        <v>1752</v>
      </c>
      <c r="F30" s="697" t="s">
        <v>3163</v>
      </c>
    </row>
    <row r="31">
      <c r="A31" s="702">
        <v>30.0</v>
      </c>
      <c r="B31" s="702" t="s">
        <v>2707</v>
      </c>
      <c r="C31" s="697">
        <f t="shared" si="1"/>
        <v>840</v>
      </c>
      <c r="D31" s="889" t="s">
        <v>3164</v>
      </c>
      <c r="E31" s="696" t="s">
        <v>3165</v>
      </c>
      <c r="F31" s="697" t="s">
        <v>3166</v>
      </c>
    </row>
    <row r="32">
      <c r="A32" s="702">
        <v>31.0</v>
      </c>
      <c r="B32" s="702" t="s">
        <v>3167</v>
      </c>
      <c r="C32" s="697">
        <f t="shared" si="1"/>
        <v>868</v>
      </c>
      <c r="D32" s="889" t="s">
        <v>3168</v>
      </c>
      <c r="E32" s="696" t="s">
        <v>3116</v>
      </c>
      <c r="F32" s="697" t="s">
        <v>3169</v>
      </c>
    </row>
    <row r="33">
      <c r="A33" s="702">
        <v>32.0</v>
      </c>
      <c r="B33" s="702" t="s">
        <v>3170</v>
      </c>
      <c r="C33" s="697">
        <f t="shared" si="1"/>
        <v>896</v>
      </c>
      <c r="D33" s="889" t="s">
        <v>3171</v>
      </c>
      <c r="E33" s="696" t="s">
        <v>2592</v>
      </c>
      <c r="F33" s="697" t="s">
        <v>3172</v>
      </c>
    </row>
    <row r="34">
      <c r="A34" s="702">
        <v>33.0</v>
      </c>
      <c r="B34" s="702" t="s">
        <v>3173</v>
      </c>
      <c r="C34" s="697">
        <f t="shared" si="1"/>
        <v>924</v>
      </c>
      <c r="D34" s="890" t="s">
        <v>3174</v>
      </c>
      <c r="E34" s="891" t="s">
        <v>2680</v>
      </c>
      <c r="F34" s="892" t="s">
        <v>3175</v>
      </c>
    </row>
    <row r="35">
      <c r="A35" s="702">
        <v>34.0</v>
      </c>
      <c r="B35" s="702" t="s">
        <v>1696</v>
      </c>
      <c r="C35" s="697">
        <f t="shared" si="1"/>
        <v>952</v>
      </c>
      <c r="D35" s="889" t="s">
        <v>3176</v>
      </c>
      <c r="E35" s="696" t="s">
        <v>2690</v>
      </c>
      <c r="F35" s="697" t="s">
        <v>3166</v>
      </c>
    </row>
    <row r="36">
      <c r="A36" s="702">
        <v>35.0</v>
      </c>
      <c r="B36" s="702" t="s">
        <v>3177</v>
      </c>
      <c r="C36" s="697">
        <f t="shared" si="1"/>
        <v>980</v>
      </c>
      <c r="D36" s="889" t="s">
        <v>3178</v>
      </c>
      <c r="E36" s="696" t="s">
        <v>1766</v>
      </c>
      <c r="F36" s="697" t="s">
        <v>3179</v>
      </c>
    </row>
    <row r="37">
      <c r="A37" s="702">
        <v>36.0</v>
      </c>
      <c r="B37" s="702" t="s">
        <v>3180</v>
      </c>
      <c r="C37" s="697">
        <f t="shared" si="1"/>
        <v>1008</v>
      </c>
      <c r="D37" s="889" t="s">
        <v>3181</v>
      </c>
      <c r="E37" s="696" t="s">
        <v>3112</v>
      </c>
      <c r="F37" s="697"/>
    </row>
    <row r="38">
      <c r="A38" s="702">
        <v>37.0</v>
      </c>
      <c r="B38" s="702" t="s">
        <v>3182</v>
      </c>
      <c r="C38" s="697">
        <f t="shared" si="1"/>
        <v>1036</v>
      </c>
      <c r="D38" s="889" t="s">
        <v>3183</v>
      </c>
      <c r="E38" s="696" t="s">
        <v>3109</v>
      </c>
      <c r="F38" s="697"/>
    </row>
    <row r="39">
      <c r="A39" s="702">
        <v>38.0</v>
      </c>
      <c r="B39" s="702" t="s">
        <v>2709</v>
      </c>
      <c r="C39" s="697">
        <f t="shared" si="1"/>
        <v>1064</v>
      </c>
      <c r="D39" s="893" t="s">
        <v>3184</v>
      </c>
      <c r="E39" s="894" t="s">
        <v>3165</v>
      </c>
      <c r="F39" s="892" t="s">
        <v>3175</v>
      </c>
    </row>
    <row r="40">
      <c r="A40" s="702">
        <v>39.0</v>
      </c>
      <c r="B40" s="702" t="s">
        <v>3185</v>
      </c>
      <c r="C40" s="697">
        <f t="shared" si="1"/>
        <v>1092</v>
      </c>
      <c r="D40" s="889" t="s">
        <v>3186</v>
      </c>
      <c r="E40" s="696" t="s">
        <v>3116</v>
      </c>
      <c r="F40" s="697" t="s">
        <v>3187</v>
      </c>
    </row>
    <row r="41">
      <c r="A41" s="702">
        <v>40.0</v>
      </c>
      <c r="B41" s="702" t="s">
        <v>2495</v>
      </c>
      <c r="C41" s="697">
        <f t="shared" si="1"/>
        <v>1120</v>
      </c>
      <c r="D41" s="889" t="s">
        <v>3188</v>
      </c>
      <c r="E41" s="696" t="s">
        <v>1737</v>
      </c>
      <c r="F41" s="697" t="s">
        <v>3189</v>
      </c>
    </row>
    <row r="42">
      <c r="A42" s="702">
        <v>41.0</v>
      </c>
      <c r="B42" s="702"/>
      <c r="C42" s="697">
        <f t="shared" si="1"/>
        <v>1148</v>
      </c>
      <c r="D42" s="889"/>
      <c r="E42" s="696"/>
      <c r="F42" s="697"/>
    </row>
    <row r="43">
      <c r="A43" s="702">
        <v>42.0</v>
      </c>
      <c r="B43" s="702" t="s">
        <v>1267</v>
      </c>
      <c r="C43" s="697">
        <f t="shared" si="1"/>
        <v>1176</v>
      </c>
      <c r="D43" s="889" t="s">
        <v>3190</v>
      </c>
      <c r="E43" s="696" t="s">
        <v>3116</v>
      </c>
      <c r="F43" s="697" t="s">
        <v>3191</v>
      </c>
    </row>
    <row r="44">
      <c r="A44" s="702">
        <v>43.0</v>
      </c>
      <c r="B44" s="702" t="s">
        <v>3192</v>
      </c>
      <c r="C44" s="697">
        <f t="shared" si="1"/>
        <v>1204</v>
      </c>
      <c r="D44" s="889" t="s">
        <v>3193</v>
      </c>
      <c r="E44" s="696" t="s">
        <v>3194</v>
      </c>
      <c r="F44" s="697" t="s">
        <v>3195</v>
      </c>
    </row>
    <row r="45">
      <c r="A45" s="702">
        <v>44.0</v>
      </c>
      <c r="B45" s="702" t="s">
        <v>3196</v>
      </c>
      <c r="C45" s="697">
        <f t="shared" si="1"/>
        <v>1232</v>
      </c>
      <c r="D45" s="889" t="s">
        <v>3197</v>
      </c>
      <c r="E45" s="696" t="s">
        <v>3095</v>
      </c>
      <c r="F45" s="697" t="s">
        <v>3140</v>
      </c>
    </row>
    <row r="46">
      <c r="A46" s="702">
        <v>45.0</v>
      </c>
      <c r="B46" s="702" t="s">
        <v>3198</v>
      </c>
      <c r="C46" s="697">
        <f t="shared" si="1"/>
        <v>1260</v>
      </c>
      <c r="D46" s="889" t="s">
        <v>3199</v>
      </c>
      <c r="E46" s="696" t="s">
        <v>3101</v>
      </c>
      <c r="F46" s="697" t="s">
        <v>3200</v>
      </c>
    </row>
    <row r="47">
      <c r="A47" s="702">
        <v>46.0</v>
      </c>
      <c r="B47" s="702" t="s">
        <v>2551</v>
      </c>
      <c r="C47" s="697">
        <f t="shared" si="1"/>
        <v>1288</v>
      </c>
      <c r="D47" s="889" t="s">
        <v>3201</v>
      </c>
      <c r="E47" s="696" t="s">
        <v>1766</v>
      </c>
      <c r="F47" s="697" t="s">
        <v>3202</v>
      </c>
    </row>
    <row r="48">
      <c r="A48" s="702">
        <v>47.0</v>
      </c>
      <c r="B48" s="702" t="s">
        <v>1159</v>
      </c>
      <c r="C48" s="697">
        <f t="shared" si="1"/>
        <v>1316</v>
      </c>
      <c r="D48" s="889" t="s">
        <v>3203</v>
      </c>
      <c r="E48" s="696" t="s">
        <v>3116</v>
      </c>
      <c r="F48" s="697" t="s">
        <v>3204</v>
      </c>
    </row>
    <row r="49">
      <c r="A49" s="702">
        <v>48.0</v>
      </c>
      <c r="B49" s="702" t="s">
        <v>2559</v>
      </c>
      <c r="C49" s="697">
        <f t="shared" si="1"/>
        <v>1344</v>
      </c>
      <c r="D49" s="889" t="s">
        <v>3205</v>
      </c>
      <c r="E49" s="696" t="s">
        <v>1779</v>
      </c>
      <c r="F49" s="697" t="s">
        <v>3206</v>
      </c>
    </row>
    <row r="50">
      <c r="A50" s="702">
        <v>49.0</v>
      </c>
      <c r="B50" s="702" t="s">
        <v>1698</v>
      </c>
      <c r="C50" s="697">
        <f t="shared" si="1"/>
        <v>1372</v>
      </c>
      <c r="D50" s="889" t="s">
        <v>3207</v>
      </c>
      <c r="E50" s="696" t="s">
        <v>3194</v>
      </c>
      <c r="F50" s="697" t="s">
        <v>3208</v>
      </c>
    </row>
    <row r="51">
      <c r="A51" s="702">
        <v>50.0</v>
      </c>
      <c r="B51" s="702" t="s">
        <v>3209</v>
      </c>
      <c r="C51" s="697">
        <f t="shared" si="1"/>
        <v>1400</v>
      </c>
      <c r="D51" s="889" t="s">
        <v>3210</v>
      </c>
      <c r="E51" s="696" t="s">
        <v>3116</v>
      </c>
      <c r="F51" s="697" t="s">
        <v>3211</v>
      </c>
    </row>
    <row r="52">
      <c r="A52" s="702">
        <v>51.0</v>
      </c>
      <c r="B52" s="702" t="s">
        <v>1191</v>
      </c>
      <c r="C52" s="697">
        <f t="shared" si="1"/>
        <v>1428</v>
      </c>
      <c r="D52" s="889" t="s">
        <v>3212</v>
      </c>
      <c r="E52" s="696" t="s">
        <v>3194</v>
      </c>
      <c r="F52" s="697" t="s">
        <v>3213</v>
      </c>
    </row>
    <row r="53">
      <c r="A53" s="702">
        <v>52.0</v>
      </c>
      <c r="B53" s="702" t="s">
        <v>1458</v>
      </c>
      <c r="C53" s="697">
        <f t="shared" si="1"/>
        <v>1456</v>
      </c>
      <c r="D53" s="889" t="s">
        <v>3214</v>
      </c>
      <c r="E53" s="696" t="s">
        <v>3116</v>
      </c>
      <c r="F53" s="697" t="s">
        <v>3215</v>
      </c>
    </row>
    <row r="54">
      <c r="A54" s="702">
        <v>53.0</v>
      </c>
      <c r="B54" s="702" t="s">
        <v>1670</v>
      </c>
      <c r="C54" s="697">
        <f t="shared" si="1"/>
        <v>1484</v>
      </c>
      <c r="D54" s="889" t="s">
        <v>3216</v>
      </c>
      <c r="E54" s="696" t="s">
        <v>1793</v>
      </c>
      <c r="F54" s="697" t="s">
        <v>3217</v>
      </c>
    </row>
    <row r="55">
      <c r="A55" s="702">
        <v>54.0</v>
      </c>
      <c r="B55" s="702" t="s">
        <v>1491</v>
      </c>
      <c r="C55" s="697">
        <f t="shared" si="1"/>
        <v>1512</v>
      </c>
      <c r="D55" s="889" t="s">
        <v>3218</v>
      </c>
      <c r="E55" s="696" t="s">
        <v>3101</v>
      </c>
      <c r="F55" s="697" t="s">
        <v>3219</v>
      </c>
    </row>
    <row r="56">
      <c r="A56" s="702">
        <v>55.0</v>
      </c>
      <c r="B56" s="702" t="s">
        <v>3220</v>
      </c>
      <c r="C56" s="697">
        <f t="shared" si="1"/>
        <v>1540</v>
      </c>
      <c r="D56" s="889" t="s">
        <v>3221</v>
      </c>
      <c r="E56" s="696" t="s">
        <v>3101</v>
      </c>
      <c r="F56" s="697" t="s">
        <v>3200</v>
      </c>
    </row>
    <row r="57">
      <c r="A57" s="702">
        <v>56.0</v>
      </c>
      <c r="B57" s="702" t="s">
        <v>2701</v>
      </c>
      <c r="C57" s="697">
        <f t="shared" si="1"/>
        <v>1568</v>
      </c>
      <c r="D57" s="889" t="s">
        <v>3222</v>
      </c>
      <c r="E57" s="696" t="s">
        <v>3165</v>
      </c>
      <c r="F57" s="697" t="s">
        <v>3223</v>
      </c>
    </row>
    <row r="58">
      <c r="A58" s="702">
        <v>57.0</v>
      </c>
      <c r="B58" s="702" t="s">
        <v>3224</v>
      </c>
      <c r="C58" s="697">
        <f t="shared" si="1"/>
        <v>1596</v>
      </c>
      <c r="D58" s="889" t="s">
        <v>3225</v>
      </c>
      <c r="E58" s="696" t="s">
        <v>3116</v>
      </c>
      <c r="F58" s="697" t="s">
        <v>3226</v>
      </c>
    </row>
    <row r="59">
      <c r="A59" s="702">
        <v>58.0</v>
      </c>
      <c r="B59" s="702" t="s">
        <v>3227</v>
      </c>
      <c r="C59" s="697">
        <f t="shared" si="1"/>
        <v>1624</v>
      </c>
      <c r="D59" s="889" t="s">
        <v>3228</v>
      </c>
      <c r="E59" s="696" t="s">
        <v>1793</v>
      </c>
      <c r="F59" s="697" t="s">
        <v>3229</v>
      </c>
    </row>
    <row r="60">
      <c r="A60" s="702">
        <v>59.0</v>
      </c>
      <c r="B60" s="702" t="s">
        <v>3230</v>
      </c>
      <c r="C60" s="697">
        <f t="shared" si="1"/>
        <v>1652</v>
      </c>
      <c r="D60" s="889" t="s">
        <v>3231</v>
      </c>
      <c r="E60" s="696" t="s">
        <v>1737</v>
      </c>
      <c r="F60" s="697" t="s">
        <v>3232</v>
      </c>
    </row>
    <row r="61">
      <c r="A61" s="702">
        <v>60.0</v>
      </c>
      <c r="B61" s="702" t="s">
        <v>2682</v>
      </c>
      <c r="C61" s="697">
        <f t="shared" si="1"/>
        <v>1680</v>
      </c>
      <c r="D61" s="889" t="s">
        <v>3233</v>
      </c>
      <c r="E61" s="696" t="s">
        <v>2680</v>
      </c>
      <c r="F61" s="697" t="s">
        <v>3234</v>
      </c>
    </row>
    <row r="62">
      <c r="A62" s="702">
        <v>61.0</v>
      </c>
      <c r="B62" s="702" t="s">
        <v>3235</v>
      </c>
      <c r="C62" s="697">
        <f t="shared" si="1"/>
        <v>1708</v>
      </c>
      <c r="D62" s="889" t="s">
        <v>3236</v>
      </c>
      <c r="E62" s="696" t="s">
        <v>3116</v>
      </c>
      <c r="F62" s="697" t="s">
        <v>3237</v>
      </c>
    </row>
    <row r="63">
      <c r="A63" s="702">
        <v>62.0</v>
      </c>
      <c r="B63" s="702" t="s">
        <v>739</v>
      </c>
      <c r="C63" s="697">
        <f t="shared" si="1"/>
        <v>1736</v>
      </c>
      <c r="D63" s="889" t="s">
        <v>3238</v>
      </c>
      <c r="E63" s="696" t="s">
        <v>1752</v>
      </c>
      <c r="F63" s="697" t="s">
        <v>3239</v>
      </c>
    </row>
    <row r="64">
      <c r="A64" s="702">
        <v>63.0</v>
      </c>
      <c r="B64" s="702" t="s">
        <v>3240</v>
      </c>
      <c r="C64" s="697">
        <f t="shared" si="1"/>
        <v>1764</v>
      </c>
      <c r="D64" s="889" t="s">
        <v>3241</v>
      </c>
      <c r="E64" s="696" t="s">
        <v>3116</v>
      </c>
      <c r="F64" s="697" t="s">
        <v>3242</v>
      </c>
    </row>
    <row r="65">
      <c r="A65" s="702">
        <v>64.0</v>
      </c>
      <c r="B65" s="702" t="s">
        <v>3243</v>
      </c>
      <c r="C65" s="697">
        <f t="shared" si="1"/>
        <v>1792</v>
      </c>
      <c r="D65" s="889" t="s">
        <v>3244</v>
      </c>
      <c r="E65" s="696" t="s">
        <v>3139</v>
      </c>
      <c r="F65" s="697" t="s">
        <v>3245</v>
      </c>
    </row>
    <row r="66">
      <c r="A66" s="702">
        <v>65.0</v>
      </c>
      <c r="B66" s="702" t="s">
        <v>3246</v>
      </c>
      <c r="C66" s="697">
        <f t="shared" si="1"/>
        <v>1820</v>
      </c>
      <c r="D66" s="889" t="s">
        <v>3247</v>
      </c>
      <c r="E66" s="696" t="s">
        <v>3248</v>
      </c>
      <c r="F66" s="697" t="s">
        <v>3249</v>
      </c>
    </row>
    <row r="67">
      <c r="A67" s="702" t="s">
        <v>3250</v>
      </c>
      <c r="B67" s="702" t="s">
        <v>3251</v>
      </c>
      <c r="C67" s="697" t="s">
        <v>3250</v>
      </c>
      <c r="D67" s="889" t="s">
        <v>3252</v>
      </c>
      <c r="E67" s="696" t="s">
        <v>1779</v>
      </c>
      <c r="F67" s="697" t="s">
        <v>3253</v>
      </c>
    </row>
    <row r="68">
      <c r="A68" s="702" t="s">
        <v>3250</v>
      </c>
      <c r="B68" s="702" t="s">
        <v>3254</v>
      </c>
      <c r="C68" s="697" t="s">
        <v>3250</v>
      </c>
      <c r="D68" s="889" t="s">
        <v>3255</v>
      </c>
      <c r="E68" s="696" t="s">
        <v>3112</v>
      </c>
      <c r="F68" s="697" t="s">
        <v>3256</v>
      </c>
    </row>
    <row r="69">
      <c r="A69" s="702" t="s">
        <v>3250</v>
      </c>
      <c r="B69" s="702" t="s">
        <v>3257</v>
      </c>
      <c r="C69" s="697" t="s">
        <v>3250</v>
      </c>
      <c r="D69" s="889" t="s">
        <v>3258</v>
      </c>
      <c r="E69" s="696" t="s">
        <v>3116</v>
      </c>
      <c r="F69" s="697" t="s">
        <v>3259</v>
      </c>
    </row>
    <row r="70">
      <c r="A70" s="702" t="s">
        <v>3250</v>
      </c>
      <c r="B70" s="702" t="s">
        <v>2492</v>
      </c>
      <c r="C70" s="697" t="s">
        <v>3250</v>
      </c>
      <c r="D70" s="889" t="s">
        <v>3260</v>
      </c>
      <c r="E70" s="696" t="s">
        <v>1737</v>
      </c>
      <c r="F70" s="697" t="s">
        <v>3261</v>
      </c>
    </row>
    <row r="71">
      <c r="A71" s="702"/>
      <c r="B71" s="702"/>
      <c r="C71" s="697"/>
      <c r="D71" s="889"/>
      <c r="E71" s="696"/>
      <c r="F71" s="697"/>
    </row>
    <row r="72">
      <c r="A72" s="681"/>
      <c r="B72" s="681"/>
      <c r="C72" s="681"/>
      <c r="D72" s="681"/>
      <c r="E72" s="681"/>
      <c r="F72" s="681"/>
    </row>
    <row r="79">
      <c r="A79" s="895" t="s">
        <v>3080</v>
      </c>
      <c r="B79" s="683" t="s">
        <v>3262</v>
      </c>
      <c r="C79" s="164" t="s">
        <v>3082</v>
      </c>
      <c r="D79" s="738" t="s">
        <v>3083</v>
      </c>
      <c r="E79" s="738" t="s">
        <v>3084</v>
      </c>
      <c r="F79" s="164" t="s">
        <v>3085</v>
      </c>
    </row>
    <row r="80">
      <c r="A80" s="896">
        <v>1.0</v>
      </c>
      <c r="B80" s="702" t="s">
        <v>3263</v>
      </c>
      <c r="C80" s="697">
        <f t="shared" ref="C80:C93" si="2">A80*(280/2)</f>
        <v>140</v>
      </c>
      <c r="D80" s="889" t="s">
        <v>3264</v>
      </c>
      <c r="E80" s="696" t="s">
        <v>3139</v>
      </c>
      <c r="F80" s="697" t="s">
        <v>3265</v>
      </c>
    </row>
    <row r="81">
      <c r="A81" s="896">
        <v>2.0</v>
      </c>
      <c r="B81" s="702" t="s">
        <v>909</v>
      </c>
      <c r="C81" s="697">
        <f t="shared" si="2"/>
        <v>280</v>
      </c>
      <c r="D81" s="889" t="s">
        <v>3266</v>
      </c>
      <c r="E81" s="696" t="s">
        <v>3101</v>
      </c>
      <c r="F81" s="697" t="s">
        <v>3267</v>
      </c>
    </row>
    <row r="82">
      <c r="A82" s="896">
        <v>3.0</v>
      </c>
      <c r="B82" s="702" t="s">
        <v>953</v>
      </c>
      <c r="C82" s="697">
        <f t="shared" si="2"/>
        <v>420</v>
      </c>
      <c r="D82" s="889" t="s">
        <v>3268</v>
      </c>
      <c r="E82" s="696" t="s">
        <v>3109</v>
      </c>
      <c r="F82" s="697" t="s">
        <v>3140</v>
      </c>
    </row>
    <row r="83">
      <c r="A83" s="896">
        <v>4.0</v>
      </c>
      <c r="B83" s="702" t="s">
        <v>2536</v>
      </c>
      <c r="C83" s="697">
        <f t="shared" si="2"/>
        <v>560</v>
      </c>
      <c r="D83" s="889" t="s">
        <v>3269</v>
      </c>
      <c r="E83" s="696" t="s">
        <v>1752</v>
      </c>
      <c r="F83" s="697" t="s">
        <v>3270</v>
      </c>
    </row>
    <row r="84">
      <c r="A84" s="896">
        <v>5.0</v>
      </c>
      <c r="B84" s="702" t="s">
        <v>1202</v>
      </c>
      <c r="C84" s="697">
        <f t="shared" si="2"/>
        <v>700</v>
      </c>
      <c r="D84" s="889" t="s">
        <v>3271</v>
      </c>
      <c r="E84" s="696" t="s">
        <v>3116</v>
      </c>
      <c r="F84" s="697" t="s">
        <v>3272</v>
      </c>
    </row>
    <row r="85">
      <c r="A85" s="896">
        <v>6.0</v>
      </c>
      <c r="B85" s="702" t="s">
        <v>3273</v>
      </c>
      <c r="C85" s="697">
        <f t="shared" si="2"/>
        <v>840</v>
      </c>
      <c r="D85" s="889" t="s">
        <v>3274</v>
      </c>
      <c r="E85" s="696" t="s">
        <v>3116</v>
      </c>
      <c r="F85" s="697" t="s">
        <v>3275</v>
      </c>
    </row>
    <row r="86">
      <c r="A86" s="896">
        <v>7.0</v>
      </c>
      <c r="B86" s="702" t="s">
        <v>1292</v>
      </c>
      <c r="C86" s="697">
        <f t="shared" si="2"/>
        <v>980</v>
      </c>
      <c r="D86" s="889" t="s">
        <v>3276</v>
      </c>
      <c r="E86" s="696" t="s">
        <v>1793</v>
      </c>
      <c r="F86" s="697" t="s">
        <v>3277</v>
      </c>
    </row>
    <row r="87">
      <c r="A87" s="896">
        <v>8.0</v>
      </c>
      <c r="B87" s="702" t="s">
        <v>1385</v>
      </c>
      <c r="C87" s="697">
        <f t="shared" si="2"/>
        <v>1120</v>
      </c>
      <c r="D87" s="889" t="s">
        <v>3278</v>
      </c>
      <c r="E87" s="696" t="s">
        <v>3116</v>
      </c>
      <c r="F87" s="697" t="s">
        <v>3279</v>
      </c>
    </row>
    <row r="88">
      <c r="A88" s="896">
        <v>9.0</v>
      </c>
      <c r="B88" s="702" t="s">
        <v>3280</v>
      </c>
      <c r="C88" s="697">
        <f t="shared" si="2"/>
        <v>1260</v>
      </c>
      <c r="D88" s="889" t="s">
        <v>3281</v>
      </c>
      <c r="E88" s="696" t="s">
        <v>3116</v>
      </c>
      <c r="F88" s="697" t="s">
        <v>3282</v>
      </c>
    </row>
    <row r="89">
      <c r="A89" s="896">
        <v>10.0</v>
      </c>
      <c r="B89" s="702" t="s">
        <v>2674</v>
      </c>
      <c r="C89" s="697">
        <f t="shared" si="2"/>
        <v>1400</v>
      </c>
      <c r="D89" s="889" t="s">
        <v>3283</v>
      </c>
      <c r="E89" s="696" t="s">
        <v>3284</v>
      </c>
      <c r="F89" s="697" t="s">
        <v>3285</v>
      </c>
    </row>
    <row r="90">
      <c r="A90" s="896">
        <v>11.0</v>
      </c>
      <c r="B90" s="702" t="s">
        <v>1645</v>
      </c>
      <c r="C90" s="697">
        <f t="shared" si="2"/>
        <v>1540</v>
      </c>
      <c r="D90" s="889" t="s">
        <v>3286</v>
      </c>
      <c r="E90" s="696" t="s">
        <v>3116</v>
      </c>
      <c r="F90" s="697" t="s">
        <v>3287</v>
      </c>
    </row>
    <row r="91">
      <c r="A91" s="896">
        <v>12.0</v>
      </c>
      <c r="B91" s="702" t="s">
        <v>784</v>
      </c>
      <c r="C91" s="697">
        <f t="shared" si="2"/>
        <v>1680</v>
      </c>
      <c r="D91" s="889" t="s">
        <v>3288</v>
      </c>
      <c r="E91" s="696" t="s">
        <v>3289</v>
      </c>
      <c r="F91" s="697" t="s">
        <v>3290</v>
      </c>
    </row>
    <row r="92">
      <c r="A92" s="896">
        <v>13.0</v>
      </c>
      <c r="B92" s="702" t="s">
        <v>3291</v>
      </c>
      <c r="C92" s="697">
        <f t="shared" si="2"/>
        <v>1820</v>
      </c>
      <c r="D92" s="889" t="s">
        <v>3292</v>
      </c>
      <c r="E92" s="696" t="s">
        <v>3116</v>
      </c>
      <c r="F92" s="697" t="s">
        <v>3293</v>
      </c>
    </row>
    <row r="93">
      <c r="A93" s="897">
        <v>14.0</v>
      </c>
      <c r="B93" s="705" t="s">
        <v>1678</v>
      </c>
      <c r="C93" s="707">
        <f t="shared" si="2"/>
        <v>1960</v>
      </c>
      <c r="D93" s="898" t="s">
        <v>3294</v>
      </c>
      <c r="E93" s="706" t="s">
        <v>3116</v>
      </c>
      <c r="F93" s="707" t="s">
        <v>3295</v>
      </c>
    </row>
    <row r="98">
      <c r="A98" s="895" t="s">
        <v>3080</v>
      </c>
      <c r="B98" s="683" t="s">
        <v>3296</v>
      </c>
      <c r="C98" s="164" t="s">
        <v>3082</v>
      </c>
      <c r="D98" s="738" t="s">
        <v>3083</v>
      </c>
      <c r="E98" s="738" t="s">
        <v>3084</v>
      </c>
      <c r="F98" s="164" t="s">
        <v>3085</v>
      </c>
    </row>
    <row r="99">
      <c r="A99" s="896">
        <v>1.0</v>
      </c>
      <c r="B99" s="702" t="s">
        <v>3297</v>
      </c>
      <c r="C99" s="697">
        <f t="shared" ref="C99:C106" si="3">A99*280</f>
        <v>280</v>
      </c>
      <c r="D99" s="889" t="s">
        <v>3298</v>
      </c>
      <c r="E99" s="696" t="s">
        <v>3092</v>
      </c>
      <c r="F99" s="697" t="s">
        <v>3299</v>
      </c>
    </row>
    <row r="100">
      <c r="A100" s="896">
        <v>2.0</v>
      </c>
      <c r="B100" s="702" t="s">
        <v>3300</v>
      </c>
      <c r="C100" s="697">
        <f t="shared" si="3"/>
        <v>560</v>
      </c>
      <c r="D100" s="889" t="s">
        <v>3301</v>
      </c>
      <c r="E100" s="696" t="s">
        <v>3302</v>
      </c>
      <c r="F100" s="697" t="s">
        <v>3303</v>
      </c>
    </row>
    <row r="101">
      <c r="A101" s="896">
        <v>3.0</v>
      </c>
      <c r="B101" s="702" t="s">
        <v>3304</v>
      </c>
      <c r="C101" s="697">
        <f t="shared" si="3"/>
        <v>840</v>
      </c>
      <c r="D101" s="889" t="s">
        <v>3305</v>
      </c>
      <c r="E101" s="696" t="s">
        <v>3116</v>
      </c>
      <c r="F101" s="697" t="s">
        <v>3306</v>
      </c>
    </row>
    <row r="102">
      <c r="A102" s="896">
        <v>4.0</v>
      </c>
      <c r="B102" s="696" t="s">
        <v>2542</v>
      </c>
      <c r="C102" s="697">
        <f t="shared" si="3"/>
        <v>1120</v>
      </c>
      <c r="D102" s="889" t="s">
        <v>3307</v>
      </c>
      <c r="E102" s="696" t="s">
        <v>1766</v>
      </c>
      <c r="F102" s="697" t="s">
        <v>3308</v>
      </c>
    </row>
    <row r="103">
      <c r="A103" s="896">
        <v>5.0</v>
      </c>
      <c r="B103" s="702" t="s">
        <v>3309</v>
      </c>
      <c r="C103" s="697">
        <f t="shared" si="3"/>
        <v>1400</v>
      </c>
      <c r="D103" s="889" t="s">
        <v>3310</v>
      </c>
      <c r="E103" s="696" t="s">
        <v>3116</v>
      </c>
      <c r="F103" s="697" t="s">
        <v>3311</v>
      </c>
    </row>
    <row r="104">
      <c r="A104" s="896">
        <v>6.0</v>
      </c>
      <c r="B104" s="696" t="s">
        <v>1690</v>
      </c>
      <c r="C104" s="697">
        <f t="shared" si="3"/>
        <v>1680</v>
      </c>
      <c r="D104" s="889" t="s">
        <v>3312</v>
      </c>
      <c r="E104" s="696" t="s">
        <v>3313</v>
      </c>
      <c r="F104" s="697" t="s">
        <v>3314</v>
      </c>
    </row>
    <row r="105">
      <c r="A105" s="896">
        <v>7.0</v>
      </c>
      <c r="B105" s="696" t="s">
        <v>2500</v>
      </c>
      <c r="C105" s="697">
        <f t="shared" si="3"/>
        <v>1960</v>
      </c>
      <c r="D105" s="889" t="s">
        <v>3315</v>
      </c>
      <c r="E105" s="696" t="s">
        <v>3313</v>
      </c>
      <c r="F105" s="697" t="s">
        <v>3316</v>
      </c>
    </row>
    <row r="106">
      <c r="A106" s="897">
        <v>8.0</v>
      </c>
      <c r="B106" s="706" t="s">
        <v>3317</v>
      </c>
      <c r="C106" s="707">
        <f t="shared" si="3"/>
        <v>2240</v>
      </c>
      <c r="D106" s="898" t="s">
        <v>3318</v>
      </c>
      <c r="E106" s="706" t="s">
        <v>3116</v>
      </c>
      <c r="F106" s="707" t="s">
        <v>3319</v>
      </c>
    </row>
    <row r="111">
      <c r="A111" s="895" t="s">
        <v>3080</v>
      </c>
      <c r="B111" s="683" t="s">
        <v>3320</v>
      </c>
      <c r="C111" s="164" t="s">
        <v>3082</v>
      </c>
      <c r="D111" s="738" t="s">
        <v>3083</v>
      </c>
      <c r="E111" s="738" t="s">
        <v>3084</v>
      </c>
      <c r="F111" s="164" t="s">
        <v>3085</v>
      </c>
    </row>
    <row r="112">
      <c r="A112" s="896">
        <v>1.0</v>
      </c>
      <c r="B112" s="702" t="s">
        <v>822</v>
      </c>
      <c r="C112" s="899">
        <f t="shared" ref="C112:C125" si="4">CEILING(A112*280/3,1)</f>
        <v>94</v>
      </c>
      <c r="D112" s="889" t="s">
        <v>3321</v>
      </c>
      <c r="E112" s="696" t="s">
        <v>3095</v>
      </c>
      <c r="F112" s="697" t="s">
        <v>3322</v>
      </c>
    </row>
    <row r="113">
      <c r="A113" s="896">
        <v>2.0</v>
      </c>
      <c r="B113" s="702" t="s">
        <v>3323</v>
      </c>
      <c r="C113" s="899">
        <f t="shared" si="4"/>
        <v>187</v>
      </c>
      <c r="D113" s="889" t="s">
        <v>3324</v>
      </c>
      <c r="E113" s="696" t="s">
        <v>1737</v>
      </c>
      <c r="F113" s="697" t="s">
        <v>3325</v>
      </c>
    </row>
    <row r="114">
      <c r="A114" s="896">
        <v>3.0</v>
      </c>
      <c r="B114" s="702" t="s">
        <v>3326</v>
      </c>
      <c r="C114" s="899">
        <f t="shared" si="4"/>
        <v>280</v>
      </c>
      <c r="D114" s="889" t="s">
        <v>3327</v>
      </c>
      <c r="E114" s="696" t="s">
        <v>3116</v>
      </c>
      <c r="F114" s="697" t="s">
        <v>3328</v>
      </c>
    </row>
    <row r="115">
      <c r="A115" s="896">
        <v>4.0</v>
      </c>
      <c r="B115" s="702" t="s">
        <v>724</v>
      </c>
      <c r="C115" s="899">
        <f t="shared" si="4"/>
        <v>374</v>
      </c>
      <c r="D115" s="889" t="s">
        <v>3329</v>
      </c>
      <c r="E115" s="696" t="s">
        <v>3289</v>
      </c>
      <c r="F115" s="697" t="s">
        <v>3200</v>
      </c>
    </row>
    <row r="116">
      <c r="A116" s="896">
        <v>5.0</v>
      </c>
      <c r="B116" s="702" t="s">
        <v>3330</v>
      </c>
      <c r="C116" s="899">
        <f t="shared" si="4"/>
        <v>467</v>
      </c>
      <c r="D116" s="889" t="s">
        <v>3331</v>
      </c>
      <c r="E116" s="696" t="s">
        <v>3116</v>
      </c>
      <c r="F116" s="697" t="s">
        <v>3332</v>
      </c>
    </row>
    <row r="117">
      <c r="A117" s="702">
        <v>6.0</v>
      </c>
      <c r="B117" s="702" t="s">
        <v>711</v>
      </c>
      <c r="C117" s="900">
        <f t="shared" si="4"/>
        <v>560</v>
      </c>
      <c r="D117" s="901" t="s">
        <v>3333</v>
      </c>
      <c r="E117" s="696" t="s">
        <v>3248</v>
      </c>
      <c r="F117" s="697" t="s">
        <v>3140</v>
      </c>
    </row>
    <row r="118">
      <c r="A118" s="896">
        <v>7.0</v>
      </c>
      <c r="B118" s="702" t="s">
        <v>2579</v>
      </c>
      <c r="C118" s="899">
        <f t="shared" si="4"/>
        <v>654</v>
      </c>
      <c r="D118" s="889" t="s">
        <v>3334</v>
      </c>
      <c r="E118" s="696" t="s">
        <v>1793</v>
      </c>
      <c r="F118" s="697" t="s">
        <v>3335</v>
      </c>
    </row>
    <row r="119">
      <c r="A119" s="896">
        <v>8.0</v>
      </c>
      <c r="B119" s="696" t="s">
        <v>710</v>
      </c>
      <c r="C119" s="899">
        <f t="shared" si="4"/>
        <v>747</v>
      </c>
      <c r="D119" s="889" t="s">
        <v>3336</v>
      </c>
      <c r="E119" s="696" t="s">
        <v>3248</v>
      </c>
      <c r="F119" s="697" t="s">
        <v>3200</v>
      </c>
    </row>
    <row r="120">
      <c r="A120" s="702">
        <v>9.0</v>
      </c>
      <c r="B120" s="702" t="s">
        <v>1675</v>
      </c>
      <c r="C120" s="899">
        <f t="shared" si="4"/>
        <v>840</v>
      </c>
      <c r="D120" s="889" t="s">
        <v>3337</v>
      </c>
      <c r="E120" s="696" t="s">
        <v>3284</v>
      </c>
      <c r="F120" s="697" t="s">
        <v>3223</v>
      </c>
    </row>
    <row r="121">
      <c r="A121" s="702">
        <v>10.0</v>
      </c>
      <c r="B121" s="702" t="s">
        <v>2534</v>
      </c>
      <c r="C121" s="899">
        <f t="shared" si="4"/>
        <v>934</v>
      </c>
      <c r="D121" s="889" t="s">
        <v>3338</v>
      </c>
      <c r="E121" s="696" t="s">
        <v>1752</v>
      </c>
      <c r="F121" s="697" t="s">
        <v>3339</v>
      </c>
    </row>
    <row r="122">
      <c r="A122" s="702">
        <v>11.0</v>
      </c>
      <c r="B122" s="702" t="s">
        <v>2664</v>
      </c>
      <c r="C122" s="899">
        <f t="shared" si="4"/>
        <v>1027</v>
      </c>
      <c r="D122" s="889" t="s">
        <v>3340</v>
      </c>
      <c r="E122" s="696" t="s">
        <v>2654</v>
      </c>
      <c r="F122" s="697" t="s">
        <v>3341</v>
      </c>
    </row>
    <row r="123">
      <c r="A123" s="702">
        <v>12.0</v>
      </c>
      <c r="B123" s="702" t="s">
        <v>1394</v>
      </c>
      <c r="C123" s="899">
        <f t="shared" si="4"/>
        <v>1120</v>
      </c>
      <c r="D123" s="889" t="s">
        <v>3342</v>
      </c>
      <c r="E123" s="696" t="s">
        <v>2690</v>
      </c>
      <c r="F123" s="697" t="s">
        <v>3223</v>
      </c>
    </row>
    <row r="124">
      <c r="A124" s="702">
        <v>13.0</v>
      </c>
      <c r="B124" s="702" t="s">
        <v>3343</v>
      </c>
      <c r="C124" s="899">
        <f t="shared" si="4"/>
        <v>1214</v>
      </c>
      <c r="D124" s="889" t="s">
        <v>3344</v>
      </c>
      <c r="E124" s="696" t="s">
        <v>3116</v>
      </c>
      <c r="F124" s="697" t="s">
        <v>3345</v>
      </c>
    </row>
    <row r="125">
      <c r="A125" s="897">
        <v>14.0</v>
      </c>
      <c r="B125" s="705" t="s">
        <v>1685</v>
      </c>
      <c r="C125" s="707">
        <f t="shared" si="4"/>
        <v>1307</v>
      </c>
      <c r="D125" s="898" t="s">
        <v>3346</v>
      </c>
      <c r="E125" s="706" t="s">
        <v>3194</v>
      </c>
      <c r="F125" s="707" t="s">
        <v>3347</v>
      </c>
    </row>
    <row r="129">
      <c r="A129" s="902" t="s">
        <v>3080</v>
      </c>
      <c r="B129" s="903" t="s">
        <v>3348</v>
      </c>
      <c r="C129" s="904" t="s">
        <v>3082</v>
      </c>
      <c r="D129" s="903" t="s">
        <v>3083</v>
      </c>
      <c r="E129" s="903" t="s">
        <v>3084</v>
      </c>
      <c r="F129" s="904" t="s">
        <v>3085</v>
      </c>
    </row>
    <row r="130">
      <c r="A130" s="905">
        <v>1.0</v>
      </c>
      <c r="B130" s="906" t="s">
        <v>1663</v>
      </c>
      <c r="C130" s="907" t="s">
        <v>3349</v>
      </c>
      <c r="D130" s="908" t="s">
        <v>3350</v>
      </c>
      <c r="E130" s="906" t="s">
        <v>3313</v>
      </c>
      <c r="F130" s="907" t="s">
        <v>3351</v>
      </c>
    </row>
    <row r="131">
      <c r="A131" s="905">
        <v>2.0</v>
      </c>
      <c r="B131" s="906" t="s">
        <v>885</v>
      </c>
      <c r="C131" s="907" t="s">
        <v>3349</v>
      </c>
      <c r="D131" s="908" t="s">
        <v>3352</v>
      </c>
      <c r="E131" s="906" t="s">
        <v>3112</v>
      </c>
      <c r="F131" s="907" t="s">
        <v>3353</v>
      </c>
    </row>
    <row r="132">
      <c r="A132" s="905">
        <v>3.0</v>
      </c>
      <c r="B132" s="906" t="s">
        <v>1204</v>
      </c>
      <c r="C132" s="907" t="s">
        <v>3349</v>
      </c>
      <c r="D132" s="908" t="s">
        <v>3354</v>
      </c>
      <c r="E132" s="906" t="s">
        <v>2592</v>
      </c>
      <c r="F132" s="907" t="s">
        <v>3355</v>
      </c>
    </row>
    <row r="133">
      <c r="A133" s="896">
        <v>4.0</v>
      </c>
      <c r="B133" s="696" t="s">
        <v>3356</v>
      </c>
      <c r="C133" s="907" t="s">
        <v>3349</v>
      </c>
      <c r="D133" s="889" t="s">
        <v>3357</v>
      </c>
      <c r="E133" s="696" t="s">
        <v>3116</v>
      </c>
      <c r="F133" s="697" t="s">
        <v>3358</v>
      </c>
    </row>
    <row r="134">
      <c r="A134" s="896">
        <v>5.0</v>
      </c>
      <c r="B134" s="696" t="s">
        <v>3359</v>
      </c>
      <c r="C134" s="907" t="s">
        <v>3349</v>
      </c>
      <c r="D134" s="889" t="s">
        <v>3360</v>
      </c>
      <c r="E134" s="696" t="s">
        <v>3116</v>
      </c>
      <c r="F134" s="697" t="s">
        <v>3361</v>
      </c>
    </row>
    <row r="135">
      <c r="A135" s="896">
        <v>6.0</v>
      </c>
      <c r="B135" s="696" t="s">
        <v>3362</v>
      </c>
      <c r="C135" s="907" t="s">
        <v>3349</v>
      </c>
      <c r="D135" s="889" t="s">
        <v>3363</v>
      </c>
      <c r="E135" s="696" t="s">
        <v>3194</v>
      </c>
      <c r="F135" s="697" t="s">
        <v>3364</v>
      </c>
    </row>
    <row r="136">
      <c r="A136" s="896">
        <v>7.0</v>
      </c>
      <c r="B136" s="696" t="s">
        <v>3365</v>
      </c>
      <c r="C136" s="907" t="s">
        <v>3349</v>
      </c>
      <c r="D136" s="889" t="s">
        <v>3366</v>
      </c>
      <c r="E136" s="696" t="s">
        <v>3116</v>
      </c>
      <c r="F136" s="697" t="s">
        <v>3367</v>
      </c>
    </row>
    <row r="137">
      <c r="A137" s="896">
        <v>8.0</v>
      </c>
      <c r="B137" s="696" t="s">
        <v>1189</v>
      </c>
      <c r="C137" s="907" t="s">
        <v>3349</v>
      </c>
      <c r="D137" s="889" t="s">
        <v>3368</v>
      </c>
      <c r="E137" s="696" t="s">
        <v>3116</v>
      </c>
      <c r="F137" s="697" t="s">
        <v>3369</v>
      </c>
    </row>
    <row r="138">
      <c r="A138" s="896">
        <v>9.0</v>
      </c>
      <c r="B138" s="696" t="s">
        <v>1513</v>
      </c>
      <c r="C138" s="907" t="s">
        <v>3349</v>
      </c>
      <c r="D138" s="889" t="s">
        <v>3370</v>
      </c>
      <c r="E138" s="696" t="s">
        <v>3248</v>
      </c>
      <c r="F138" s="697" t="s">
        <v>3219</v>
      </c>
    </row>
    <row r="139">
      <c r="A139" s="896">
        <v>10.0</v>
      </c>
      <c r="B139" s="696" t="s">
        <v>1423</v>
      </c>
      <c r="C139" s="907" t="s">
        <v>3349</v>
      </c>
      <c r="D139" s="889" t="s">
        <v>3371</v>
      </c>
      <c r="E139" s="696" t="s">
        <v>3116</v>
      </c>
      <c r="F139" s="697" t="s">
        <v>3372</v>
      </c>
    </row>
    <row r="140">
      <c r="A140" s="896">
        <v>11.0</v>
      </c>
      <c r="B140" s="696" t="s">
        <v>2588</v>
      </c>
      <c r="C140" s="907" t="s">
        <v>3349</v>
      </c>
      <c r="D140" s="889" t="s">
        <v>3373</v>
      </c>
      <c r="E140" s="696" t="s">
        <v>1793</v>
      </c>
      <c r="F140" s="697" t="s">
        <v>3374</v>
      </c>
    </row>
    <row r="141">
      <c r="A141" s="896">
        <v>12.0</v>
      </c>
      <c r="B141" s="696" t="s">
        <v>3375</v>
      </c>
      <c r="C141" s="907" t="s">
        <v>3349</v>
      </c>
      <c r="D141" s="889" t="s">
        <v>3376</v>
      </c>
      <c r="E141" s="696" t="s">
        <v>3116</v>
      </c>
      <c r="F141" s="697" t="s">
        <v>3377</v>
      </c>
    </row>
    <row r="142">
      <c r="A142" s="896" t="s">
        <v>3250</v>
      </c>
      <c r="B142" s="696" t="s">
        <v>2538</v>
      </c>
      <c r="C142" s="697" t="s">
        <v>3349</v>
      </c>
      <c r="D142" s="889" t="s">
        <v>3378</v>
      </c>
      <c r="E142" s="696" t="s">
        <v>1752</v>
      </c>
      <c r="F142" s="697" t="s">
        <v>3379</v>
      </c>
    </row>
    <row r="143">
      <c r="A143" s="896" t="s">
        <v>3250</v>
      </c>
      <c r="B143" s="696" t="s">
        <v>2549</v>
      </c>
      <c r="C143" s="697" t="s">
        <v>3349</v>
      </c>
      <c r="D143" s="889" t="s">
        <v>3380</v>
      </c>
      <c r="E143" s="696" t="s">
        <v>1766</v>
      </c>
      <c r="F143" s="697" t="s">
        <v>3381</v>
      </c>
    </row>
    <row r="144">
      <c r="A144" s="896"/>
      <c r="B144" s="696" t="s">
        <v>3382</v>
      </c>
      <c r="C144" s="697" t="s">
        <v>3349</v>
      </c>
      <c r="D144" s="889" t="s">
        <v>3383</v>
      </c>
      <c r="E144" s="696" t="s">
        <v>3101</v>
      </c>
      <c r="F144" s="697" t="s">
        <v>3384</v>
      </c>
    </row>
    <row r="145">
      <c r="A145" s="897"/>
      <c r="B145" s="706"/>
      <c r="C145" s="909"/>
      <c r="D145" s="898"/>
      <c r="E145" s="706"/>
      <c r="F145" s="707"/>
    </row>
    <row r="150">
      <c r="A150" s="895" t="s">
        <v>3080</v>
      </c>
      <c r="B150" s="683" t="s">
        <v>3385</v>
      </c>
      <c r="C150" s="164" t="s">
        <v>3082</v>
      </c>
      <c r="D150" s="738" t="s">
        <v>3083</v>
      </c>
      <c r="E150" s="738" t="s">
        <v>3084</v>
      </c>
      <c r="F150" s="164" t="s">
        <v>3085</v>
      </c>
    </row>
    <row r="151">
      <c r="A151" s="896">
        <v>1.0</v>
      </c>
      <c r="B151" s="702" t="s">
        <v>941</v>
      </c>
      <c r="C151" s="697">
        <f t="shared" ref="C151:C161" si="5">7*3*7*A151</f>
        <v>147</v>
      </c>
      <c r="D151" s="889" t="s">
        <v>3386</v>
      </c>
      <c r="E151" s="696" t="s">
        <v>3101</v>
      </c>
      <c r="F151" s="697" t="s">
        <v>3387</v>
      </c>
    </row>
    <row r="152">
      <c r="A152" s="896">
        <v>2.0</v>
      </c>
      <c r="B152" s="702" t="s">
        <v>866</v>
      </c>
      <c r="C152" s="697">
        <f t="shared" si="5"/>
        <v>294</v>
      </c>
      <c r="D152" s="889" t="s">
        <v>3388</v>
      </c>
      <c r="E152" s="696" t="s">
        <v>3112</v>
      </c>
      <c r="F152" s="697" t="s">
        <v>3140</v>
      </c>
    </row>
    <row r="153">
      <c r="A153" s="896">
        <v>3.0</v>
      </c>
      <c r="B153" s="702" t="s">
        <v>3389</v>
      </c>
      <c r="C153" s="697">
        <f t="shared" si="5"/>
        <v>441</v>
      </c>
      <c r="D153" s="889" t="s">
        <v>3390</v>
      </c>
      <c r="E153" s="696" t="s">
        <v>3302</v>
      </c>
      <c r="F153" s="697" t="s">
        <v>3391</v>
      </c>
    </row>
    <row r="154">
      <c r="A154" s="896">
        <v>4.0</v>
      </c>
      <c r="B154" s="696" t="s">
        <v>762</v>
      </c>
      <c r="C154" s="697">
        <f t="shared" si="5"/>
        <v>588</v>
      </c>
      <c r="D154" s="889" t="s">
        <v>3392</v>
      </c>
      <c r="E154" s="696" t="s">
        <v>3289</v>
      </c>
      <c r="F154" s="697" t="s">
        <v>3102</v>
      </c>
    </row>
    <row r="155">
      <c r="A155" s="896">
        <v>5.0</v>
      </c>
      <c r="B155" s="696" t="s">
        <v>3393</v>
      </c>
      <c r="C155" s="697">
        <f t="shared" si="5"/>
        <v>735</v>
      </c>
      <c r="D155" s="889" t="s">
        <v>3394</v>
      </c>
      <c r="E155" s="696" t="s">
        <v>3116</v>
      </c>
      <c r="F155" s="697" t="s">
        <v>3395</v>
      </c>
    </row>
    <row r="156">
      <c r="A156" s="896">
        <v>6.0</v>
      </c>
      <c r="B156" s="696" t="s">
        <v>2696</v>
      </c>
      <c r="C156" s="697">
        <f t="shared" si="5"/>
        <v>882</v>
      </c>
      <c r="D156" s="889" t="s">
        <v>3396</v>
      </c>
      <c r="E156" s="696" t="s">
        <v>2690</v>
      </c>
      <c r="F156" s="697" t="s">
        <v>3397</v>
      </c>
    </row>
    <row r="157">
      <c r="A157" s="896">
        <v>7.0</v>
      </c>
      <c r="B157" s="696" t="s">
        <v>2659</v>
      </c>
      <c r="C157" s="697">
        <f t="shared" si="5"/>
        <v>1029</v>
      </c>
      <c r="D157" s="889" t="s">
        <v>3398</v>
      </c>
      <c r="E157" s="696" t="s">
        <v>2654</v>
      </c>
      <c r="F157" s="697" t="s">
        <v>3399</v>
      </c>
    </row>
    <row r="158">
      <c r="A158" s="896">
        <v>8.0</v>
      </c>
      <c r="B158" s="696" t="s">
        <v>3400</v>
      </c>
      <c r="C158" s="697">
        <f t="shared" si="5"/>
        <v>1176</v>
      </c>
      <c r="D158" s="889" t="s">
        <v>3401</v>
      </c>
      <c r="E158" s="696" t="s">
        <v>3302</v>
      </c>
      <c r="F158" s="697" t="s">
        <v>3402</v>
      </c>
    </row>
    <row r="159">
      <c r="A159" s="896">
        <v>9.0</v>
      </c>
      <c r="B159" s="696" t="s">
        <v>3403</v>
      </c>
      <c r="C159" s="697">
        <f t="shared" si="5"/>
        <v>1323</v>
      </c>
      <c r="D159" s="889" t="s">
        <v>3404</v>
      </c>
      <c r="E159" s="696" t="s">
        <v>3116</v>
      </c>
      <c r="F159" s="697" t="s">
        <v>3405</v>
      </c>
    </row>
    <row r="160">
      <c r="A160" s="896">
        <v>10.0</v>
      </c>
      <c r="B160" s="696" t="s">
        <v>3406</v>
      </c>
      <c r="C160" s="697">
        <f t="shared" si="5"/>
        <v>1470</v>
      </c>
      <c r="D160" s="889" t="s">
        <v>3407</v>
      </c>
      <c r="E160" s="696" t="s">
        <v>3116</v>
      </c>
      <c r="F160" s="697" t="s">
        <v>3408</v>
      </c>
    </row>
    <row r="161">
      <c r="A161" s="896">
        <v>11.0</v>
      </c>
      <c r="B161" s="696" t="s">
        <v>3409</v>
      </c>
      <c r="C161" s="697">
        <f t="shared" si="5"/>
        <v>1617</v>
      </c>
      <c r="D161" s="889" t="s">
        <v>3410</v>
      </c>
      <c r="E161" s="696" t="s">
        <v>1779</v>
      </c>
      <c r="F161" s="697" t="s">
        <v>3411</v>
      </c>
    </row>
    <row r="162">
      <c r="A162" s="896" t="s">
        <v>3250</v>
      </c>
      <c r="B162" s="696" t="s">
        <v>3412</v>
      </c>
      <c r="C162" s="697" t="s">
        <v>3250</v>
      </c>
      <c r="D162" s="889" t="s">
        <v>3413</v>
      </c>
      <c r="E162" s="696" t="s">
        <v>3116</v>
      </c>
      <c r="F162" s="697" t="s">
        <v>3399</v>
      </c>
    </row>
    <row r="163">
      <c r="A163" s="681"/>
      <c r="B163" s="681"/>
      <c r="C163" s="681"/>
      <c r="D163" s="681"/>
      <c r="E163" s="681"/>
      <c r="F163" s="681"/>
    </row>
    <row r="167">
      <c r="A167" s="910" t="s">
        <v>3080</v>
      </c>
      <c r="B167" s="774" t="s">
        <v>3414</v>
      </c>
      <c r="C167" s="911" t="s">
        <v>3415</v>
      </c>
      <c r="D167" s="912" t="s">
        <v>3083</v>
      </c>
      <c r="E167" s="912" t="s">
        <v>3084</v>
      </c>
      <c r="F167" s="911" t="s">
        <v>3085</v>
      </c>
    </row>
    <row r="168">
      <c r="A168" s="896">
        <v>1.0</v>
      </c>
      <c r="B168" s="702" t="s">
        <v>862</v>
      </c>
      <c r="C168" s="697">
        <f t="shared" ref="C168:C195" si="6">A168*8</f>
        <v>8</v>
      </c>
      <c r="D168" s="889" t="s">
        <v>3416</v>
      </c>
      <c r="E168" s="696" t="s">
        <v>3112</v>
      </c>
      <c r="F168" s="697" t="s">
        <v>3417</v>
      </c>
    </row>
    <row r="169">
      <c r="A169" s="896">
        <v>2.0</v>
      </c>
      <c r="B169" s="702" t="s">
        <v>755</v>
      </c>
      <c r="C169" s="697">
        <f t="shared" si="6"/>
        <v>16</v>
      </c>
      <c r="D169" s="889" t="s">
        <v>3418</v>
      </c>
      <c r="E169" s="696" t="s">
        <v>3289</v>
      </c>
      <c r="F169" s="697" t="s">
        <v>3419</v>
      </c>
    </row>
    <row r="170">
      <c r="A170" s="896">
        <v>3.0</v>
      </c>
      <c r="B170" s="702" t="s">
        <v>827</v>
      </c>
      <c r="C170" s="697">
        <f t="shared" si="6"/>
        <v>24</v>
      </c>
      <c r="D170" s="889" t="s">
        <v>3420</v>
      </c>
      <c r="E170" s="696" t="s">
        <v>3095</v>
      </c>
      <c r="F170" s="697" t="s">
        <v>3421</v>
      </c>
    </row>
    <row r="171">
      <c r="A171" s="896">
        <v>4.0</v>
      </c>
      <c r="B171" s="702" t="s">
        <v>3422</v>
      </c>
      <c r="C171" s="697">
        <f t="shared" si="6"/>
        <v>32</v>
      </c>
      <c r="D171" s="889" t="s">
        <v>3423</v>
      </c>
      <c r="E171" s="696" t="s">
        <v>3116</v>
      </c>
      <c r="F171" s="697"/>
    </row>
    <row r="172">
      <c r="A172" s="896">
        <v>5.0</v>
      </c>
      <c r="B172" s="702" t="s">
        <v>3424</v>
      </c>
      <c r="C172" s="697">
        <f t="shared" si="6"/>
        <v>40</v>
      </c>
      <c r="D172" s="889" t="s">
        <v>3425</v>
      </c>
      <c r="E172" s="696" t="s">
        <v>3116</v>
      </c>
      <c r="F172" s="697" t="s">
        <v>3426</v>
      </c>
    </row>
    <row r="173">
      <c r="A173" s="702">
        <v>6.0</v>
      </c>
      <c r="B173" s="702" t="s">
        <v>3427</v>
      </c>
      <c r="C173" s="697">
        <f t="shared" si="6"/>
        <v>48</v>
      </c>
      <c r="D173" s="889" t="s">
        <v>3428</v>
      </c>
      <c r="E173" s="696" t="s">
        <v>3116</v>
      </c>
      <c r="F173" s="697" t="s">
        <v>3429</v>
      </c>
    </row>
    <row r="174">
      <c r="A174" s="913">
        <v>7.0</v>
      </c>
      <c r="B174" s="914" t="s">
        <v>850</v>
      </c>
      <c r="C174" s="697">
        <f t="shared" si="6"/>
        <v>56</v>
      </c>
      <c r="D174" s="915" t="s">
        <v>3430</v>
      </c>
      <c r="E174" s="894" t="s">
        <v>3095</v>
      </c>
      <c r="F174" s="916" t="s">
        <v>3431</v>
      </c>
    </row>
    <row r="175">
      <c r="A175" s="917">
        <v>8.0</v>
      </c>
      <c r="B175" s="918" t="s">
        <v>3432</v>
      </c>
      <c r="C175" s="697">
        <f t="shared" si="6"/>
        <v>64</v>
      </c>
      <c r="D175" s="915" t="s">
        <v>3433</v>
      </c>
      <c r="E175" s="894" t="s">
        <v>3139</v>
      </c>
      <c r="F175" s="916" t="s">
        <v>3419</v>
      </c>
    </row>
    <row r="176">
      <c r="A176" s="896">
        <v>9.0</v>
      </c>
      <c r="B176" s="702" t="s">
        <v>1582</v>
      </c>
      <c r="C176" s="697">
        <f t="shared" si="6"/>
        <v>72</v>
      </c>
      <c r="D176" s="889" t="s">
        <v>3434</v>
      </c>
      <c r="E176" s="696" t="s">
        <v>3116</v>
      </c>
      <c r="F176" s="697"/>
    </row>
    <row r="177">
      <c r="A177" s="896">
        <v>10.0</v>
      </c>
      <c r="B177" s="702" t="s">
        <v>3435</v>
      </c>
      <c r="C177" s="697">
        <f t="shared" si="6"/>
        <v>80</v>
      </c>
      <c r="D177" s="889" t="s">
        <v>3436</v>
      </c>
      <c r="E177" s="696" t="s">
        <v>3116</v>
      </c>
      <c r="F177" s="697"/>
    </row>
    <row r="178">
      <c r="A178" s="896">
        <v>11.0</v>
      </c>
      <c r="B178" s="702" t="s">
        <v>3437</v>
      </c>
      <c r="C178" s="697">
        <f t="shared" si="6"/>
        <v>88</v>
      </c>
      <c r="D178" s="889" t="s">
        <v>3438</v>
      </c>
      <c r="E178" s="696" t="s">
        <v>3095</v>
      </c>
      <c r="F178" s="697"/>
    </row>
    <row r="179">
      <c r="A179" s="896">
        <v>12.0</v>
      </c>
      <c r="B179" s="702" t="s">
        <v>3439</v>
      </c>
      <c r="C179" s="697">
        <f t="shared" si="6"/>
        <v>96</v>
      </c>
      <c r="D179" s="889" t="s">
        <v>3440</v>
      </c>
      <c r="E179" s="696" t="s">
        <v>3116</v>
      </c>
      <c r="F179" s="697"/>
    </row>
    <row r="180">
      <c r="A180" s="896">
        <v>13.0</v>
      </c>
      <c r="B180" s="702" t="s">
        <v>3441</v>
      </c>
      <c r="C180" s="697">
        <f t="shared" si="6"/>
        <v>104</v>
      </c>
      <c r="D180" s="889" t="s">
        <v>3442</v>
      </c>
      <c r="E180" s="696" t="s">
        <v>3116</v>
      </c>
      <c r="F180" s="697"/>
    </row>
    <row r="181">
      <c r="A181" s="702">
        <v>14.0</v>
      </c>
      <c r="B181" s="702" t="s">
        <v>3443</v>
      </c>
      <c r="C181" s="697">
        <f t="shared" si="6"/>
        <v>112</v>
      </c>
      <c r="D181" s="889" t="s">
        <v>3444</v>
      </c>
      <c r="E181" s="696" t="s">
        <v>3101</v>
      </c>
      <c r="F181" s="697"/>
    </row>
    <row r="182">
      <c r="A182" s="702">
        <v>15.0</v>
      </c>
      <c r="B182" s="702" t="s">
        <v>3445</v>
      </c>
      <c r="C182" s="697">
        <f t="shared" si="6"/>
        <v>120</v>
      </c>
      <c r="D182" s="889" t="s">
        <v>3446</v>
      </c>
      <c r="E182" s="696" t="s">
        <v>3116</v>
      </c>
      <c r="F182" s="697"/>
    </row>
    <row r="183">
      <c r="A183" s="913">
        <v>16.0</v>
      </c>
      <c r="B183" s="914" t="s">
        <v>3447</v>
      </c>
      <c r="C183" s="697">
        <f t="shared" si="6"/>
        <v>128</v>
      </c>
      <c r="D183" s="915" t="s">
        <v>3448</v>
      </c>
      <c r="E183" s="894" t="s">
        <v>3112</v>
      </c>
      <c r="F183" s="916"/>
    </row>
    <row r="184">
      <c r="A184" s="917">
        <v>17.0</v>
      </c>
      <c r="B184" s="918" t="s">
        <v>3449</v>
      </c>
      <c r="C184" s="697">
        <f t="shared" si="6"/>
        <v>136</v>
      </c>
      <c r="D184" s="915" t="s">
        <v>3450</v>
      </c>
      <c r="E184" s="894" t="s">
        <v>3116</v>
      </c>
      <c r="F184" s="916"/>
    </row>
    <row r="185">
      <c r="A185" s="917">
        <v>18.0</v>
      </c>
      <c r="B185" s="918" t="s">
        <v>3451</v>
      </c>
      <c r="C185" s="697">
        <f t="shared" si="6"/>
        <v>144</v>
      </c>
      <c r="D185" s="915" t="s">
        <v>3452</v>
      </c>
      <c r="E185" s="894" t="s">
        <v>3116</v>
      </c>
      <c r="F185" s="919"/>
    </row>
    <row r="186">
      <c r="A186" s="920">
        <v>19.0</v>
      </c>
      <c r="B186" s="921" t="s">
        <v>3453</v>
      </c>
      <c r="C186" s="697">
        <f t="shared" si="6"/>
        <v>152</v>
      </c>
      <c r="D186" s="922" t="s">
        <v>3454</v>
      </c>
      <c r="E186" s="894" t="s">
        <v>3095</v>
      </c>
      <c r="F186" s="923"/>
    </row>
    <row r="187">
      <c r="A187" s="917">
        <v>20.0</v>
      </c>
      <c r="B187" s="918" t="s">
        <v>3455</v>
      </c>
      <c r="C187" s="697">
        <f t="shared" si="6"/>
        <v>160</v>
      </c>
      <c r="D187" s="915" t="s">
        <v>3456</v>
      </c>
      <c r="E187" s="894" t="s">
        <v>3116</v>
      </c>
      <c r="F187" s="919"/>
    </row>
    <row r="188">
      <c r="A188" s="896">
        <v>21.0</v>
      </c>
      <c r="B188" s="702" t="s">
        <v>3457</v>
      </c>
      <c r="C188" s="697">
        <f t="shared" si="6"/>
        <v>168</v>
      </c>
      <c r="D188" s="889" t="s">
        <v>3458</v>
      </c>
      <c r="E188" s="696" t="s">
        <v>3101</v>
      </c>
      <c r="F188" s="697"/>
    </row>
    <row r="189">
      <c r="A189" s="702">
        <v>22.0</v>
      </c>
      <c r="B189" s="702" t="s">
        <v>3459</v>
      </c>
      <c r="C189" s="697">
        <f t="shared" si="6"/>
        <v>176</v>
      </c>
      <c r="D189" s="889" t="s">
        <v>3460</v>
      </c>
      <c r="E189" s="696" t="s">
        <v>3116</v>
      </c>
      <c r="F189" s="697"/>
    </row>
    <row r="190">
      <c r="A190" s="702">
        <v>23.0</v>
      </c>
      <c r="B190" s="702" t="s">
        <v>1494</v>
      </c>
      <c r="C190" s="697">
        <f t="shared" si="6"/>
        <v>184</v>
      </c>
      <c r="D190" s="889" t="s">
        <v>3461</v>
      </c>
      <c r="E190" s="696" t="s">
        <v>3116</v>
      </c>
      <c r="F190" s="697"/>
    </row>
    <row r="191">
      <c r="A191" s="913">
        <v>24.0</v>
      </c>
      <c r="B191" s="914" t="s">
        <v>3462</v>
      </c>
      <c r="C191" s="697">
        <f t="shared" si="6"/>
        <v>192</v>
      </c>
      <c r="D191" s="915" t="s">
        <v>3463</v>
      </c>
      <c r="E191" s="894" t="s">
        <v>3289</v>
      </c>
      <c r="F191" s="916"/>
    </row>
    <row r="192">
      <c r="A192" s="917">
        <v>25.0</v>
      </c>
      <c r="B192" s="918" t="s">
        <v>3464</v>
      </c>
      <c r="C192" s="697">
        <f t="shared" si="6"/>
        <v>200</v>
      </c>
      <c r="D192" s="915" t="s">
        <v>3465</v>
      </c>
      <c r="E192" s="894" t="s">
        <v>3248</v>
      </c>
      <c r="F192" s="916"/>
    </row>
    <row r="193">
      <c r="A193" s="917">
        <v>26.0</v>
      </c>
      <c r="B193" s="918" t="s">
        <v>3466</v>
      </c>
      <c r="C193" s="697">
        <f t="shared" si="6"/>
        <v>208</v>
      </c>
      <c r="D193" s="915" t="s">
        <v>3467</v>
      </c>
      <c r="E193" s="894" t="s">
        <v>3101</v>
      </c>
      <c r="F193" s="919"/>
    </row>
    <row r="194">
      <c r="A194" s="920">
        <v>27.0</v>
      </c>
      <c r="B194" s="921" t="s">
        <v>3468</v>
      </c>
      <c r="C194" s="697">
        <f t="shared" si="6"/>
        <v>216</v>
      </c>
      <c r="D194" s="922" t="s">
        <v>3469</v>
      </c>
      <c r="E194" s="894" t="s">
        <v>3116</v>
      </c>
      <c r="F194" s="923"/>
    </row>
    <row r="195">
      <c r="A195" s="917">
        <v>28.0</v>
      </c>
      <c r="B195" s="918" t="s">
        <v>3470</v>
      </c>
      <c r="C195" s="697">
        <f t="shared" si="6"/>
        <v>224</v>
      </c>
      <c r="D195" s="915" t="s">
        <v>3471</v>
      </c>
      <c r="E195" s="894" t="s">
        <v>3116</v>
      </c>
      <c r="F195" s="919"/>
    </row>
    <row r="196">
      <c r="A196" s="681"/>
      <c r="B196" s="681"/>
      <c r="C196" s="681"/>
      <c r="D196" s="681"/>
      <c r="E196" s="681"/>
      <c r="F196" s="681"/>
    </row>
  </sheetData>
  <conditionalFormatting sqref="A150:F150">
    <cfRule type="notContainsBlanks" dxfId="31" priority="1">
      <formula>LEN(TRIM(A150))&gt;0</formula>
    </cfRule>
  </conditionalFormatting>
  <dataValidations>
    <dataValidation type="list" allowBlank="1" showErrorMessage="1" sqref="E2:E71 E80:E93 E99:E106 E112:E125 E130:E145 E151:E162 E168:E195">
      <formula1>"Exploration,Gene Sim,Arena,Tadpole Pond,Fungus Farm,Time Machine,Lumber Camp,Quarry,Koryeo,Yamato,Cathay,Murika,Britland,Kemet,Hellas,Bharata,Rift,Biozilla,Dung Beetle,Surf Clam,Goldfish,Hamster,Mantis,Minion Sim,Prarie Sanctum,Desert Sanctum,Swamp Sanctu"&amp;"m,Arctic Sanctum,Forest Sanctum,Quantum Amp"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7.82"/>
    <col customWidth="1" min="2" max="2" width="7.09"/>
    <col customWidth="1" min="3" max="3" width="29.91"/>
    <col customWidth="1" min="5" max="5" width="7.82"/>
    <col customWidth="1" min="6" max="6" width="6.45"/>
    <col customWidth="1" min="7" max="7" width="17.82"/>
  </cols>
  <sheetData>
    <row r="2">
      <c r="A2" s="163"/>
      <c r="B2" s="684"/>
      <c r="C2" s="164" t="s">
        <v>3472</v>
      </c>
      <c r="E2" s="163"/>
      <c r="F2" s="684"/>
      <c r="G2" s="164" t="s">
        <v>3473</v>
      </c>
    </row>
    <row r="3">
      <c r="A3" s="924" t="s">
        <v>9</v>
      </c>
      <c r="B3" s="8" t="s">
        <v>8</v>
      </c>
      <c r="C3" s="697" t="s">
        <v>2556</v>
      </c>
      <c r="E3" s="924" t="s">
        <v>9</v>
      </c>
      <c r="F3" s="8" t="s">
        <v>8</v>
      </c>
      <c r="G3" s="697" t="s">
        <v>3474</v>
      </c>
    </row>
    <row r="4">
      <c r="A4" s="924" t="s">
        <v>9</v>
      </c>
      <c r="B4" s="8" t="s">
        <v>54</v>
      </c>
      <c r="C4" s="697" t="s">
        <v>3475</v>
      </c>
      <c r="E4" s="924" t="s">
        <v>9</v>
      </c>
      <c r="F4" s="8" t="s">
        <v>8</v>
      </c>
      <c r="G4" s="697" t="s">
        <v>3476</v>
      </c>
    </row>
    <row r="5">
      <c r="A5" s="924" t="s">
        <v>9</v>
      </c>
      <c r="B5" s="8" t="s">
        <v>15</v>
      </c>
      <c r="C5" s="697" t="s">
        <v>1342</v>
      </c>
      <c r="E5" s="144" t="s">
        <v>16</v>
      </c>
      <c r="F5" s="8" t="s">
        <v>8</v>
      </c>
      <c r="G5" s="697" t="s">
        <v>1019</v>
      </c>
    </row>
    <row r="6">
      <c r="A6" s="924" t="s">
        <v>9</v>
      </c>
      <c r="B6" s="8" t="s">
        <v>19</v>
      </c>
      <c r="C6" s="697" t="s">
        <v>1332</v>
      </c>
      <c r="E6" s="144" t="s">
        <v>16</v>
      </c>
      <c r="F6" s="8" t="s">
        <v>8</v>
      </c>
      <c r="G6" s="697" t="s">
        <v>1120</v>
      </c>
    </row>
    <row r="7">
      <c r="A7" s="924" t="s">
        <v>9</v>
      </c>
      <c r="B7" s="8" t="s">
        <v>19</v>
      </c>
      <c r="C7" s="697" t="s">
        <v>3477</v>
      </c>
      <c r="E7" s="144" t="s">
        <v>20</v>
      </c>
      <c r="F7" s="8" t="s">
        <v>8</v>
      </c>
      <c r="G7" s="697" t="s">
        <v>3478</v>
      </c>
    </row>
    <row r="8">
      <c r="A8" s="144" t="s">
        <v>16</v>
      </c>
      <c r="B8" s="8" t="s">
        <v>8</v>
      </c>
      <c r="C8" s="697" t="s">
        <v>712</v>
      </c>
      <c r="E8" s="144" t="s">
        <v>20</v>
      </c>
      <c r="F8" s="8" t="s">
        <v>8</v>
      </c>
      <c r="G8" s="697" t="s">
        <v>1034</v>
      </c>
    </row>
    <row r="9">
      <c r="A9" s="144" t="s">
        <v>16</v>
      </c>
      <c r="B9" s="8" t="s">
        <v>54</v>
      </c>
      <c r="C9" s="697" t="s">
        <v>652</v>
      </c>
      <c r="E9" s="144" t="s">
        <v>12</v>
      </c>
      <c r="F9" s="8" t="s">
        <v>8</v>
      </c>
      <c r="G9" s="697" t="s">
        <v>833</v>
      </c>
    </row>
    <row r="10">
      <c r="A10" s="144" t="s">
        <v>16</v>
      </c>
      <c r="B10" s="8" t="s">
        <v>15</v>
      </c>
      <c r="C10" s="697" t="s">
        <v>3479</v>
      </c>
      <c r="E10" s="144" t="s">
        <v>12</v>
      </c>
      <c r="F10" s="8" t="s">
        <v>8</v>
      </c>
      <c r="G10" s="697" t="s">
        <v>3480</v>
      </c>
    </row>
    <row r="11">
      <c r="A11" s="144" t="s">
        <v>16</v>
      </c>
      <c r="B11" s="8" t="s">
        <v>141</v>
      </c>
      <c r="C11" s="697" t="s">
        <v>1027</v>
      </c>
      <c r="E11" s="144" t="s">
        <v>40</v>
      </c>
      <c r="F11" s="8" t="s">
        <v>8</v>
      </c>
      <c r="G11" s="697" t="s">
        <v>892</v>
      </c>
    </row>
    <row r="12">
      <c r="A12" s="144" t="s">
        <v>16</v>
      </c>
      <c r="B12" s="8" t="s">
        <v>141</v>
      </c>
      <c r="C12" s="697" t="s">
        <v>3481</v>
      </c>
      <c r="E12" s="52" t="s">
        <v>40</v>
      </c>
      <c r="F12" s="96" t="s">
        <v>8</v>
      </c>
      <c r="G12" s="707" t="s">
        <v>1077</v>
      </c>
    </row>
    <row r="13">
      <c r="A13" s="144" t="s">
        <v>16</v>
      </c>
      <c r="B13" s="8" t="s">
        <v>141</v>
      </c>
      <c r="C13" s="697" t="s">
        <v>3482</v>
      </c>
    </row>
    <row r="14">
      <c r="A14" s="144" t="s">
        <v>16</v>
      </c>
      <c r="B14" s="8" t="s">
        <v>19</v>
      </c>
      <c r="C14" s="697" t="s">
        <v>3483</v>
      </c>
    </row>
    <row r="15">
      <c r="A15" s="144" t="s">
        <v>16</v>
      </c>
      <c r="B15" s="8" t="s">
        <v>19</v>
      </c>
      <c r="C15" s="697" t="s">
        <v>1362</v>
      </c>
    </row>
    <row r="16">
      <c r="A16" s="144" t="s">
        <v>20</v>
      </c>
      <c r="B16" s="8" t="s">
        <v>8</v>
      </c>
      <c r="C16" s="697" t="s">
        <v>1090</v>
      </c>
    </row>
    <row r="17">
      <c r="A17" s="144" t="s">
        <v>20</v>
      </c>
      <c r="B17" s="8" t="s">
        <v>96</v>
      </c>
      <c r="C17" s="697" t="s">
        <v>930</v>
      </c>
    </row>
    <row r="18">
      <c r="A18" s="144" t="s">
        <v>20</v>
      </c>
      <c r="B18" s="8" t="s">
        <v>15</v>
      </c>
      <c r="C18" s="697" t="s">
        <v>1371</v>
      </c>
    </row>
    <row r="19">
      <c r="A19" s="144" t="s">
        <v>20</v>
      </c>
      <c r="B19" s="8" t="s">
        <v>15</v>
      </c>
      <c r="C19" s="697" t="s">
        <v>970</v>
      </c>
    </row>
    <row r="20">
      <c r="A20" s="144" t="s">
        <v>20</v>
      </c>
      <c r="B20" s="8" t="s">
        <v>15</v>
      </c>
      <c r="C20" s="697" t="s">
        <v>3484</v>
      </c>
    </row>
    <row r="21">
      <c r="A21" s="144" t="s">
        <v>20</v>
      </c>
      <c r="B21" s="8" t="s">
        <v>19</v>
      </c>
      <c r="C21" s="697" t="s">
        <v>3485</v>
      </c>
    </row>
    <row r="22">
      <c r="A22" s="144" t="s">
        <v>20</v>
      </c>
      <c r="B22" s="8" t="s">
        <v>19</v>
      </c>
      <c r="C22" s="697" t="s">
        <v>3486</v>
      </c>
    </row>
    <row r="23">
      <c r="A23" s="144" t="s">
        <v>20</v>
      </c>
      <c r="B23" s="8" t="s">
        <v>19</v>
      </c>
      <c r="C23" s="697" t="s">
        <v>1016</v>
      </c>
    </row>
    <row r="24">
      <c r="A24" s="144" t="s">
        <v>12</v>
      </c>
      <c r="B24" s="8" t="s">
        <v>8</v>
      </c>
      <c r="C24" s="697" t="s">
        <v>938</v>
      </c>
    </row>
    <row r="25">
      <c r="A25" s="144" t="s">
        <v>12</v>
      </c>
      <c r="B25" s="8" t="s">
        <v>15</v>
      </c>
      <c r="C25" s="697" t="s">
        <v>977</v>
      </c>
    </row>
    <row r="26">
      <c r="A26" s="144" t="s">
        <v>12</v>
      </c>
      <c r="B26" s="8" t="s">
        <v>141</v>
      </c>
      <c r="C26" s="697" t="s">
        <v>1486</v>
      </c>
    </row>
    <row r="27">
      <c r="A27" s="144" t="s">
        <v>12</v>
      </c>
      <c r="B27" s="8" t="s">
        <v>417</v>
      </c>
      <c r="C27" s="697" t="s">
        <v>3487</v>
      </c>
    </row>
    <row r="28">
      <c r="A28" s="144" t="s">
        <v>40</v>
      </c>
      <c r="B28" s="8" t="s">
        <v>8</v>
      </c>
      <c r="C28" s="697" t="s">
        <v>1094</v>
      </c>
    </row>
    <row r="29">
      <c r="A29" s="144" t="s">
        <v>40</v>
      </c>
      <c r="B29" s="8" t="s">
        <v>54</v>
      </c>
      <c r="C29" s="697" t="s">
        <v>1525</v>
      </c>
    </row>
    <row r="30">
      <c r="A30" s="144" t="s">
        <v>40</v>
      </c>
      <c r="B30" s="8" t="s">
        <v>15</v>
      </c>
      <c r="C30" s="697" t="s">
        <v>1086</v>
      </c>
    </row>
    <row r="31">
      <c r="A31" s="144" t="s">
        <v>40</v>
      </c>
      <c r="B31" s="8" t="s">
        <v>19</v>
      </c>
      <c r="C31" s="697" t="s">
        <v>3488</v>
      </c>
    </row>
    <row r="32">
      <c r="A32" s="52" t="s">
        <v>40</v>
      </c>
      <c r="B32" s="96" t="s">
        <v>19</v>
      </c>
      <c r="C32" s="707" t="s">
        <v>3489</v>
      </c>
    </row>
  </sheetData>
  <dataValidations>
    <dataValidation type="list" allowBlank="1" showErrorMessage="1" sqref="F3:F12 B3:B32">
      <formula1>"SSS,SS,S,AAA,AA,A,Blue,Green"</formula1>
    </dataValidation>
    <dataValidation type="list" allowBlank="1" showErrorMessage="1" sqref="E3:E12 A3:A32">
      <formula1>"FAME,ART,FTH,CIV,TECH"</formula1>
    </dataValidation>
  </dataValidations>
  <drawing r:id="rId1"/>
  <tableParts count="2"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3" max="3" width="25.55"/>
    <col customWidth="1" min="6" max="6" width="16.45"/>
    <col customWidth="1" min="9" max="9" width="16.18"/>
    <col customWidth="1" min="12" max="12" width="17.55"/>
    <col customWidth="1" min="15" max="15" width="18.0"/>
  </cols>
  <sheetData>
    <row r="1">
      <c r="A1" s="925" t="s">
        <v>3473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926"/>
      <c r="O1" s="505"/>
    </row>
    <row r="2">
      <c r="A2" s="927" t="s">
        <v>9</v>
      </c>
      <c r="B2" s="687"/>
      <c r="C2" s="688"/>
      <c r="D2" s="928" t="s">
        <v>16</v>
      </c>
      <c r="E2" s="687"/>
      <c r="F2" s="688"/>
      <c r="G2" s="927" t="s">
        <v>20</v>
      </c>
      <c r="H2" s="687"/>
      <c r="I2" s="687"/>
      <c r="J2" s="928" t="s">
        <v>12</v>
      </c>
      <c r="K2" s="687"/>
      <c r="L2" s="688"/>
      <c r="M2" s="927" t="s">
        <v>40</v>
      </c>
      <c r="N2" s="687"/>
      <c r="O2" s="688"/>
    </row>
    <row r="3">
      <c r="A3" s="929" t="s">
        <v>9</v>
      </c>
      <c r="B3" s="930" t="s">
        <v>8</v>
      </c>
      <c r="C3" s="931" t="s">
        <v>3490</v>
      </c>
      <c r="D3" s="932" t="s">
        <v>16</v>
      </c>
      <c r="E3" s="930" t="s">
        <v>8</v>
      </c>
      <c r="F3" s="931" t="s">
        <v>712</v>
      </c>
      <c r="G3" s="933" t="s">
        <v>20</v>
      </c>
      <c r="H3" s="934" t="s">
        <v>8</v>
      </c>
      <c r="I3" s="935" t="s">
        <v>1090</v>
      </c>
      <c r="J3" s="932" t="s">
        <v>12</v>
      </c>
      <c r="K3" s="930" t="s">
        <v>8</v>
      </c>
      <c r="L3" s="936" t="s">
        <v>1126</v>
      </c>
      <c r="M3" s="932" t="s">
        <v>40</v>
      </c>
      <c r="N3" s="930" t="s">
        <v>8</v>
      </c>
      <c r="O3" s="936" t="s">
        <v>1169</v>
      </c>
    </row>
    <row r="4">
      <c r="A4" s="937" t="s">
        <v>9</v>
      </c>
      <c r="B4" s="938" t="s">
        <v>8</v>
      </c>
      <c r="C4" s="939" t="s">
        <v>3491</v>
      </c>
      <c r="D4" s="571" t="s">
        <v>16</v>
      </c>
      <c r="E4" s="938" t="s">
        <v>8</v>
      </c>
      <c r="F4" s="939" t="s">
        <v>2600</v>
      </c>
      <c r="G4" s="940" t="s">
        <v>20</v>
      </c>
      <c r="H4" s="941" t="s">
        <v>8</v>
      </c>
      <c r="I4" s="942" t="s">
        <v>654</v>
      </c>
      <c r="J4" s="571" t="s">
        <v>12</v>
      </c>
      <c r="K4" s="938" t="s">
        <v>8</v>
      </c>
      <c r="L4" s="939" t="s">
        <v>938</v>
      </c>
      <c r="M4" s="571" t="s">
        <v>40</v>
      </c>
      <c r="N4" s="938" t="s">
        <v>8</v>
      </c>
      <c r="O4" s="943" t="s">
        <v>894</v>
      </c>
    </row>
    <row r="5">
      <c r="A5" s="929" t="s">
        <v>9</v>
      </c>
      <c r="B5" s="930" t="s">
        <v>8</v>
      </c>
      <c r="C5" s="931" t="s">
        <v>3492</v>
      </c>
      <c r="D5" s="932" t="s">
        <v>16</v>
      </c>
      <c r="E5" s="930" t="s">
        <v>8</v>
      </c>
      <c r="F5" s="931" t="s">
        <v>1364</v>
      </c>
      <c r="G5" s="933" t="s">
        <v>20</v>
      </c>
      <c r="H5" s="934" t="s">
        <v>8</v>
      </c>
      <c r="I5" s="935" t="s">
        <v>3493</v>
      </c>
      <c r="J5" s="932" t="s">
        <v>12</v>
      </c>
      <c r="K5" s="930" t="s">
        <v>8</v>
      </c>
      <c r="L5" s="931" t="s">
        <v>1576</v>
      </c>
      <c r="M5" s="932" t="s">
        <v>40</v>
      </c>
      <c r="N5" s="930" t="s">
        <v>8</v>
      </c>
      <c r="O5" s="931" t="s">
        <v>1270</v>
      </c>
    </row>
    <row r="6">
      <c r="A6" s="937" t="s">
        <v>9</v>
      </c>
      <c r="B6" s="938" t="s">
        <v>8</v>
      </c>
      <c r="C6" s="943" t="s">
        <v>3494</v>
      </c>
      <c r="D6" s="571" t="s">
        <v>16</v>
      </c>
      <c r="E6" s="938" t="s">
        <v>8</v>
      </c>
      <c r="F6" s="939" t="s">
        <v>3495</v>
      </c>
      <c r="G6" s="940" t="s">
        <v>20</v>
      </c>
      <c r="H6" s="941" t="s">
        <v>8</v>
      </c>
      <c r="I6" s="944" t="s">
        <v>1612</v>
      </c>
      <c r="J6" s="571" t="s">
        <v>12</v>
      </c>
      <c r="K6" s="938" t="s">
        <v>8</v>
      </c>
      <c r="L6" s="943" t="s">
        <v>3496</v>
      </c>
      <c r="M6" s="571" t="s">
        <v>40</v>
      </c>
      <c r="N6" s="938" t="s">
        <v>8</v>
      </c>
      <c r="O6" s="939" t="s">
        <v>1094</v>
      </c>
    </row>
    <row r="7">
      <c r="A7" s="929" t="s">
        <v>9</v>
      </c>
      <c r="B7" s="930" t="s">
        <v>8</v>
      </c>
      <c r="C7" s="931" t="s">
        <v>3497</v>
      </c>
      <c r="D7" s="932" t="s">
        <v>16</v>
      </c>
      <c r="E7" s="930" t="s">
        <v>8</v>
      </c>
      <c r="F7" s="936" t="s">
        <v>3498</v>
      </c>
      <c r="G7" s="933" t="s">
        <v>20</v>
      </c>
      <c r="H7" s="934" t="s">
        <v>54</v>
      </c>
      <c r="I7" s="935" t="s">
        <v>1515</v>
      </c>
      <c r="J7" s="932" t="s">
        <v>12</v>
      </c>
      <c r="K7" s="930" t="s">
        <v>8</v>
      </c>
      <c r="L7" s="936" t="s">
        <v>3499</v>
      </c>
      <c r="M7" s="932" t="s">
        <v>40</v>
      </c>
      <c r="N7" s="930" t="s">
        <v>8</v>
      </c>
      <c r="O7" s="936" t="s">
        <v>2613</v>
      </c>
    </row>
    <row r="8">
      <c r="A8" s="937" t="s">
        <v>9</v>
      </c>
      <c r="B8" s="938" t="s">
        <v>8</v>
      </c>
      <c r="C8" s="939" t="s">
        <v>1437</v>
      </c>
      <c r="D8" s="571" t="s">
        <v>16</v>
      </c>
      <c r="E8" s="938" t="s">
        <v>8</v>
      </c>
      <c r="F8" s="939" t="s">
        <v>1170</v>
      </c>
      <c r="G8" s="940" t="s">
        <v>20</v>
      </c>
      <c r="H8" s="941" t="s">
        <v>54</v>
      </c>
      <c r="I8" s="942" t="s">
        <v>878</v>
      </c>
      <c r="J8" s="571" t="s">
        <v>12</v>
      </c>
      <c r="K8" s="938" t="s">
        <v>8</v>
      </c>
      <c r="L8" s="943" t="s">
        <v>3500</v>
      </c>
      <c r="M8" s="571" t="s">
        <v>40</v>
      </c>
      <c r="N8" s="938" t="s">
        <v>8</v>
      </c>
      <c r="O8" s="943" t="s">
        <v>3501</v>
      </c>
    </row>
    <row r="9">
      <c r="A9" s="929" t="s">
        <v>9</v>
      </c>
      <c r="B9" s="930" t="s">
        <v>8</v>
      </c>
      <c r="C9" s="931" t="s">
        <v>2556</v>
      </c>
      <c r="D9" s="932" t="s">
        <v>16</v>
      </c>
      <c r="E9" s="930" t="s">
        <v>8</v>
      </c>
      <c r="F9" s="931" t="s">
        <v>747</v>
      </c>
      <c r="G9" s="933" t="s">
        <v>20</v>
      </c>
      <c r="H9" s="934" t="s">
        <v>54</v>
      </c>
      <c r="I9" s="935" t="s">
        <v>1478</v>
      </c>
      <c r="J9" s="932" t="s">
        <v>12</v>
      </c>
      <c r="K9" s="930" t="s">
        <v>8</v>
      </c>
      <c r="L9" s="931" t="s">
        <v>976</v>
      </c>
      <c r="M9" s="932" t="s">
        <v>40</v>
      </c>
      <c r="N9" s="930" t="s">
        <v>8</v>
      </c>
      <c r="O9" s="931" t="s">
        <v>721</v>
      </c>
    </row>
    <row r="10">
      <c r="A10" s="937" t="s">
        <v>9</v>
      </c>
      <c r="B10" s="938" t="s">
        <v>8</v>
      </c>
      <c r="C10" s="939" t="s">
        <v>3502</v>
      </c>
      <c r="D10" s="571" t="s">
        <v>16</v>
      </c>
      <c r="E10" s="938" t="s">
        <v>8</v>
      </c>
      <c r="F10" s="939" t="s">
        <v>812</v>
      </c>
      <c r="G10" s="940" t="s">
        <v>20</v>
      </c>
      <c r="H10" s="941" t="s">
        <v>54</v>
      </c>
      <c r="I10" s="942" t="s">
        <v>825</v>
      </c>
      <c r="J10" s="571" t="s">
        <v>12</v>
      </c>
      <c r="K10" s="938" t="s">
        <v>8</v>
      </c>
      <c r="L10" s="939" t="s">
        <v>1622</v>
      </c>
      <c r="M10" s="571" t="s">
        <v>40</v>
      </c>
      <c r="N10" s="938" t="s">
        <v>54</v>
      </c>
      <c r="O10" s="939" t="s">
        <v>1525</v>
      </c>
    </row>
    <row r="11">
      <c r="A11" s="929" t="s">
        <v>9</v>
      </c>
      <c r="B11" s="930" t="s">
        <v>8</v>
      </c>
      <c r="C11" s="931" t="s">
        <v>3503</v>
      </c>
      <c r="D11" s="932" t="s">
        <v>16</v>
      </c>
      <c r="E11" s="930" t="s">
        <v>8</v>
      </c>
      <c r="F11" s="931" t="s">
        <v>810</v>
      </c>
      <c r="G11" s="933" t="s">
        <v>20</v>
      </c>
      <c r="H11" s="934" t="s">
        <v>96</v>
      </c>
      <c r="I11" s="935" t="s">
        <v>826</v>
      </c>
      <c r="J11" s="932" t="s">
        <v>12</v>
      </c>
      <c r="K11" s="930" t="s">
        <v>8</v>
      </c>
      <c r="L11" s="936" t="s">
        <v>3504</v>
      </c>
      <c r="M11" s="932" t="s">
        <v>40</v>
      </c>
      <c r="N11" s="930" t="s">
        <v>54</v>
      </c>
      <c r="O11" s="931" t="s">
        <v>1060</v>
      </c>
    </row>
    <row r="12">
      <c r="A12" s="571" t="s">
        <v>9</v>
      </c>
      <c r="B12" s="938" t="s">
        <v>8</v>
      </c>
      <c r="C12" s="939" t="s">
        <v>2572</v>
      </c>
      <c r="D12" s="571" t="s">
        <v>16</v>
      </c>
      <c r="E12" s="938" t="s">
        <v>8</v>
      </c>
      <c r="F12" s="939" t="s">
        <v>1396</v>
      </c>
      <c r="G12" s="940" t="s">
        <v>20</v>
      </c>
      <c r="H12" s="941" t="s">
        <v>96</v>
      </c>
      <c r="I12" s="942" t="s">
        <v>930</v>
      </c>
      <c r="J12" s="571" t="s">
        <v>12</v>
      </c>
      <c r="K12" s="938" t="s">
        <v>8</v>
      </c>
      <c r="L12" s="939" t="s">
        <v>1477</v>
      </c>
      <c r="M12" s="571" t="s">
        <v>40</v>
      </c>
      <c r="N12" s="938" t="s">
        <v>54</v>
      </c>
      <c r="O12" s="939" t="s">
        <v>1049</v>
      </c>
    </row>
    <row r="13">
      <c r="A13" s="932" t="s">
        <v>9</v>
      </c>
      <c r="B13" s="930" t="s">
        <v>54</v>
      </c>
      <c r="C13" s="931" t="s">
        <v>651</v>
      </c>
      <c r="D13" s="932" t="s">
        <v>16</v>
      </c>
      <c r="E13" s="930" t="s">
        <v>54</v>
      </c>
      <c r="F13" s="931" t="s">
        <v>817</v>
      </c>
      <c r="G13" s="933" t="s">
        <v>20</v>
      </c>
      <c r="H13" s="934" t="s">
        <v>15</v>
      </c>
      <c r="I13" s="935" t="s">
        <v>3505</v>
      </c>
      <c r="J13" s="932" t="s">
        <v>12</v>
      </c>
      <c r="K13" s="930" t="s">
        <v>54</v>
      </c>
      <c r="L13" s="931" t="s">
        <v>657</v>
      </c>
      <c r="M13" s="932" t="s">
        <v>40</v>
      </c>
      <c r="N13" s="930" t="s">
        <v>54</v>
      </c>
      <c r="O13" s="931" t="s">
        <v>660</v>
      </c>
    </row>
    <row r="14">
      <c r="A14" s="571" t="s">
        <v>9</v>
      </c>
      <c r="B14" s="938" t="s">
        <v>54</v>
      </c>
      <c r="C14" s="939" t="s">
        <v>1054</v>
      </c>
      <c r="D14" s="571" t="s">
        <v>16</v>
      </c>
      <c r="E14" s="938" t="s">
        <v>54</v>
      </c>
      <c r="F14" s="939" t="s">
        <v>713</v>
      </c>
      <c r="G14" s="940" t="s">
        <v>20</v>
      </c>
      <c r="H14" s="941" t="s">
        <v>15</v>
      </c>
      <c r="I14" s="942" t="s">
        <v>1470</v>
      </c>
      <c r="J14" s="571" t="s">
        <v>12</v>
      </c>
      <c r="K14" s="938" t="s">
        <v>54</v>
      </c>
      <c r="L14" s="939" t="s">
        <v>2498</v>
      </c>
      <c r="M14" s="571" t="s">
        <v>40</v>
      </c>
      <c r="N14" s="938" t="s">
        <v>96</v>
      </c>
      <c r="O14" s="939" t="s">
        <v>2508</v>
      </c>
    </row>
    <row r="15">
      <c r="A15" s="932" t="s">
        <v>9</v>
      </c>
      <c r="B15" s="930" t="s">
        <v>54</v>
      </c>
      <c r="C15" s="931" t="s">
        <v>1316</v>
      </c>
      <c r="D15" s="932" t="s">
        <v>16</v>
      </c>
      <c r="E15" s="930" t="s">
        <v>54</v>
      </c>
      <c r="F15" s="931" t="s">
        <v>1015</v>
      </c>
      <c r="G15" s="933" t="s">
        <v>20</v>
      </c>
      <c r="H15" s="934" t="s">
        <v>15</v>
      </c>
      <c r="I15" s="935" t="s">
        <v>1371</v>
      </c>
      <c r="J15" s="932" t="s">
        <v>12</v>
      </c>
      <c r="K15" s="930" t="s">
        <v>54</v>
      </c>
      <c r="L15" s="931" t="s">
        <v>1369</v>
      </c>
      <c r="M15" s="932" t="s">
        <v>40</v>
      </c>
      <c r="N15" s="930" t="s">
        <v>96</v>
      </c>
      <c r="O15" s="931" t="s">
        <v>1523</v>
      </c>
    </row>
    <row r="16">
      <c r="A16" s="571" t="s">
        <v>9</v>
      </c>
      <c r="B16" s="938" t="s">
        <v>54</v>
      </c>
      <c r="C16" s="939" t="s">
        <v>1064</v>
      </c>
      <c r="D16" s="571" t="s">
        <v>16</v>
      </c>
      <c r="E16" s="938" t="s">
        <v>54</v>
      </c>
      <c r="F16" s="939" t="s">
        <v>652</v>
      </c>
      <c r="G16" s="940" t="s">
        <v>20</v>
      </c>
      <c r="H16" s="941" t="s">
        <v>15</v>
      </c>
      <c r="I16" s="942" t="s">
        <v>1592</v>
      </c>
      <c r="J16" s="571" t="s">
        <v>12</v>
      </c>
      <c r="K16" s="938" t="s">
        <v>54</v>
      </c>
      <c r="L16" s="939" t="s">
        <v>2567</v>
      </c>
      <c r="M16" s="571" t="s">
        <v>40</v>
      </c>
      <c r="N16" s="938" t="s">
        <v>15</v>
      </c>
      <c r="O16" s="939" t="s">
        <v>1086</v>
      </c>
    </row>
    <row r="17">
      <c r="A17" s="932" t="s">
        <v>9</v>
      </c>
      <c r="B17" s="930" t="s">
        <v>96</v>
      </c>
      <c r="C17" s="931" t="s">
        <v>739</v>
      </c>
      <c r="D17" s="932" t="s">
        <v>16</v>
      </c>
      <c r="E17" s="930" t="s">
        <v>96</v>
      </c>
      <c r="F17" s="931" t="s">
        <v>957</v>
      </c>
      <c r="G17" s="933" t="s">
        <v>20</v>
      </c>
      <c r="H17" s="934" t="s">
        <v>15</v>
      </c>
      <c r="I17" s="935" t="s">
        <v>3506</v>
      </c>
      <c r="J17" s="932" t="s">
        <v>12</v>
      </c>
      <c r="K17" s="930" t="s">
        <v>96</v>
      </c>
      <c r="L17" s="931" t="s">
        <v>1474</v>
      </c>
      <c r="M17" s="932" t="s">
        <v>40</v>
      </c>
      <c r="N17" s="930" t="s">
        <v>15</v>
      </c>
      <c r="O17" s="931" t="s">
        <v>1318</v>
      </c>
    </row>
    <row r="18">
      <c r="A18" s="571" t="s">
        <v>9</v>
      </c>
      <c r="B18" s="938" t="s">
        <v>96</v>
      </c>
      <c r="C18" s="939" t="s">
        <v>738</v>
      </c>
      <c r="D18" s="571" t="s">
        <v>16</v>
      </c>
      <c r="E18" s="938" t="s">
        <v>96</v>
      </c>
      <c r="F18" s="939" t="s">
        <v>2561</v>
      </c>
      <c r="G18" s="940" t="s">
        <v>20</v>
      </c>
      <c r="H18" s="941" t="s">
        <v>15</v>
      </c>
      <c r="I18" s="942" t="s">
        <v>1449</v>
      </c>
      <c r="J18" s="571" t="s">
        <v>12</v>
      </c>
      <c r="K18" s="938" t="s">
        <v>96</v>
      </c>
      <c r="L18" s="939" t="s">
        <v>3507</v>
      </c>
      <c r="M18" s="571" t="s">
        <v>40</v>
      </c>
      <c r="N18" s="938" t="s">
        <v>15</v>
      </c>
      <c r="O18" s="939" t="s">
        <v>3508</v>
      </c>
    </row>
    <row r="19">
      <c r="A19" s="932" t="s">
        <v>9</v>
      </c>
      <c r="B19" s="930" t="s">
        <v>15</v>
      </c>
      <c r="C19" s="931" t="s">
        <v>3509</v>
      </c>
      <c r="D19" s="932" t="s">
        <v>16</v>
      </c>
      <c r="E19" s="930" t="s">
        <v>15</v>
      </c>
      <c r="F19" s="931" t="s">
        <v>1137</v>
      </c>
      <c r="G19" s="933" t="s">
        <v>20</v>
      </c>
      <c r="H19" s="934" t="s">
        <v>15</v>
      </c>
      <c r="I19" s="935" t="s">
        <v>1467</v>
      </c>
      <c r="J19" s="932" t="s">
        <v>12</v>
      </c>
      <c r="K19" s="930" t="s">
        <v>15</v>
      </c>
      <c r="L19" s="931" t="s">
        <v>1480</v>
      </c>
      <c r="M19" s="932" t="s">
        <v>40</v>
      </c>
      <c r="N19" s="930" t="s">
        <v>15</v>
      </c>
      <c r="O19" s="931" t="s">
        <v>3510</v>
      </c>
    </row>
    <row r="20">
      <c r="A20" s="571" t="s">
        <v>9</v>
      </c>
      <c r="B20" s="938" t="s">
        <v>15</v>
      </c>
      <c r="C20" s="939" t="s">
        <v>1342</v>
      </c>
      <c r="D20" s="571" t="s">
        <v>16</v>
      </c>
      <c r="E20" s="938" t="s">
        <v>15</v>
      </c>
      <c r="F20" s="939" t="s">
        <v>1472</v>
      </c>
      <c r="G20" s="940" t="s">
        <v>20</v>
      </c>
      <c r="H20" s="941" t="s">
        <v>15</v>
      </c>
      <c r="I20" s="942" t="s">
        <v>1421</v>
      </c>
      <c r="J20" s="571" t="s">
        <v>12</v>
      </c>
      <c r="K20" s="938" t="s">
        <v>15</v>
      </c>
      <c r="L20" s="939" t="s">
        <v>3511</v>
      </c>
      <c r="M20" s="571" t="s">
        <v>40</v>
      </c>
      <c r="N20" s="938" t="s">
        <v>15</v>
      </c>
      <c r="O20" s="939" t="s">
        <v>1527</v>
      </c>
    </row>
    <row r="21">
      <c r="A21" s="932" t="s">
        <v>9</v>
      </c>
      <c r="B21" s="930" t="s">
        <v>15</v>
      </c>
      <c r="C21" s="931" t="s">
        <v>1347</v>
      </c>
      <c r="D21" s="932" t="s">
        <v>16</v>
      </c>
      <c r="E21" s="930" t="s">
        <v>15</v>
      </c>
      <c r="F21" s="931" t="s">
        <v>1623</v>
      </c>
      <c r="G21" s="945" t="s">
        <v>20</v>
      </c>
      <c r="H21" s="946" t="s">
        <v>15</v>
      </c>
      <c r="I21" s="947" t="s">
        <v>3512</v>
      </c>
      <c r="J21" s="932" t="s">
        <v>12</v>
      </c>
      <c r="K21" s="930" t="s">
        <v>15</v>
      </c>
      <c r="L21" s="931" t="s">
        <v>3513</v>
      </c>
      <c r="M21" s="932" t="s">
        <v>40</v>
      </c>
      <c r="N21" s="930" t="s">
        <v>15</v>
      </c>
      <c r="O21" s="931" t="s">
        <v>3514</v>
      </c>
    </row>
    <row r="22">
      <c r="A22" s="571" t="s">
        <v>9</v>
      </c>
      <c r="B22" s="938" t="s">
        <v>15</v>
      </c>
      <c r="C22" s="939" t="s">
        <v>1596</v>
      </c>
      <c r="D22" s="571" t="s">
        <v>16</v>
      </c>
      <c r="E22" s="938" t="s">
        <v>15</v>
      </c>
      <c r="F22" s="939" t="s">
        <v>3515</v>
      </c>
      <c r="G22" s="948"/>
      <c r="H22" s="948"/>
      <c r="I22" s="948"/>
      <c r="J22" s="571" t="s">
        <v>12</v>
      </c>
      <c r="K22" s="938" t="s">
        <v>15</v>
      </c>
      <c r="L22" s="939" t="s">
        <v>1575</v>
      </c>
      <c r="M22" s="571" t="s">
        <v>40</v>
      </c>
      <c r="N22" s="938" t="s">
        <v>15</v>
      </c>
      <c r="O22" s="939" t="s">
        <v>1035</v>
      </c>
    </row>
    <row r="23">
      <c r="A23" s="932" t="s">
        <v>9</v>
      </c>
      <c r="B23" s="930" t="s">
        <v>15</v>
      </c>
      <c r="C23" s="931" t="s">
        <v>1543</v>
      </c>
      <c r="D23" s="932" t="s">
        <v>16</v>
      </c>
      <c r="E23" s="930" t="s">
        <v>15</v>
      </c>
      <c r="F23" s="931" t="s">
        <v>3516</v>
      </c>
      <c r="G23" s="949"/>
      <c r="H23" s="949"/>
      <c r="I23" s="949"/>
      <c r="J23" s="932" t="s">
        <v>12</v>
      </c>
      <c r="K23" s="930" t="s">
        <v>15</v>
      </c>
      <c r="L23" s="931" t="s">
        <v>1331</v>
      </c>
      <c r="M23" s="932" t="s">
        <v>40</v>
      </c>
      <c r="N23" s="930" t="s">
        <v>15</v>
      </c>
      <c r="O23" s="931" t="s">
        <v>3517</v>
      </c>
    </row>
    <row r="24">
      <c r="A24" s="571" t="s">
        <v>9</v>
      </c>
      <c r="B24" s="938" t="s">
        <v>15</v>
      </c>
      <c r="C24" s="939" t="s">
        <v>1496</v>
      </c>
      <c r="D24" s="571" t="s">
        <v>16</v>
      </c>
      <c r="E24" s="938" t="s">
        <v>15</v>
      </c>
      <c r="F24" s="939" t="s">
        <v>3479</v>
      </c>
      <c r="G24" s="948"/>
      <c r="H24" s="948"/>
      <c r="I24" s="948"/>
      <c r="J24" s="571" t="s">
        <v>12</v>
      </c>
      <c r="K24" s="938" t="s">
        <v>15</v>
      </c>
      <c r="L24" s="939" t="s">
        <v>3518</v>
      </c>
      <c r="M24" s="950" t="s">
        <v>40</v>
      </c>
      <c r="N24" s="951" t="s">
        <v>15</v>
      </c>
      <c r="O24" s="952" t="s">
        <v>1039</v>
      </c>
    </row>
    <row r="25">
      <c r="A25" s="932" t="s">
        <v>9</v>
      </c>
      <c r="B25" s="930" t="s">
        <v>15</v>
      </c>
      <c r="C25" s="931" t="s">
        <v>3519</v>
      </c>
      <c r="D25" s="932" t="s">
        <v>16</v>
      </c>
      <c r="E25" s="930" t="s">
        <v>15</v>
      </c>
      <c r="F25" s="931" t="s">
        <v>1416</v>
      </c>
      <c r="G25" s="949"/>
      <c r="H25" s="949"/>
      <c r="I25" s="949"/>
      <c r="J25" s="932" t="s">
        <v>12</v>
      </c>
      <c r="K25" s="930" t="s">
        <v>15</v>
      </c>
      <c r="L25" s="931" t="s">
        <v>3520</v>
      </c>
      <c r="M25" s="949"/>
      <c r="N25" s="949"/>
      <c r="O25" s="953"/>
    </row>
    <row r="26">
      <c r="A26" s="571" t="s">
        <v>9</v>
      </c>
      <c r="B26" s="938" t="s">
        <v>15</v>
      </c>
      <c r="C26" s="939" t="s">
        <v>1091</v>
      </c>
      <c r="D26" s="571" t="s">
        <v>16</v>
      </c>
      <c r="E26" s="938" t="s">
        <v>15</v>
      </c>
      <c r="F26" s="939" t="s">
        <v>3521</v>
      </c>
      <c r="G26" s="948"/>
      <c r="H26" s="948"/>
      <c r="I26" s="948"/>
      <c r="J26" s="571" t="s">
        <v>12</v>
      </c>
      <c r="K26" s="938" t="s">
        <v>15</v>
      </c>
      <c r="L26" s="939" t="s">
        <v>1614</v>
      </c>
      <c r="M26" s="948"/>
      <c r="N26" s="948"/>
      <c r="O26" s="954"/>
    </row>
    <row r="27">
      <c r="A27" s="955" t="s">
        <v>9</v>
      </c>
      <c r="B27" s="956" t="s">
        <v>15</v>
      </c>
      <c r="C27" s="957" t="s">
        <v>1536</v>
      </c>
      <c r="D27" s="955" t="s">
        <v>16</v>
      </c>
      <c r="E27" s="956" t="s">
        <v>15</v>
      </c>
      <c r="F27" s="957" t="s">
        <v>1134</v>
      </c>
      <c r="G27" s="958"/>
      <c r="H27" s="958"/>
      <c r="I27" s="958"/>
      <c r="J27" s="955" t="s">
        <v>12</v>
      </c>
      <c r="K27" s="956" t="s">
        <v>15</v>
      </c>
      <c r="L27" s="957" t="s">
        <v>1506</v>
      </c>
      <c r="M27" s="958"/>
      <c r="N27" s="958"/>
      <c r="O27" s="959"/>
    </row>
    <row r="28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</row>
    <row r="42">
      <c r="A42" s="960" t="s">
        <v>3522</v>
      </c>
      <c r="B42" s="961"/>
      <c r="C42" s="962"/>
    </row>
    <row r="43">
      <c r="A43" s="963" t="s">
        <v>9</v>
      </c>
      <c r="B43" s="124" t="s">
        <v>8</v>
      </c>
      <c r="C43" s="175" t="s">
        <v>1541</v>
      </c>
    </row>
    <row r="44">
      <c r="A44" s="924" t="s">
        <v>9</v>
      </c>
      <c r="B44" s="8" t="s">
        <v>8</v>
      </c>
      <c r="C44" s="108" t="s">
        <v>1657</v>
      </c>
    </row>
    <row r="45">
      <c r="A45" s="924" t="s">
        <v>9</v>
      </c>
      <c r="B45" s="8" t="s">
        <v>8</v>
      </c>
      <c r="C45" s="108" t="s">
        <v>1438</v>
      </c>
    </row>
    <row r="46">
      <c r="A46" s="924" t="s">
        <v>9</v>
      </c>
      <c r="B46" s="8" t="s">
        <v>8</v>
      </c>
      <c r="C46" s="108" t="s">
        <v>1345</v>
      </c>
    </row>
    <row r="47">
      <c r="A47" s="924" t="s">
        <v>16</v>
      </c>
      <c r="B47" s="8" t="s">
        <v>8</v>
      </c>
      <c r="C47" s="108" t="s">
        <v>2544</v>
      </c>
    </row>
    <row r="48">
      <c r="A48" s="924" t="s">
        <v>16</v>
      </c>
      <c r="B48" s="8" t="s">
        <v>8</v>
      </c>
      <c r="C48" s="108" t="s">
        <v>1272</v>
      </c>
    </row>
    <row r="49">
      <c r="A49" s="924" t="s">
        <v>16</v>
      </c>
      <c r="B49" s="8" t="s">
        <v>8</v>
      </c>
      <c r="C49" s="108" t="s">
        <v>3523</v>
      </c>
    </row>
    <row r="50">
      <c r="A50" s="924" t="s">
        <v>20</v>
      </c>
      <c r="B50" s="8" t="s">
        <v>8</v>
      </c>
      <c r="C50" s="108" t="s">
        <v>1133</v>
      </c>
    </row>
    <row r="51">
      <c r="A51" s="924" t="s">
        <v>20</v>
      </c>
      <c r="B51" s="8" t="s">
        <v>8</v>
      </c>
      <c r="C51" s="108" t="s">
        <v>3524</v>
      </c>
    </row>
    <row r="52">
      <c r="A52" s="924" t="s">
        <v>20</v>
      </c>
      <c r="B52" s="8" t="s">
        <v>8</v>
      </c>
      <c r="C52" s="108" t="s">
        <v>1068</v>
      </c>
    </row>
    <row r="53">
      <c r="A53" s="924" t="s">
        <v>20</v>
      </c>
      <c r="B53" s="8" t="s">
        <v>8</v>
      </c>
      <c r="C53" s="108" t="s">
        <v>1420</v>
      </c>
    </row>
    <row r="54">
      <c r="A54" s="924" t="s">
        <v>12</v>
      </c>
      <c r="B54" s="8" t="s">
        <v>8</v>
      </c>
      <c r="C54" s="108" t="s">
        <v>1206</v>
      </c>
    </row>
    <row r="55">
      <c r="A55" s="924" t="s">
        <v>12</v>
      </c>
      <c r="B55" s="8" t="s">
        <v>8</v>
      </c>
      <c r="C55" s="108" t="s">
        <v>1085</v>
      </c>
    </row>
    <row r="56">
      <c r="A56" s="924" t="s">
        <v>12</v>
      </c>
      <c r="B56" s="8" t="s">
        <v>8</v>
      </c>
      <c r="C56" s="108" t="s">
        <v>3525</v>
      </c>
    </row>
    <row r="57">
      <c r="A57" s="924" t="s">
        <v>12</v>
      </c>
      <c r="B57" s="8" t="s">
        <v>8</v>
      </c>
      <c r="C57" s="108" t="s">
        <v>3526</v>
      </c>
    </row>
    <row r="58">
      <c r="A58" s="924" t="s">
        <v>40</v>
      </c>
      <c r="B58" s="8" t="s">
        <v>8</v>
      </c>
      <c r="C58" s="108" t="s">
        <v>1026</v>
      </c>
    </row>
    <row r="59">
      <c r="A59" s="924" t="s">
        <v>40</v>
      </c>
      <c r="B59" s="8" t="s">
        <v>8</v>
      </c>
      <c r="C59" s="108" t="s">
        <v>1535</v>
      </c>
    </row>
    <row r="60">
      <c r="A60" s="924" t="s">
        <v>40</v>
      </c>
      <c r="B60" s="8" t="s">
        <v>8</v>
      </c>
      <c r="C60" s="108" t="s">
        <v>719</v>
      </c>
    </row>
    <row r="61">
      <c r="A61" s="964" t="s">
        <v>40</v>
      </c>
      <c r="B61" s="96" t="s">
        <v>8</v>
      </c>
      <c r="C61" s="965" t="s">
        <v>1244</v>
      </c>
    </row>
  </sheetData>
  <mergeCells count="6">
    <mergeCell ref="A1:O1"/>
    <mergeCell ref="A2:C2"/>
    <mergeCell ref="D2:F2"/>
    <mergeCell ref="G2:I2"/>
    <mergeCell ref="J2:L2"/>
    <mergeCell ref="M2:O2"/>
  </mergeCells>
  <dataValidations>
    <dataValidation type="list" allowBlank="1" showErrorMessage="1" sqref="H3:H21 N3:N24 B3:B27 E3:E27 K3:K27 B43:B61">
      <formula1>"SSS,SS,S,AAA,AA,A,Blue,Green"</formula1>
    </dataValidation>
    <dataValidation type="list" allowBlank="1" showErrorMessage="1" sqref="G3:G21 M3:M24 A3:A27 D3:D27 J3:J27 A43:A61">
      <formula1>"FAME,ART,FTH,CIV,TECH"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9.18" defaultRowHeight="15.0"/>
  <cols>
    <col customWidth="1" min="1" max="1" width="16.82"/>
    <col customWidth="1" min="4" max="4" width="17.45"/>
    <col customWidth="1" min="5" max="5" width="8.82"/>
    <col customWidth="1" min="6" max="6" width="102.91"/>
  </cols>
  <sheetData>
    <row r="1">
      <c r="A1" s="966" t="s">
        <v>0</v>
      </c>
      <c r="B1" s="967" t="s">
        <v>1</v>
      </c>
      <c r="C1" s="967" t="s">
        <v>2</v>
      </c>
      <c r="D1" s="967" t="s">
        <v>3527</v>
      </c>
      <c r="E1" s="967" t="s">
        <v>3528</v>
      </c>
      <c r="F1" s="437" t="s">
        <v>5</v>
      </c>
    </row>
    <row r="2">
      <c r="A2" s="144" t="s">
        <v>2542</v>
      </c>
      <c r="B2" s="8" t="s">
        <v>8</v>
      </c>
      <c r="C2" s="415" t="s">
        <v>9</v>
      </c>
      <c r="D2" s="968" t="s">
        <v>2458</v>
      </c>
      <c r="E2" s="8">
        <v>4.0</v>
      </c>
      <c r="F2" s="92" t="s">
        <v>3529</v>
      </c>
    </row>
    <row r="3">
      <c r="A3" s="144" t="s">
        <v>3300</v>
      </c>
      <c r="B3" s="8" t="s">
        <v>8</v>
      </c>
      <c r="C3" s="415" t="s">
        <v>16</v>
      </c>
      <c r="D3" s="968" t="s">
        <v>2454</v>
      </c>
      <c r="E3" s="8">
        <v>10.0</v>
      </c>
      <c r="F3" s="92" t="s">
        <v>3530</v>
      </c>
    </row>
    <row r="4">
      <c r="A4" s="144" t="s">
        <v>594</v>
      </c>
      <c r="B4" s="8" t="s">
        <v>8</v>
      </c>
      <c r="C4" s="8" t="s">
        <v>40</v>
      </c>
      <c r="D4" s="968" t="s">
        <v>3531</v>
      </c>
      <c r="E4" s="91">
        <v>20.0</v>
      </c>
      <c r="F4" s="92" t="s">
        <v>209</v>
      </c>
    </row>
    <row r="5">
      <c r="A5" s="144" t="s">
        <v>3532</v>
      </c>
      <c r="B5" s="8" t="s">
        <v>8</v>
      </c>
      <c r="C5" s="8" t="s">
        <v>20</v>
      </c>
      <c r="D5" s="968" t="s">
        <v>3533</v>
      </c>
      <c r="E5" s="91">
        <v>1.0</v>
      </c>
      <c r="F5" s="92" t="s">
        <v>2359</v>
      </c>
    </row>
    <row r="6">
      <c r="A6" s="144" t="s">
        <v>1643</v>
      </c>
      <c r="B6" s="8" t="s">
        <v>8</v>
      </c>
      <c r="C6" s="8" t="s">
        <v>9</v>
      </c>
      <c r="D6" s="968" t="s">
        <v>1851</v>
      </c>
      <c r="E6" s="91">
        <v>20.0</v>
      </c>
      <c r="F6" s="137" t="s">
        <v>1165</v>
      </c>
    </row>
    <row r="7">
      <c r="A7" s="144" t="s">
        <v>1659</v>
      </c>
      <c r="B7" s="8" t="s">
        <v>8</v>
      </c>
      <c r="C7" s="8" t="s">
        <v>16</v>
      </c>
      <c r="D7" s="968" t="s">
        <v>1851</v>
      </c>
      <c r="E7" s="91">
        <v>20.0</v>
      </c>
      <c r="F7" s="92" t="s">
        <v>1660</v>
      </c>
    </row>
    <row r="8">
      <c r="A8" s="144" t="s">
        <v>1690</v>
      </c>
      <c r="B8" s="8" t="s">
        <v>8</v>
      </c>
      <c r="C8" s="8" t="s">
        <v>20</v>
      </c>
      <c r="D8" s="968" t="s">
        <v>1851</v>
      </c>
      <c r="E8" s="91">
        <v>20.0</v>
      </c>
      <c r="F8" s="137" t="s">
        <v>3534</v>
      </c>
    </row>
    <row r="9">
      <c r="A9" s="144" t="s">
        <v>1595</v>
      </c>
      <c r="B9" s="8" t="s">
        <v>8</v>
      </c>
      <c r="C9" s="8" t="s">
        <v>16</v>
      </c>
      <c r="D9" s="968" t="s">
        <v>1851</v>
      </c>
      <c r="E9" s="91">
        <v>20.0</v>
      </c>
      <c r="F9" s="92" t="s">
        <v>3535</v>
      </c>
    </row>
    <row r="10">
      <c r="A10" s="144" t="s">
        <v>1679</v>
      </c>
      <c r="B10" s="8" t="s">
        <v>8</v>
      </c>
      <c r="C10" s="8" t="s">
        <v>20</v>
      </c>
      <c r="D10" s="968" t="s">
        <v>1851</v>
      </c>
      <c r="E10" s="91">
        <v>10.0</v>
      </c>
      <c r="F10" s="137" t="s">
        <v>3536</v>
      </c>
    </row>
    <row r="11">
      <c r="A11" s="144" t="s">
        <v>3537</v>
      </c>
      <c r="B11" s="8" t="s">
        <v>8</v>
      </c>
      <c r="C11" s="8" t="s">
        <v>40</v>
      </c>
      <c r="D11" s="968" t="s">
        <v>1851</v>
      </c>
      <c r="E11" s="91">
        <v>10.0</v>
      </c>
      <c r="F11" s="137" t="s">
        <v>3538</v>
      </c>
    </row>
    <row r="12">
      <c r="A12" s="144" t="s">
        <v>1693</v>
      </c>
      <c r="B12" s="8" t="s">
        <v>8</v>
      </c>
      <c r="C12" s="8" t="s">
        <v>12</v>
      </c>
      <c r="D12" s="968" t="s">
        <v>1851</v>
      </c>
      <c r="E12" s="91">
        <v>10.0</v>
      </c>
      <c r="F12" s="137" t="s">
        <v>3539</v>
      </c>
    </row>
    <row r="13">
      <c r="A13" s="144" t="s">
        <v>1661</v>
      </c>
      <c r="B13" s="8" t="s">
        <v>8</v>
      </c>
      <c r="C13" s="8" t="s">
        <v>16</v>
      </c>
      <c r="D13" s="968" t="s">
        <v>1851</v>
      </c>
      <c r="E13" s="91">
        <v>10.0</v>
      </c>
      <c r="F13" s="137" t="s">
        <v>3540</v>
      </c>
    </row>
    <row r="14">
      <c r="A14" s="144" t="s">
        <v>1202</v>
      </c>
      <c r="B14" s="8" t="s">
        <v>8</v>
      </c>
      <c r="C14" s="8" t="s">
        <v>12</v>
      </c>
      <c r="D14" s="968" t="s">
        <v>1851</v>
      </c>
      <c r="E14" s="91">
        <v>10.0</v>
      </c>
      <c r="F14" s="137" t="s">
        <v>3541</v>
      </c>
    </row>
    <row r="15">
      <c r="A15" s="317" t="s">
        <v>1385</v>
      </c>
      <c r="B15" s="192" t="s">
        <v>8</v>
      </c>
      <c r="C15" s="192" t="s">
        <v>9</v>
      </c>
      <c r="D15" s="968" t="s">
        <v>1851</v>
      </c>
      <c r="E15" s="319">
        <v>10.0</v>
      </c>
      <c r="F15" s="322" t="s">
        <v>3542</v>
      </c>
    </row>
    <row r="16">
      <c r="A16" s="317" t="s">
        <v>1645</v>
      </c>
      <c r="B16" s="192" t="s">
        <v>8</v>
      </c>
      <c r="C16" s="192" t="s">
        <v>9</v>
      </c>
      <c r="D16" s="968" t="s">
        <v>1851</v>
      </c>
      <c r="E16" s="319">
        <v>10.0</v>
      </c>
      <c r="F16" s="322" t="s">
        <v>3543</v>
      </c>
    </row>
    <row r="17">
      <c r="A17" s="144" t="s">
        <v>1678</v>
      </c>
      <c r="B17" s="8" t="s">
        <v>8</v>
      </c>
      <c r="C17" s="8" t="s">
        <v>20</v>
      </c>
      <c r="D17" s="968" t="s">
        <v>1851</v>
      </c>
      <c r="E17" s="319">
        <v>10.0</v>
      </c>
      <c r="F17" s="137" t="s">
        <v>3544</v>
      </c>
    </row>
    <row r="18">
      <c r="A18" s="144" t="s">
        <v>3545</v>
      </c>
      <c r="B18" s="8" t="s">
        <v>54</v>
      </c>
      <c r="C18" s="8" t="s">
        <v>16</v>
      </c>
      <c r="D18" s="968" t="s">
        <v>3546</v>
      </c>
      <c r="E18" s="8">
        <v>20.0</v>
      </c>
      <c r="F18" s="137" t="s">
        <v>3547</v>
      </c>
    </row>
    <row r="19">
      <c r="A19" s="144" t="s">
        <v>3548</v>
      </c>
      <c r="B19" s="8" t="s">
        <v>8</v>
      </c>
      <c r="C19" s="8" t="s">
        <v>12</v>
      </c>
      <c r="D19" s="968" t="s">
        <v>3546</v>
      </c>
      <c r="E19" s="8">
        <v>20.0</v>
      </c>
      <c r="F19" s="207" t="s">
        <v>1322</v>
      </c>
    </row>
    <row r="20">
      <c r="A20" s="144" t="s">
        <v>2638</v>
      </c>
      <c r="B20" s="8" t="s">
        <v>8</v>
      </c>
      <c r="C20" s="8" t="s">
        <v>40</v>
      </c>
      <c r="D20" s="968" t="s">
        <v>3549</v>
      </c>
      <c r="E20" s="8">
        <v>20.0</v>
      </c>
      <c r="F20" s="137" t="s">
        <v>3547</v>
      </c>
    </row>
    <row r="21">
      <c r="A21" s="144" t="s">
        <v>3550</v>
      </c>
      <c r="B21" s="8" t="s">
        <v>54</v>
      </c>
      <c r="C21" s="8" t="s">
        <v>20</v>
      </c>
      <c r="D21" s="968" t="s">
        <v>3551</v>
      </c>
      <c r="E21" s="8">
        <v>4.0</v>
      </c>
      <c r="F21" s="137" t="s">
        <v>3552</v>
      </c>
    </row>
    <row r="22">
      <c r="A22" s="144" t="s">
        <v>3553</v>
      </c>
      <c r="B22" s="8" t="s">
        <v>54</v>
      </c>
      <c r="C22" s="8" t="s">
        <v>12</v>
      </c>
      <c r="D22" s="968" t="s">
        <v>3554</v>
      </c>
      <c r="E22" s="8">
        <v>20.0</v>
      </c>
      <c r="F22" s="137" t="s">
        <v>3552</v>
      </c>
    </row>
    <row r="23">
      <c r="A23" s="144" t="s">
        <v>2645</v>
      </c>
      <c r="B23" s="8" t="s">
        <v>8</v>
      </c>
      <c r="C23" s="8" t="s">
        <v>12</v>
      </c>
      <c r="D23" s="968" t="s">
        <v>3555</v>
      </c>
      <c r="E23" s="8">
        <v>4.0</v>
      </c>
      <c r="F23" s="137" t="s">
        <v>3547</v>
      </c>
    </row>
    <row r="24">
      <c r="A24" s="144" t="s">
        <v>584</v>
      </c>
      <c r="B24" s="8" t="s">
        <v>96</v>
      </c>
      <c r="C24" s="8" t="s">
        <v>20</v>
      </c>
      <c r="D24" s="968" t="s">
        <v>3556</v>
      </c>
      <c r="E24" s="8">
        <v>20.0</v>
      </c>
      <c r="F24" s="137" t="s">
        <v>3557</v>
      </c>
    </row>
    <row r="25">
      <c r="A25" s="144" t="s">
        <v>835</v>
      </c>
      <c r="B25" s="8" t="s">
        <v>8</v>
      </c>
      <c r="C25" s="8" t="s">
        <v>12</v>
      </c>
      <c r="D25" s="968" t="s">
        <v>3556</v>
      </c>
      <c r="E25" s="8">
        <v>20.0</v>
      </c>
      <c r="F25" s="137" t="s">
        <v>3558</v>
      </c>
    </row>
    <row r="26">
      <c r="A26" s="144" t="s">
        <v>3559</v>
      </c>
      <c r="B26" s="8" t="s">
        <v>8</v>
      </c>
      <c r="C26" s="8" t="s">
        <v>16</v>
      </c>
      <c r="D26" s="968" t="s">
        <v>3556</v>
      </c>
      <c r="E26" s="8">
        <v>20.0</v>
      </c>
      <c r="F26" s="137" t="s">
        <v>3560</v>
      </c>
    </row>
    <row r="27">
      <c r="A27" s="144" t="s">
        <v>3561</v>
      </c>
      <c r="B27" s="8" t="s">
        <v>54</v>
      </c>
      <c r="C27" s="8" t="s">
        <v>20</v>
      </c>
      <c r="D27" s="968" t="s">
        <v>3562</v>
      </c>
      <c r="E27" s="91">
        <v>4.0</v>
      </c>
      <c r="F27" s="137" t="s">
        <v>3563</v>
      </c>
    </row>
    <row r="28">
      <c r="A28" s="144" t="s">
        <v>3564</v>
      </c>
      <c r="B28" s="8" t="s">
        <v>54</v>
      </c>
      <c r="C28" s="8" t="s">
        <v>12</v>
      </c>
      <c r="D28" s="968" t="s">
        <v>3562</v>
      </c>
      <c r="E28" s="91">
        <v>4.0</v>
      </c>
      <c r="F28" s="137" t="s">
        <v>3565</v>
      </c>
    </row>
    <row r="29">
      <c r="A29" s="144" t="s">
        <v>718</v>
      </c>
      <c r="B29" s="8" t="s">
        <v>8</v>
      </c>
      <c r="C29" s="8" t="s">
        <v>12</v>
      </c>
      <c r="D29" s="968" t="s">
        <v>3566</v>
      </c>
      <c r="E29" s="91">
        <v>4.0</v>
      </c>
      <c r="F29" s="137" t="s">
        <v>3567</v>
      </c>
    </row>
    <row r="30">
      <c r="A30" s="144" t="s">
        <v>3568</v>
      </c>
      <c r="B30" s="8" t="s">
        <v>8</v>
      </c>
      <c r="C30" s="8" t="s">
        <v>9</v>
      </c>
      <c r="D30" s="968" t="s">
        <v>3566</v>
      </c>
      <c r="E30" s="91">
        <v>4.0</v>
      </c>
      <c r="F30" s="137" t="s">
        <v>3569</v>
      </c>
    </row>
    <row r="31">
      <c r="A31" s="144" t="s">
        <v>878</v>
      </c>
      <c r="B31" s="8" t="s">
        <v>54</v>
      </c>
      <c r="C31" s="8" t="s">
        <v>20</v>
      </c>
      <c r="D31" s="968" t="s">
        <v>3570</v>
      </c>
      <c r="E31" s="91">
        <v>10.0</v>
      </c>
      <c r="F31" s="137" t="s">
        <v>3571</v>
      </c>
    </row>
    <row r="32">
      <c r="A32" s="144" t="s">
        <v>2564</v>
      </c>
      <c r="B32" s="8" t="s">
        <v>8</v>
      </c>
      <c r="C32" s="8" t="s">
        <v>20</v>
      </c>
      <c r="D32" s="968" t="s">
        <v>3570</v>
      </c>
      <c r="E32" s="91">
        <v>6.0</v>
      </c>
      <c r="F32" s="137" t="s">
        <v>3547</v>
      </c>
    </row>
    <row r="33">
      <c r="A33" s="144" t="s">
        <v>982</v>
      </c>
      <c r="B33" s="8" t="s">
        <v>8</v>
      </c>
      <c r="C33" s="8" t="s">
        <v>40</v>
      </c>
      <c r="D33" s="968" t="s">
        <v>3572</v>
      </c>
      <c r="E33" s="91">
        <v>30.0</v>
      </c>
      <c r="F33" s="137" t="s">
        <v>3573</v>
      </c>
    </row>
    <row r="34">
      <c r="A34" s="144" t="s">
        <v>2498</v>
      </c>
      <c r="B34" s="8" t="s">
        <v>54</v>
      </c>
      <c r="C34" s="8" t="s">
        <v>12</v>
      </c>
      <c r="D34" s="968" t="s">
        <v>3572</v>
      </c>
      <c r="E34" s="91">
        <v>10.0</v>
      </c>
      <c r="F34" s="137" t="s">
        <v>3571</v>
      </c>
    </row>
    <row r="35">
      <c r="A35" s="144" t="s">
        <v>3574</v>
      </c>
      <c r="B35" s="8" t="s">
        <v>54</v>
      </c>
      <c r="C35" s="8" t="s">
        <v>12</v>
      </c>
      <c r="D35" s="968" t="s">
        <v>3575</v>
      </c>
      <c r="E35" s="91">
        <v>4.0</v>
      </c>
      <c r="F35" s="137" t="s">
        <v>3576</v>
      </c>
    </row>
    <row r="36">
      <c r="A36" s="144" t="s">
        <v>3263</v>
      </c>
      <c r="B36" s="8" t="s">
        <v>8</v>
      </c>
      <c r="C36" s="8" t="s">
        <v>12</v>
      </c>
      <c r="D36" s="968" t="s">
        <v>3577</v>
      </c>
      <c r="E36" s="91">
        <v>5.0</v>
      </c>
      <c r="F36" s="137" t="s">
        <v>3578</v>
      </c>
    </row>
    <row r="37">
      <c r="A37" s="144" t="s">
        <v>3579</v>
      </c>
      <c r="B37" s="8" t="s">
        <v>8</v>
      </c>
      <c r="C37" s="8" t="s">
        <v>16</v>
      </c>
      <c r="D37" s="968" t="s">
        <v>3577</v>
      </c>
      <c r="E37" s="91">
        <v>5.0</v>
      </c>
      <c r="F37" s="137" t="s">
        <v>3580</v>
      </c>
    </row>
    <row r="38">
      <c r="A38" s="144" t="s">
        <v>939</v>
      </c>
      <c r="B38" s="8" t="s">
        <v>8</v>
      </c>
      <c r="C38" s="8" t="s">
        <v>12</v>
      </c>
      <c r="D38" s="968" t="s">
        <v>3581</v>
      </c>
      <c r="E38" s="91">
        <v>4.0</v>
      </c>
      <c r="F38" s="137" t="s">
        <v>3582</v>
      </c>
    </row>
    <row r="39">
      <c r="A39" s="144" t="s">
        <v>3495</v>
      </c>
      <c r="B39" s="8" t="s">
        <v>8</v>
      </c>
      <c r="C39" s="8" t="s">
        <v>16</v>
      </c>
      <c r="D39" s="968" t="s">
        <v>3583</v>
      </c>
      <c r="E39" s="91">
        <v>4.0</v>
      </c>
      <c r="F39" s="137" t="s">
        <v>811</v>
      </c>
    </row>
    <row r="40">
      <c r="A40" s="144" t="s">
        <v>3584</v>
      </c>
      <c r="B40" s="8" t="s">
        <v>8</v>
      </c>
      <c r="C40" s="8" t="s">
        <v>9</v>
      </c>
      <c r="D40" s="968" t="s">
        <v>3583</v>
      </c>
      <c r="E40" s="91">
        <v>4.0</v>
      </c>
      <c r="F40" s="137" t="s">
        <v>3585</v>
      </c>
    </row>
    <row r="41">
      <c r="A41" s="144" t="s">
        <v>2648</v>
      </c>
      <c r="B41" s="8" t="s">
        <v>8</v>
      </c>
      <c r="C41" s="8" t="s">
        <v>20</v>
      </c>
      <c r="D41" s="968" t="s">
        <v>3586</v>
      </c>
      <c r="E41" s="91">
        <v>10.0</v>
      </c>
      <c r="F41" s="137" t="s">
        <v>3587</v>
      </c>
    </row>
    <row r="42">
      <c r="A42" s="144" t="s">
        <v>2620</v>
      </c>
      <c r="B42" s="8" t="s">
        <v>8</v>
      </c>
      <c r="C42" s="8" t="s">
        <v>16</v>
      </c>
      <c r="D42" s="968" t="s">
        <v>3588</v>
      </c>
      <c r="E42" s="91">
        <v>10.0</v>
      </c>
      <c r="F42" s="137" t="s">
        <v>3589</v>
      </c>
    </row>
    <row r="43">
      <c r="A43" s="144" t="s">
        <v>2640</v>
      </c>
      <c r="B43" s="8" t="s">
        <v>8</v>
      </c>
      <c r="C43" s="8" t="s">
        <v>12</v>
      </c>
      <c r="D43" s="968" t="s">
        <v>3590</v>
      </c>
      <c r="E43" s="91">
        <v>10.0</v>
      </c>
      <c r="F43" s="137" t="s">
        <v>3591</v>
      </c>
    </row>
    <row r="44">
      <c r="A44" s="144" t="s">
        <v>2634</v>
      </c>
      <c r="B44" s="8" t="s">
        <v>8</v>
      </c>
      <c r="C44" s="8" t="s">
        <v>40</v>
      </c>
      <c r="D44" s="968" t="s">
        <v>3592</v>
      </c>
      <c r="E44" s="91">
        <v>10.0</v>
      </c>
      <c r="F44" s="137" t="s">
        <v>3593</v>
      </c>
    </row>
    <row r="45">
      <c r="A45" s="144" t="s">
        <v>3503</v>
      </c>
      <c r="B45" s="8" t="s">
        <v>8</v>
      </c>
      <c r="C45" s="8" t="s">
        <v>9</v>
      </c>
      <c r="D45" s="968" t="s">
        <v>3594</v>
      </c>
      <c r="E45" s="91">
        <v>5.0</v>
      </c>
      <c r="F45" s="137" t="s">
        <v>811</v>
      </c>
    </row>
    <row r="46">
      <c r="A46" s="144" t="s">
        <v>1564</v>
      </c>
      <c r="B46" s="8" t="s">
        <v>54</v>
      </c>
      <c r="C46" s="8" t="s">
        <v>40</v>
      </c>
      <c r="D46" s="968" t="s">
        <v>3595</v>
      </c>
      <c r="E46" s="91">
        <v>20.0</v>
      </c>
      <c r="F46" s="137" t="s">
        <v>3596</v>
      </c>
    </row>
    <row r="47">
      <c r="A47" s="144" t="s">
        <v>3597</v>
      </c>
      <c r="B47" s="8" t="s">
        <v>96</v>
      </c>
      <c r="C47" s="8" t="s">
        <v>9</v>
      </c>
      <c r="D47" s="968" t="s">
        <v>3598</v>
      </c>
      <c r="E47" s="91">
        <v>20.0</v>
      </c>
      <c r="F47" s="137" t="s">
        <v>3599</v>
      </c>
    </row>
    <row r="48">
      <c r="A48" s="144" t="s">
        <v>3600</v>
      </c>
      <c r="B48" s="8" t="s">
        <v>54</v>
      </c>
      <c r="C48" s="8" t="s">
        <v>16</v>
      </c>
      <c r="D48" s="968" t="s">
        <v>3601</v>
      </c>
      <c r="E48" s="91">
        <v>20.0</v>
      </c>
      <c r="F48" s="137" t="s">
        <v>3596</v>
      </c>
    </row>
    <row r="49">
      <c r="A49" s="144" t="s">
        <v>2531</v>
      </c>
      <c r="B49" s="8" t="s">
        <v>54</v>
      </c>
      <c r="C49" s="8" t="s">
        <v>20</v>
      </c>
      <c r="D49" s="968" t="s">
        <v>3602</v>
      </c>
      <c r="E49" s="91">
        <v>20.0</v>
      </c>
      <c r="F49" s="137" t="s">
        <v>3596</v>
      </c>
    </row>
    <row r="50">
      <c r="A50" s="144" t="s">
        <v>2585</v>
      </c>
      <c r="B50" s="8" t="s">
        <v>8</v>
      </c>
      <c r="C50" s="8" t="s">
        <v>12</v>
      </c>
      <c r="D50" s="968" t="s">
        <v>3603</v>
      </c>
      <c r="E50" s="91">
        <v>20.0</v>
      </c>
      <c r="F50" s="137" t="s">
        <v>3547</v>
      </c>
    </row>
    <row r="51">
      <c r="A51" s="144" t="s">
        <v>2507</v>
      </c>
      <c r="B51" s="8" t="s">
        <v>96</v>
      </c>
      <c r="C51" s="8" t="s">
        <v>40</v>
      </c>
      <c r="D51" s="968" t="s">
        <v>3604</v>
      </c>
      <c r="E51" s="91">
        <v>30.0</v>
      </c>
      <c r="F51" s="137" t="s">
        <v>3599</v>
      </c>
    </row>
    <row r="52">
      <c r="A52" s="144" t="s">
        <v>3605</v>
      </c>
      <c r="B52" s="8" t="s">
        <v>8</v>
      </c>
      <c r="C52" s="8" t="s">
        <v>40</v>
      </c>
      <c r="D52" s="968" t="s">
        <v>3606</v>
      </c>
      <c r="E52" s="91">
        <v>5.0</v>
      </c>
      <c r="F52" s="137" t="s">
        <v>3607</v>
      </c>
    </row>
    <row r="53">
      <c r="A53" s="144" t="s">
        <v>3608</v>
      </c>
      <c r="B53" s="8" t="s">
        <v>8</v>
      </c>
      <c r="C53" s="8" t="s">
        <v>20</v>
      </c>
      <c r="D53" s="968" t="s">
        <v>3609</v>
      </c>
      <c r="E53" s="91">
        <v>10.0</v>
      </c>
      <c r="F53" s="207" t="s">
        <v>1322</v>
      </c>
    </row>
    <row r="54">
      <c r="A54" s="144" t="s">
        <v>2475</v>
      </c>
      <c r="B54" s="8" t="s">
        <v>8</v>
      </c>
      <c r="C54" s="8" t="s">
        <v>16</v>
      </c>
      <c r="D54" s="968" t="s">
        <v>3610</v>
      </c>
      <c r="E54" s="91">
        <v>20.0</v>
      </c>
      <c r="F54" s="137" t="s">
        <v>3547</v>
      </c>
    </row>
    <row r="55">
      <c r="A55" s="52" t="s">
        <v>2600</v>
      </c>
      <c r="B55" s="96" t="s">
        <v>8</v>
      </c>
      <c r="C55" s="96" t="s">
        <v>16</v>
      </c>
      <c r="D55" s="969" t="s">
        <v>3611</v>
      </c>
      <c r="E55" s="94">
        <v>100.0</v>
      </c>
      <c r="F55" s="970" t="s">
        <v>811</v>
      </c>
    </row>
    <row r="56">
      <c r="A56" s="17"/>
      <c r="B56" s="18"/>
      <c r="C56" s="18"/>
      <c r="D56" s="971"/>
      <c r="E56" s="18"/>
      <c r="F56" s="18"/>
    </row>
    <row r="57">
      <c r="A57" s="17"/>
      <c r="B57" s="18"/>
      <c r="C57" s="18"/>
      <c r="D57" s="971"/>
      <c r="E57" s="18"/>
      <c r="F57" s="18"/>
    </row>
    <row r="58">
      <c r="A58" s="972" t="s">
        <v>3612</v>
      </c>
      <c r="B58" s="18"/>
      <c r="C58" s="18"/>
      <c r="D58" s="18"/>
      <c r="E58" s="18"/>
      <c r="F58" s="18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</sheetData>
  <dataValidations>
    <dataValidation type="list" allowBlank="1" showErrorMessage="1" sqref="B2:B55">
      <formula1>"SSS,SS,S,AAA,AA,A,Blue,Green"</formula1>
    </dataValidation>
    <dataValidation type="list" allowBlank="1" showErrorMessage="1" sqref="C2:C55">
      <formula1>"FAME,ART,FTH,CIV,TECH"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2.91"/>
    <col customWidth="1" min="2" max="2" width="17.27"/>
    <col customWidth="1" min="3" max="3" width="6.45"/>
    <col customWidth="1" min="4" max="5" width="8.09"/>
    <col customWidth="1" min="6" max="6" width="9.45"/>
    <col customWidth="1" min="7" max="7" width="9.91"/>
    <col customWidth="1" min="8" max="8" width="7.55"/>
    <col customWidth="1" min="9" max="9" width="8.91"/>
    <col customWidth="1" min="10" max="10" width="8.64"/>
    <col customWidth="1" min="11" max="11" width="8.45"/>
    <col customWidth="1" min="12" max="12" width="9.27"/>
    <col customWidth="1" min="24" max="24" width="16.27"/>
  </cols>
  <sheetData>
    <row r="1">
      <c r="A1" s="973" t="s">
        <v>3613</v>
      </c>
      <c r="C1" s="138" t="s">
        <v>3614</v>
      </c>
    </row>
    <row r="2">
      <c r="A2" s="973"/>
      <c r="M2" s="18"/>
      <c r="N2" s="18"/>
    </row>
    <row r="3">
      <c r="A3" s="973"/>
      <c r="M3" s="18"/>
      <c r="N3" s="18"/>
    </row>
    <row r="4">
      <c r="A4" s="691" t="s">
        <v>3615</v>
      </c>
      <c r="B4" s="974"/>
      <c r="C4" s="974"/>
      <c r="D4" s="974"/>
      <c r="E4" s="974"/>
      <c r="F4" s="974"/>
      <c r="G4" s="974"/>
      <c r="H4" s="974"/>
      <c r="I4" s="974"/>
      <c r="J4" s="974"/>
      <c r="K4" s="974"/>
      <c r="L4" s="974"/>
      <c r="M4" s="975"/>
      <c r="N4" s="975"/>
      <c r="O4" s="18"/>
    </row>
    <row r="5">
      <c r="A5" s="35" t="s">
        <v>3616</v>
      </c>
      <c r="B5" s="54" t="s">
        <v>0</v>
      </c>
      <c r="C5" s="54" t="s">
        <v>3617</v>
      </c>
      <c r="D5" s="35" t="s">
        <v>3618</v>
      </c>
      <c r="E5" s="35" t="s">
        <v>3619</v>
      </c>
      <c r="F5" s="35" t="s">
        <v>3620</v>
      </c>
      <c r="G5" s="35" t="s">
        <v>3621</v>
      </c>
      <c r="H5" s="35" t="s">
        <v>3622</v>
      </c>
      <c r="I5" s="35" t="s">
        <v>1730</v>
      </c>
      <c r="J5" s="35" t="s">
        <v>3623</v>
      </c>
      <c r="K5" s="35" t="s">
        <v>3624</v>
      </c>
      <c r="L5" s="35" t="s">
        <v>3625</v>
      </c>
      <c r="M5" s="35" t="s">
        <v>3626</v>
      </c>
      <c r="N5" s="35" t="s">
        <v>3627</v>
      </c>
      <c r="O5" s="5"/>
      <c r="X5" s="54" t="s">
        <v>0</v>
      </c>
      <c r="Y5" s="35" t="s">
        <v>3618</v>
      </c>
      <c r="Z5" s="35" t="s">
        <v>3619</v>
      </c>
      <c r="AA5" s="35" t="s">
        <v>3620</v>
      </c>
      <c r="AB5" s="35" t="s">
        <v>3621</v>
      </c>
      <c r="AC5" s="35" t="s">
        <v>3622</v>
      </c>
    </row>
    <row r="6">
      <c r="A6" s="35">
        <v>8.0</v>
      </c>
      <c r="B6" s="54" t="s">
        <v>3628</v>
      </c>
      <c r="C6" s="54" t="s">
        <v>3629</v>
      </c>
      <c r="D6" s="976">
        <v>1668.0</v>
      </c>
      <c r="E6" s="977">
        <v>2238.0</v>
      </c>
      <c r="F6" s="976">
        <v>1992.0</v>
      </c>
      <c r="G6" s="977">
        <v>1605.0</v>
      </c>
      <c r="H6" s="977">
        <v>1605.0</v>
      </c>
      <c r="I6" s="35" t="s">
        <v>3630</v>
      </c>
      <c r="J6" s="35" t="s">
        <v>3631</v>
      </c>
      <c r="K6" s="37"/>
      <c r="L6" s="37"/>
      <c r="M6" s="37"/>
      <c r="N6" s="37"/>
      <c r="O6" s="5"/>
      <c r="X6" s="54" t="s">
        <v>3628</v>
      </c>
      <c r="Y6" s="976" t="s">
        <v>3632</v>
      </c>
      <c r="Z6" s="976" t="s">
        <v>3632</v>
      </c>
      <c r="AA6" s="976" t="s">
        <v>3632</v>
      </c>
      <c r="AB6" s="976" t="s">
        <v>3632</v>
      </c>
      <c r="AC6" s="976" t="s">
        <v>3632</v>
      </c>
    </row>
    <row r="7">
      <c r="A7" s="35">
        <v>15.0</v>
      </c>
      <c r="B7" s="54" t="s">
        <v>3633</v>
      </c>
      <c r="C7" s="54" t="s">
        <v>3634</v>
      </c>
      <c r="D7" s="978">
        <v>2733.0</v>
      </c>
      <c r="E7" s="976">
        <v>3651.0</v>
      </c>
      <c r="F7" s="977">
        <v>3252.0</v>
      </c>
      <c r="G7" s="979">
        <v>2589.0</v>
      </c>
      <c r="H7" s="979">
        <v>2589.0</v>
      </c>
      <c r="I7" s="35" t="s">
        <v>3635</v>
      </c>
      <c r="J7" s="35" t="s">
        <v>3631</v>
      </c>
      <c r="K7" s="37"/>
      <c r="L7" s="37"/>
      <c r="M7" s="37"/>
      <c r="N7" s="37"/>
      <c r="O7" s="5"/>
      <c r="X7" s="54" t="s">
        <v>3633</v>
      </c>
      <c r="Y7" s="978" t="s">
        <v>3636</v>
      </c>
      <c r="Z7" s="976" t="s">
        <v>3632</v>
      </c>
      <c r="AA7" s="976" t="s">
        <v>3632</v>
      </c>
      <c r="AB7" s="978" t="s">
        <v>3636</v>
      </c>
      <c r="AC7" s="978" t="s">
        <v>3636</v>
      </c>
    </row>
    <row r="8">
      <c r="A8" s="35">
        <v>28.0</v>
      </c>
      <c r="B8" s="54" t="s">
        <v>3637</v>
      </c>
      <c r="C8" s="54" t="s">
        <v>3638</v>
      </c>
      <c r="D8" s="977">
        <v>4887.0</v>
      </c>
      <c r="E8" s="976">
        <v>7692.0</v>
      </c>
      <c r="F8" s="976">
        <v>5796.0</v>
      </c>
      <c r="G8" s="977">
        <v>4746.0</v>
      </c>
      <c r="H8" s="979">
        <v>4746.0</v>
      </c>
      <c r="I8" s="35" t="s">
        <v>3639</v>
      </c>
      <c r="J8" s="35" t="s">
        <v>3631</v>
      </c>
      <c r="K8" s="37"/>
      <c r="L8" s="37"/>
      <c r="M8" s="37"/>
      <c r="N8" s="37"/>
      <c r="O8" s="5"/>
      <c r="X8" s="54" t="s">
        <v>3637</v>
      </c>
      <c r="Y8" s="976" t="s">
        <v>3632</v>
      </c>
      <c r="Z8" s="976" t="s">
        <v>3632</v>
      </c>
      <c r="AA8" s="976" t="s">
        <v>3632</v>
      </c>
      <c r="AB8" s="976" t="s">
        <v>3632</v>
      </c>
      <c r="AC8" s="978" t="s">
        <v>3636</v>
      </c>
    </row>
    <row r="9">
      <c r="A9" s="35">
        <v>44.0</v>
      </c>
      <c r="B9" s="54" t="s">
        <v>3640</v>
      </c>
      <c r="C9" s="54" t="s">
        <v>3641</v>
      </c>
      <c r="D9" s="976">
        <v>7803.0</v>
      </c>
      <c r="E9" s="978">
        <v>13125.0</v>
      </c>
      <c r="F9" s="977">
        <v>10755.0</v>
      </c>
      <c r="G9" s="979">
        <v>7800.0</v>
      </c>
      <c r="H9" s="979">
        <v>7800.0</v>
      </c>
      <c r="I9" s="35" t="s">
        <v>3635</v>
      </c>
      <c r="J9" s="35" t="s">
        <v>3631</v>
      </c>
      <c r="K9" s="37"/>
      <c r="L9" s="37"/>
      <c r="M9" s="37"/>
      <c r="N9" s="37"/>
      <c r="O9" s="5"/>
      <c r="X9" s="54" t="s">
        <v>3640</v>
      </c>
      <c r="Y9" s="976" t="s">
        <v>3632</v>
      </c>
      <c r="Z9" s="978" t="s">
        <v>3636</v>
      </c>
      <c r="AA9" s="976" t="s">
        <v>3632</v>
      </c>
      <c r="AB9" s="978" t="s">
        <v>3636</v>
      </c>
      <c r="AC9" s="978" t="s">
        <v>3636</v>
      </c>
    </row>
    <row r="10">
      <c r="A10" s="35">
        <v>54.0</v>
      </c>
      <c r="B10" s="54" t="s">
        <v>3642</v>
      </c>
      <c r="C10" s="54" t="s">
        <v>3643</v>
      </c>
      <c r="D10" s="978">
        <v>9945.0</v>
      </c>
      <c r="E10" s="978">
        <v>17397.0</v>
      </c>
      <c r="F10" s="977">
        <v>11682.0</v>
      </c>
      <c r="G10" s="979">
        <v>9945.0</v>
      </c>
      <c r="H10" s="979">
        <v>9945.0</v>
      </c>
      <c r="I10" s="35" t="s">
        <v>3635</v>
      </c>
      <c r="J10" s="35" t="s">
        <v>3631</v>
      </c>
      <c r="K10" s="37"/>
      <c r="L10" s="37"/>
      <c r="M10" s="37"/>
      <c r="N10" s="37"/>
      <c r="O10" s="5"/>
      <c r="X10" s="54" t="s">
        <v>3642</v>
      </c>
      <c r="Y10" s="978" t="s">
        <v>3636</v>
      </c>
      <c r="Z10" s="978" t="s">
        <v>3636</v>
      </c>
      <c r="AA10" s="976" t="s">
        <v>3632</v>
      </c>
      <c r="AB10" s="978" t="s">
        <v>3636</v>
      </c>
      <c r="AC10" s="978" t="s">
        <v>3636</v>
      </c>
    </row>
    <row r="11">
      <c r="A11" s="35">
        <v>68.0</v>
      </c>
      <c r="B11" s="54" t="s">
        <v>3644</v>
      </c>
      <c r="C11" s="54" t="s">
        <v>3645</v>
      </c>
      <c r="D11" s="979">
        <v>16149.0</v>
      </c>
      <c r="E11" s="979">
        <v>17436.0</v>
      </c>
      <c r="F11" s="978">
        <v>23925.0</v>
      </c>
      <c r="G11" s="978">
        <v>19437.0</v>
      </c>
      <c r="H11" s="979">
        <v>17223.0</v>
      </c>
      <c r="I11" s="35" t="s">
        <v>3349</v>
      </c>
      <c r="J11" s="35" t="s">
        <v>3630</v>
      </c>
      <c r="K11" s="37"/>
      <c r="L11" s="37"/>
      <c r="M11" s="37"/>
      <c r="N11" s="37"/>
      <c r="O11" s="5"/>
      <c r="X11" s="54" t="s">
        <v>3644</v>
      </c>
      <c r="Y11" s="978" t="s">
        <v>3636</v>
      </c>
      <c r="Z11" s="978" t="s">
        <v>3636</v>
      </c>
      <c r="AA11" s="978" t="s">
        <v>3636</v>
      </c>
      <c r="AB11" s="978" t="s">
        <v>3636</v>
      </c>
      <c r="AC11" s="978" t="s">
        <v>3636</v>
      </c>
    </row>
    <row r="12">
      <c r="A12" s="35">
        <v>74.0</v>
      </c>
      <c r="B12" s="54" t="s">
        <v>3646</v>
      </c>
      <c r="C12" s="54" t="s">
        <v>3647</v>
      </c>
      <c r="D12" s="979">
        <v>18864.0</v>
      </c>
      <c r="E12" s="979">
        <v>20196.0</v>
      </c>
      <c r="F12" s="978">
        <v>28608.0</v>
      </c>
      <c r="G12" s="978">
        <v>22848.0</v>
      </c>
      <c r="H12" s="977">
        <v>20070.0</v>
      </c>
      <c r="I12" s="35" t="s">
        <v>3631</v>
      </c>
      <c r="J12" s="35" t="s">
        <v>3630</v>
      </c>
      <c r="K12" s="35">
        <v>16.0</v>
      </c>
      <c r="L12" s="35">
        <v>12.0</v>
      </c>
      <c r="M12" s="980"/>
      <c r="N12" s="980"/>
      <c r="O12" s="5"/>
      <c r="X12" s="54" t="s">
        <v>3646</v>
      </c>
      <c r="Y12" s="978" t="s">
        <v>3636</v>
      </c>
      <c r="Z12" s="978" t="s">
        <v>3636</v>
      </c>
      <c r="AA12" s="978" t="s">
        <v>3636</v>
      </c>
      <c r="AB12" s="978" t="s">
        <v>3636</v>
      </c>
      <c r="AC12" s="976" t="s">
        <v>3632</v>
      </c>
    </row>
    <row r="13">
      <c r="A13" s="35">
        <v>96.0</v>
      </c>
      <c r="B13" s="54" t="s">
        <v>3648</v>
      </c>
      <c r="C13" s="54" t="s">
        <v>3649</v>
      </c>
      <c r="D13" s="977">
        <v>23994.0</v>
      </c>
      <c r="E13" s="976">
        <v>27402.0</v>
      </c>
      <c r="F13" s="977">
        <v>41064.0</v>
      </c>
      <c r="G13" s="976">
        <v>24930.0</v>
      </c>
      <c r="H13" s="977">
        <v>24930.0</v>
      </c>
      <c r="I13" s="35" t="s">
        <v>3635</v>
      </c>
      <c r="J13" s="35" t="s">
        <v>3639</v>
      </c>
      <c r="K13" s="35">
        <v>26.0</v>
      </c>
      <c r="L13" s="35">
        <v>20.0</v>
      </c>
      <c r="M13" s="980"/>
      <c r="N13" s="980"/>
      <c r="O13" s="5"/>
      <c r="X13" s="54" t="s">
        <v>3648</v>
      </c>
      <c r="Y13" s="976" t="s">
        <v>3632</v>
      </c>
      <c r="Z13" s="976" t="s">
        <v>3632</v>
      </c>
      <c r="AA13" s="976" t="s">
        <v>3632</v>
      </c>
      <c r="AB13" s="976" t="s">
        <v>3632</v>
      </c>
      <c r="AC13" s="976" t="s">
        <v>3632</v>
      </c>
    </row>
    <row r="14">
      <c r="A14" s="35">
        <v>108.0</v>
      </c>
      <c r="B14" s="54" t="s">
        <v>3650</v>
      </c>
      <c r="C14" s="54" t="s">
        <v>3651</v>
      </c>
      <c r="D14" s="979">
        <v>28443.0</v>
      </c>
      <c r="E14" s="977">
        <v>31692.0</v>
      </c>
      <c r="F14" s="978">
        <v>49287.0</v>
      </c>
      <c r="G14" s="976">
        <v>29133.0</v>
      </c>
      <c r="H14" s="977">
        <v>29133.0</v>
      </c>
      <c r="I14" s="35" t="s">
        <v>3630</v>
      </c>
      <c r="J14" s="35" t="s">
        <v>3639</v>
      </c>
      <c r="K14" s="35">
        <v>25.0</v>
      </c>
      <c r="L14" s="35">
        <v>20.0</v>
      </c>
      <c r="M14" s="980"/>
      <c r="N14" s="980"/>
      <c r="O14" s="9" t="s">
        <v>3652</v>
      </c>
      <c r="X14" s="54" t="s">
        <v>3650</v>
      </c>
      <c r="Y14" s="978" t="s">
        <v>3636</v>
      </c>
      <c r="Z14" s="976" t="s">
        <v>3632</v>
      </c>
      <c r="AA14" s="978" t="s">
        <v>3636</v>
      </c>
      <c r="AB14" s="976" t="s">
        <v>3632</v>
      </c>
      <c r="AC14" s="976" t="s">
        <v>3632</v>
      </c>
    </row>
    <row r="15">
      <c r="A15" s="35">
        <v>114.0</v>
      </c>
      <c r="B15" s="54" t="s">
        <v>3653</v>
      </c>
      <c r="C15" s="54" t="s">
        <v>3654</v>
      </c>
      <c r="D15" s="979">
        <v>31560.0</v>
      </c>
      <c r="E15" s="977">
        <v>34620.0</v>
      </c>
      <c r="F15" s="978">
        <v>55122.0</v>
      </c>
      <c r="G15" s="976">
        <v>32040.0</v>
      </c>
      <c r="H15" s="979">
        <v>32040.0</v>
      </c>
      <c r="I15" s="35" t="s">
        <v>3630</v>
      </c>
      <c r="J15" s="35" t="s">
        <v>3631</v>
      </c>
      <c r="K15" s="37"/>
      <c r="L15" s="37"/>
      <c r="M15" s="37"/>
      <c r="N15" s="37"/>
      <c r="O15" s="5"/>
      <c r="X15" s="54" t="s">
        <v>3653</v>
      </c>
      <c r="Y15" s="978" t="s">
        <v>3636</v>
      </c>
      <c r="Z15" s="976" t="s">
        <v>3632</v>
      </c>
      <c r="AA15" s="978" t="s">
        <v>3636</v>
      </c>
      <c r="AB15" s="976" t="s">
        <v>3632</v>
      </c>
      <c r="AC15" s="978" t="s">
        <v>3636</v>
      </c>
    </row>
    <row r="16">
      <c r="A16" s="35">
        <v>123.0</v>
      </c>
      <c r="B16" s="54" t="s">
        <v>3655</v>
      </c>
      <c r="C16" s="54" t="s">
        <v>3656</v>
      </c>
      <c r="D16" s="976">
        <v>59103.0</v>
      </c>
      <c r="E16" s="977">
        <v>63465.0</v>
      </c>
      <c r="F16" s="977">
        <v>34179.0</v>
      </c>
      <c r="G16" s="976">
        <v>53319.0</v>
      </c>
      <c r="H16" s="979">
        <v>43065.0</v>
      </c>
      <c r="I16" s="35" t="s">
        <v>3630</v>
      </c>
      <c r="J16" s="35" t="s">
        <v>3631</v>
      </c>
      <c r="K16" s="35" t="s">
        <v>3657</v>
      </c>
      <c r="L16" s="35" t="s">
        <v>3658</v>
      </c>
      <c r="M16" s="35" t="s">
        <v>3659</v>
      </c>
      <c r="N16" s="35" t="s">
        <v>3349</v>
      </c>
      <c r="O16" s="9" t="s">
        <v>3660</v>
      </c>
      <c r="X16" s="54" t="s">
        <v>3655</v>
      </c>
      <c r="Y16" s="976" t="s">
        <v>3632</v>
      </c>
      <c r="Z16" s="976" t="s">
        <v>3632</v>
      </c>
      <c r="AA16" s="976" t="s">
        <v>3632</v>
      </c>
      <c r="AB16" s="976" t="s">
        <v>3632</v>
      </c>
      <c r="AC16" s="978" t="s">
        <v>3636</v>
      </c>
    </row>
    <row r="17">
      <c r="A17" s="35">
        <v>129.0</v>
      </c>
      <c r="B17" s="54" t="s">
        <v>3661</v>
      </c>
      <c r="C17" s="54" t="s">
        <v>3662</v>
      </c>
      <c r="D17" s="979">
        <v>39948.0</v>
      </c>
      <c r="E17" s="978">
        <v>67278.0</v>
      </c>
      <c r="F17" s="979">
        <v>48528.0</v>
      </c>
      <c r="G17" s="978">
        <v>75702.0</v>
      </c>
      <c r="H17" s="979">
        <v>61143.0</v>
      </c>
      <c r="I17" s="35" t="s">
        <v>3349</v>
      </c>
      <c r="J17" s="35" t="s">
        <v>3639</v>
      </c>
      <c r="K17" s="35">
        <v>26.0</v>
      </c>
      <c r="L17" s="35">
        <v>24.0</v>
      </c>
      <c r="M17" s="35">
        <v>37.0</v>
      </c>
      <c r="N17" s="35" t="s">
        <v>3349</v>
      </c>
      <c r="O17" s="9" t="s">
        <v>3663</v>
      </c>
      <c r="X17" s="54" t="s">
        <v>3661</v>
      </c>
      <c r="Y17" s="978" t="s">
        <v>3636</v>
      </c>
      <c r="Z17" s="978" t="s">
        <v>3636</v>
      </c>
      <c r="AA17" s="978" t="s">
        <v>3636</v>
      </c>
      <c r="AB17" s="978" t="s">
        <v>3636</v>
      </c>
      <c r="AC17" s="978" t="s">
        <v>3636</v>
      </c>
    </row>
    <row r="18">
      <c r="A18" s="35">
        <v>137.0</v>
      </c>
      <c r="B18" s="54" t="s">
        <v>3664</v>
      </c>
      <c r="C18" s="54" t="s">
        <v>3665</v>
      </c>
      <c r="D18" s="976">
        <v>70398.0</v>
      </c>
      <c r="E18" s="977">
        <v>78066.0</v>
      </c>
      <c r="F18" s="977">
        <v>40554.0</v>
      </c>
      <c r="G18" s="976">
        <v>63264.0</v>
      </c>
      <c r="H18" s="977">
        <v>51096.0</v>
      </c>
      <c r="I18" s="35" t="s">
        <v>3630</v>
      </c>
      <c r="J18" s="35" t="s">
        <v>3349</v>
      </c>
      <c r="K18" s="35" t="s">
        <v>3666</v>
      </c>
      <c r="L18" s="35" t="s">
        <v>3667</v>
      </c>
      <c r="M18" s="35" t="s">
        <v>3668</v>
      </c>
      <c r="N18" s="35" t="s">
        <v>3349</v>
      </c>
      <c r="O18" s="9" t="s">
        <v>3669</v>
      </c>
      <c r="X18" s="54" t="s">
        <v>3664</v>
      </c>
      <c r="Y18" s="976" t="s">
        <v>3632</v>
      </c>
      <c r="Z18" s="976" t="s">
        <v>3632</v>
      </c>
      <c r="AA18" s="976" t="s">
        <v>3632</v>
      </c>
      <c r="AB18" s="976" t="s">
        <v>3632</v>
      </c>
      <c r="AC18" s="976" t="s">
        <v>3632</v>
      </c>
    </row>
    <row r="19">
      <c r="A19" s="35">
        <v>144.0</v>
      </c>
      <c r="B19" s="54" t="s">
        <v>3670</v>
      </c>
      <c r="C19" s="54" t="s">
        <v>3671</v>
      </c>
      <c r="D19" s="976">
        <v>76482.0</v>
      </c>
      <c r="E19" s="977">
        <v>87630.0</v>
      </c>
      <c r="F19" s="977">
        <v>44073.0</v>
      </c>
      <c r="G19" s="976">
        <v>68751.0</v>
      </c>
      <c r="H19" s="977">
        <v>55530.0</v>
      </c>
      <c r="I19" s="35" t="s">
        <v>3630</v>
      </c>
      <c r="J19" s="35" t="s">
        <v>3349</v>
      </c>
      <c r="K19" s="35" t="s">
        <v>3349</v>
      </c>
      <c r="L19" s="35">
        <v>24.0</v>
      </c>
      <c r="M19" s="35">
        <v>37.0</v>
      </c>
      <c r="N19" s="35" t="s">
        <v>3349</v>
      </c>
      <c r="O19" s="9" t="s">
        <v>3663</v>
      </c>
      <c r="X19" s="54" t="s">
        <v>3670</v>
      </c>
      <c r="Y19" s="976" t="s">
        <v>3632</v>
      </c>
      <c r="Z19" s="976" t="s">
        <v>3632</v>
      </c>
      <c r="AA19" s="976" t="s">
        <v>3632</v>
      </c>
      <c r="AB19" s="976" t="s">
        <v>3632</v>
      </c>
      <c r="AC19" s="976" t="s">
        <v>3632</v>
      </c>
    </row>
    <row r="20">
      <c r="A20" s="35">
        <v>156.0</v>
      </c>
      <c r="B20" s="54" t="s">
        <v>3672</v>
      </c>
      <c r="C20" s="54" t="s">
        <v>3673</v>
      </c>
      <c r="D20" s="979">
        <v>52812.0</v>
      </c>
      <c r="E20" s="977">
        <v>97896.0</v>
      </c>
      <c r="F20" s="977">
        <v>47718.0</v>
      </c>
      <c r="G20" s="978">
        <v>76347.0</v>
      </c>
      <c r="H20" s="978">
        <v>62031.0</v>
      </c>
      <c r="I20" s="35" t="s">
        <v>3630</v>
      </c>
      <c r="J20" s="35" t="s">
        <v>3349</v>
      </c>
      <c r="K20" s="35" t="s">
        <v>3349</v>
      </c>
      <c r="L20" s="35">
        <v>24.0</v>
      </c>
      <c r="M20" s="35">
        <v>37.0</v>
      </c>
      <c r="N20" s="35" t="s">
        <v>3349</v>
      </c>
      <c r="O20" s="9" t="s">
        <v>3663</v>
      </c>
      <c r="X20" s="54" t="s">
        <v>3672</v>
      </c>
      <c r="Y20" s="978" t="s">
        <v>3636</v>
      </c>
      <c r="Z20" s="976" t="s">
        <v>3632</v>
      </c>
      <c r="AA20" s="976" t="s">
        <v>3632</v>
      </c>
      <c r="AB20" s="978" t="s">
        <v>3636</v>
      </c>
      <c r="AC20" s="978" t="s">
        <v>3636</v>
      </c>
    </row>
    <row r="21">
      <c r="A21" s="35">
        <v>160.0</v>
      </c>
      <c r="B21" s="54" t="s">
        <v>3674</v>
      </c>
      <c r="C21" s="54" t="s">
        <v>3675</v>
      </c>
      <c r="D21" s="979">
        <v>58323.0</v>
      </c>
      <c r="E21" s="978">
        <v>111345.0</v>
      </c>
      <c r="F21" s="977">
        <v>52617.0</v>
      </c>
      <c r="G21" s="977">
        <v>82080.0</v>
      </c>
      <c r="H21" s="976">
        <v>66200.0</v>
      </c>
      <c r="I21" s="35" t="s">
        <v>3676</v>
      </c>
      <c r="J21" s="35" t="s">
        <v>3349</v>
      </c>
      <c r="K21" s="35" t="s">
        <v>3349</v>
      </c>
      <c r="L21" s="35">
        <v>24.0</v>
      </c>
      <c r="M21" s="35">
        <v>40.0</v>
      </c>
      <c r="N21" s="35" t="s">
        <v>3349</v>
      </c>
      <c r="O21" s="9" t="s">
        <v>3663</v>
      </c>
      <c r="X21" s="54" t="s">
        <v>3674</v>
      </c>
      <c r="Y21" s="978" t="s">
        <v>3636</v>
      </c>
      <c r="Z21" s="978" t="s">
        <v>3636</v>
      </c>
      <c r="AA21" s="976" t="s">
        <v>3632</v>
      </c>
      <c r="AB21" s="976" t="s">
        <v>3632</v>
      </c>
      <c r="AC21" s="976" t="s">
        <v>3632</v>
      </c>
    </row>
    <row r="22">
      <c r="A22" s="35">
        <v>170.0</v>
      </c>
      <c r="B22" s="54" t="s">
        <v>3677</v>
      </c>
      <c r="C22" s="54" t="s">
        <v>3678</v>
      </c>
      <c r="D22" s="976">
        <v>100350.0</v>
      </c>
      <c r="E22" s="977">
        <v>125835.0</v>
      </c>
      <c r="F22" s="977">
        <v>57708.0</v>
      </c>
      <c r="G22" s="976">
        <v>90024.0</v>
      </c>
      <c r="H22" s="979">
        <v>72711.0</v>
      </c>
      <c r="I22" s="35" t="s">
        <v>3630</v>
      </c>
      <c r="J22" s="35" t="s">
        <v>3349</v>
      </c>
      <c r="K22" s="35" t="s">
        <v>3349</v>
      </c>
      <c r="L22" s="35">
        <v>24.0</v>
      </c>
      <c r="M22" s="35">
        <v>44.0</v>
      </c>
      <c r="N22" s="35" t="s">
        <v>3349</v>
      </c>
      <c r="O22" s="9" t="s">
        <v>3663</v>
      </c>
      <c r="X22" s="54" t="s">
        <v>3677</v>
      </c>
      <c r="Y22" s="976" t="s">
        <v>3632</v>
      </c>
      <c r="Z22" s="976" t="s">
        <v>3632</v>
      </c>
      <c r="AA22" s="976" t="s">
        <v>3632</v>
      </c>
      <c r="AB22" s="976" t="s">
        <v>3632</v>
      </c>
      <c r="AC22" s="978" t="s">
        <v>3636</v>
      </c>
    </row>
    <row r="23">
      <c r="A23" s="35">
        <v>182.0</v>
      </c>
      <c r="B23" s="54" t="s">
        <v>3679</v>
      </c>
      <c r="C23" s="54" t="s">
        <v>3680</v>
      </c>
      <c r="D23" s="976">
        <v>104562.0</v>
      </c>
      <c r="E23" s="977">
        <v>131034.0</v>
      </c>
      <c r="F23" s="977">
        <v>60021.0</v>
      </c>
      <c r="G23" s="976">
        <v>93630.0</v>
      </c>
      <c r="H23" s="977">
        <v>75624.0</v>
      </c>
      <c r="I23" s="35" t="s">
        <v>3630</v>
      </c>
      <c r="J23" s="35" t="s">
        <v>3349</v>
      </c>
      <c r="K23" s="35" t="s">
        <v>3349</v>
      </c>
      <c r="L23" s="35">
        <v>24.0</v>
      </c>
      <c r="M23" s="35">
        <v>46.0</v>
      </c>
      <c r="N23" s="35" t="s">
        <v>3349</v>
      </c>
      <c r="O23" s="9" t="s">
        <v>3663</v>
      </c>
      <c r="X23" s="54" t="s">
        <v>3679</v>
      </c>
      <c r="Y23" s="976" t="s">
        <v>3632</v>
      </c>
      <c r="Z23" s="976" t="s">
        <v>3632</v>
      </c>
      <c r="AA23" s="976" t="s">
        <v>3632</v>
      </c>
      <c r="AB23" s="976" t="s">
        <v>3632</v>
      </c>
      <c r="AC23" s="976" t="s">
        <v>3632</v>
      </c>
    </row>
    <row r="24">
      <c r="A24" s="35">
        <v>196.0</v>
      </c>
      <c r="B24" s="54" t="s">
        <v>3681</v>
      </c>
      <c r="C24" s="54" t="s">
        <v>3682</v>
      </c>
      <c r="D24" s="979">
        <v>72798.0</v>
      </c>
      <c r="E24" s="977">
        <v>146904.0</v>
      </c>
      <c r="F24" s="977">
        <v>65367.0</v>
      </c>
      <c r="G24" s="976">
        <v>101970.0</v>
      </c>
      <c r="H24" s="976">
        <v>82362.0</v>
      </c>
      <c r="I24" s="35" t="s">
        <v>3630</v>
      </c>
      <c r="J24" s="35" t="s">
        <v>3349</v>
      </c>
      <c r="K24" s="35" t="s">
        <v>3349</v>
      </c>
      <c r="L24" s="35">
        <v>24.0</v>
      </c>
      <c r="M24" s="35">
        <v>49.0</v>
      </c>
      <c r="N24" s="35" t="s">
        <v>3349</v>
      </c>
      <c r="O24" s="9" t="s">
        <v>3663</v>
      </c>
      <c r="X24" s="54" t="s">
        <v>3681</v>
      </c>
      <c r="Y24" s="978" t="s">
        <v>3636</v>
      </c>
      <c r="Z24" s="976" t="s">
        <v>3632</v>
      </c>
      <c r="AA24" s="976" t="s">
        <v>3632</v>
      </c>
      <c r="AB24" s="976" t="s">
        <v>3632</v>
      </c>
      <c r="AC24" s="976" t="s">
        <v>3632</v>
      </c>
    </row>
    <row r="25">
      <c r="A25" s="35">
        <v>206.0</v>
      </c>
      <c r="B25" s="54" t="s">
        <v>3683</v>
      </c>
      <c r="C25" s="54" t="s">
        <v>3684</v>
      </c>
      <c r="D25" s="977">
        <f>40509*3</f>
        <v>121527</v>
      </c>
      <c r="E25" s="978">
        <f>53663*3</f>
        <v>160989</v>
      </c>
      <c r="F25" s="977">
        <f>23230*3</f>
        <v>69690</v>
      </c>
      <c r="G25" s="976">
        <f>36238*3</f>
        <v>108714</v>
      </c>
      <c r="H25" s="977">
        <f>29269*3</f>
        <v>87807</v>
      </c>
      <c r="I25" s="35" t="s">
        <v>3639</v>
      </c>
      <c r="J25" s="35" t="s">
        <v>3349</v>
      </c>
      <c r="K25" s="35" t="s">
        <v>3349</v>
      </c>
      <c r="L25" s="35">
        <v>27.0</v>
      </c>
      <c r="M25" s="35">
        <v>52.0</v>
      </c>
      <c r="N25" s="35" t="s">
        <v>3349</v>
      </c>
      <c r="O25" s="9" t="s">
        <v>3663</v>
      </c>
      <c r="X25" s="54" t="s">
        <v>3683</v>
      </c>
      <c r="Y25" s="976" t="s">
        <v>3632</v>
      </c>
      <c r="Z25" s="978" t="s">
        <v>3636</v>
      </c>
      <c r="AA25" s="976" t="s">
        <v>3632</v>
      </c>
      <c r="AB25" s="976" t="s">
        <v>3632</v>
      </c>
      <c r="AC25" s="976" t="s">
        <v>3632</v>
      </c>
    </row>
    <row r="26">
      <c r="A26" s="35">
        <v>224.0</v>
      </c>
      <c r="B26" s="54" t="s">
        <v>3685</v>
      </c>
      <c r="C26" s="54" t="s">
        <v>3686</v>
      </c>
      <c r="D26" s="977">
        <v>70644.0</v>
      </c>
      <c r="E26" s="977">
        <v>183711.0</v>
      </c>
      <c r="F26" s="977">
        <v>177660.0</v>
      </c>
      <c r="G26" s="976">
        <v>186543.0</v>
      </c>
      <c r="H26" s="976">
        <v>191871.0</v>
      </c>
      <c r="I26" s="35" t="s">
        <v>3630</v>
      </c>
      <c r="J26" s="35" t="s">
        <v>3639</v>
      </c>
      <c r="K26" s="35" t="s">
        <v>3687</v>
      </c>
      <c r="L26" s="35" t="s">
        <v>3688</v>
      </c>
      <c r="M26" s="35" t="s">
        <v>3689</v>
      </c>
      <c r="N26" s="35" t="s">
        <v>3690</v>
      </c>
      <c r="O26" s="9" t="s">
        <v>3669</v>
      </c>
      <c r="P26" s="9" t="s">
        <v>3691</v>
      </c>
      <c r="X26" s="54" t="s">
        <v>3685</v>
      </c>
      <c r="Y26" s="976" t="s">
        <v>3632</v>
      </c>
      <c r="Z26" s="976" t="s">
        <v>3632</v>
      </c>
      <c r="AA26" s="976" t="s">
        <v>3632</v>
      </c>
      <c r="AB26" s="976" t="s">
        <v>3632</v>
      </c>
      <c r="AC26" s="976" t="s">
        <v>3632</v>
      </c>
    </row>
    <row r="27">
      <c r="A27" s="35">
        <v>235.0</v>
      </c>
      <c r="B27" s="54" t="s">
        <v>3692</v>
      </c>
      <c r="C27" s="54" t="s">
        <v>3693</v>
      </c>
      <c r="D27" s="976">
        <f>64388*3</f>
        <v>193164</v>
      </c>
      <c r="E27" s="976">
        <f>66319*3</f>
        <v>198957</v>
      </c>
      <c r="F27" s="977">
        <f>68308*3</f>
        <v>204924</v>
      </c>
      <c r="G27" s="977">
        <f>26683*3</f>
        <v>80049</v>
      </c>
      <c r="H27" s="977">
        <f>40024*3</f>
        <v>120072</v>
      </c>
      <c r="I27" s="35" t="s">
        <v>3635</v>
      </c>
      <c r="J27" s="35" t="s">
        <v>3349</v>
      </c>
      <c r="K27" s="35" t="s">
        <v>3349</v>
      </c>
      <c r="L27" s="35">
        <v>37.0</v>
      </c>
      <c r="M27" s="35">
        <v>60.0</v>
      </c>
      <c r="N27" s="35" t="s">
        <v>3349</v>
      </c>
      <c r="O27" s="9" t="s">
        <v>3663</v>
      </c>
      <c r="X27" s="54" t="s">
        <v>3692</v>
      </c>
      <c r="Y27" s="976" t="s">
        <v>3632</v>
      </c>
      <c r="Z27" s="976" t="s">
        <v>3632</v>
      </c>
      <c r="AA27" s="976" t="s">
        <v>3632</v>
      </c>
      <c r="AB27" s="976" t="s">
        <v>3632</v>
      </c>
      <c r="AC27" s="976" t="s">
        <v>3632</v>
      </c>
    </row>
    <row r="28">
      <c r="A28" s="973"/>
      <c r="M28" s="18"/>
      <c r="N28" s="18"/>
    </row>
    <row r="29">
      <c r="A29" s="973"/>
      <c r="M29" s="18"/>
      <c r="N29" s="18"/>
    </row>
    <row r="30">
      <c r="A30" s="973"/>
      <c r="M30" s="18"/>
      <c r="N30" s="18"/>
    </row>
    <row r="31">
      <c r="A31" s="973"/>
      <c r="M31" s="18"/>
      <c r="N31" s="18"/>
    </row>
    <row r="32">
      <c r="A32" s="973"/>
      <c r="M32" s="18"/>
      <c r="N32" s="18"/>
    </row>
    <row r="33">
      <c r="A33" s="981" t="s">
        <v>3694</v>
      </c>
      <c r="B33" s="982"/>
      <c r="C33" s="982"/>
      <c r="D33" s="982"/>
      <c r="E33" s="982"/>
      <c r="F33" s="982"/>
      <c r="G33" s="982"/>
      <c r="H33" s="982"/>
      <c r="I33" s="982"/>
      <c r="J33" s="983"/>
      <c r="K33" s="18"/>
      <c r="L33" s="18"/>
    </row>
    <row r="34">
      <c r="A34" s="984" t="s">
        <v>3616</v>
      </c>
      <c r="B34" s="984" t="s">
        <v>0</v>
      </c>
      <c r="C34" s="984" t="s">
        <v>3617</v>
      </c>
      <c r="D34" s="984" t="s">
        <v>3695</v>
      </c>
      <c r="E34" s="984" t="s">
        <v>3696</v>
      </c>
      <c r="F34" s="984" t="s">
        <v>3697</v>
      </c>
      <c r="G34" s="984" t="s">
        <v>3698</v>
      </c>
      <c r="H34" s="984" t="s">
        <v>3699</v>
      </c>
      <c r="I34" s="984" t="s">
        <v>3700</v>
      </c>
      <c r="J34" s="984" t="s">
        <v>3701</v>
      </c>
      <c r="K34" s="18"/>
      <c r="L34" s="18"/>
    </row>
    <row r="35">
      <c r="A35" s="808">
        <v>2.0</v>
      </c>
      <c r="B35" s="985" t="s">
        <v>3702</v>
      </c>
      <c r="C35" s="808" t="s">
        <v>3703</v>
      </c>
      <c r="D35" s="808">
        <v>1170.0</v>
      </c>
      <c r="E35" s="808"/>
      <c r="F35" s="808" t="s">
        <v>3704</v>
      </c>
      <c r="G35" s="808"/>
      <c r="H35" s="808"/>
      <c r="I35" s="986"/>
      <c r="J35" s="31"/>
      <c r="K35" s="18"/>
      <c r="L35" s="18"/>
    </row>
    <row r="36">
      <c r="A36" s="808">
        <v>14.0</v>
      </c>
      <c r="B36" s="985" t="s">
        <v>3705</v>
      </c>
      <c r="C36" s="808" t="s">
        <v>3706</v>
      </c>
      <c r="D36" s="808">
        <v>2427.0</v>
      </c>
      <c r="E36" s="808"/>
      <c r="F36" s="808" t="s">
        <v>3704</v>
      </c>
      <c r="G36" s="808"/>
      <c r="H36" s="808"/>
      <c r="I36" s="986"/>
      <c r="J36" s="31"/>
      <c r="K36" s="18"/>
      <c r="L36" s="18"/>
    </row>
    <row r="37">
      <c r="A37" s="808">
        <v>36.0</v>
      </c>
      <c r="B37" s="985" t="s">
        <v>3707</v>
      </c>
      <c r="C37" s="808" t="s">
        <v>3708</v>
      </c>
      <c r="D37" s="808">
        <v>8377.0</v>
      </c>
      <c r="E37" s="986"/>
      <c r="F37" s="808" t="s">
        <v>3709</v>
      </c>
      <c r="G37" s="986"/>
      <c r="H37" s="808"/>
      <c r="I37" s="986"/>
      <c r="J37" s="31"/>
      <c r="K37" s="18"/>
      <c r="L37" s="18"/>
    </row>
    <row r="38">
      <c r="A38" s="808">
        <v>46.0</v>
      </c>
      <c r="B38" s="985" t="s">
        <v>3710</v>
      </c>
      <c r="C38" s="808" t="s">
        <v>3711</v>
      </c>
      <c r="D38" s="808">
        <v>10842.0</v>
      </c>
      <c r="E38" s="808">
        <v>10000.0</v>
      </c>
      <c r="F38" s="808" t="s">
        <v>3704</v>
      </c>
      <c r="G38" s="808"/>
      <c r="H38" s="808"/>
      <c r="I38" s="986"/>
      <c r="J38" s="31"/>
      <c r="K38" s="18"/>
      <c r="L38" s="18"/>
    </row>
    <row r="39">
      <c r="A39" s="808">
        <v>60.0</v>
      </c>
      <c r="B39" s="985" t="s">
        <v>3712</v>
      </c>
      <c r="C39" s="808" t="s">
        <v>3713</v>
      </c>
      <c r="D39" s="808">
        <v>18598.0</v>
      </c>
      <c r="E39" s="808"/>
      <c r="F39" s="808" t="s">
        <v>3704</v>
      </c>
      <c r="G39" s="808"/>
      <c r="H39" s="808"/>
      <c r="I39" s="986"/>
      <c r="J39" s="31"/>
      <c r="K39" s="18"/>
      <c r="L39" s="18"/>
    </row>
    <row r="40">
      <c r="A40" s="808">
        <v>72.0</v>
      </c>
      <c r="B40" s="985" t="s">
        <v>3714</v>
      </c>
      <c r="C40" s="808" t="s">
        <v>3715</v>
      </c>
      <c r="D40" s="808">
        <v>21842.0</v>
      </c>
      <c r="E40" s="808">
        <v>17500.0</v>
      </c>
      <c r="F40" s="808" t="s">
        <v>3716</v>
      </c>
      <c r="G40" s="808"/>
      <c r="H40" s="808"/>
      <c r="I40" s="986"/>
      <c r="J40" s="31"/>
      <c r="K40" s="18"/>
      <c r="L40" s="18"/>
    </row>
    <row r="41">
      <c r="A41" s="808">
        <v>77.0</v>
      </c>
      <c r="B41" s="985" t="s">
        <v>3717</v>
      </c>
      <c r="C41" s="808" t="s">
        <v>3718</v>
      </c>
      <c r="D41" s="808">
        <v>23733.0</v>
      </c>
      <c r="E41" s="808">
        <v>19100.0</v>
      </c>
      <c r="F41" s="808" t="s">
        <v>3704</v>
      </c>
      <c r="G41" s="808">
        <v>20.0</v>
      </c>
      <c r="H41" s="808">
        <v>20.0</v>
      </c>
      <c r="I41" s="808"/>
      <c r="J41" s="54">
        <v>15.0</v>
      </c>
      <c r="K41" s="18"/>
      <c r="L41" s="18"/>
    </row>
    <row r="42">
      <c r="A42" s="808">
        <v>87.0</v>
      </c>
      <c r="B42" s="985" t="s">
        <v>3719</v>
      </c>
      <c r="C42" s="808" t="s">
        <v>3720</v>
      </c>
      <c r="D42" s="808">
        <v>26532.0</v>
      </c>
      <c r="E42" s="808">
        <v>20700.0</v>
      </c>
      <c r="F42" s="808" t="s">
        <v>3704</v>
      </c>
      <c r="G42" s="808"/>
      <c r="H42" s="808"/>
      <c r="I42" s="808"/>
      <c r="J42" s="54"/>
      <c r="K42" s="18"/>
      <c r="L42" s="18"/>
    </row>
    <row r="43">
      <c r="A43" s="808">
        <v>107.0</v>
      </c>
      <c r="B43" s="985" t="s">
        <v>3721</v>
      </c>
      <c r="C43" s="808" t="s">
        <v>3722</v>
      </c>
      <c r="D43" s="808">
        <v>31779.0</v>
      </c>
      <c r="E43" s="808">
        <v>24200.0</v>
      </c>
      <c r="F43" s="808" t="s">
        <v>3723</v>
      </c>
      <c r="G43" s="808">
        <v>25.0</v>
      </c>
      <c r="H43" s="808">
        <v>26.0</v>
      </c>
      <c r="I43" s="808">
        <v>24.0</v>
      </c>
      <c r="J43" s="54"/>
      <c r="K43" s="18"/>
      <c r="L43" s="972" t="s">
        <v>3724</v>
      </c>
    </row>
    <row r="44">
      <c r="A44" s="808">
        <v>115.0</v>
      </c>
      <c r="B44" s="985" t="s">
        <v>3725</v>
      </c>
      <c r="C44" s="808" t="s">
        <v>3726</v>
      </c>
      <c r="D44" s="808">
        <v>34236.0</v>
      </c>
      <c r="E44" s="808">
        <v>26600.0</v>
      </c>
      <c r="F44" s="808" t="s">
        <v>3716</v>
      </c>
      <c r="G44" s="808">
        <v>29.0</v>
      </c>
      <c r="H44" s="808">
        <v>25.0</v>
      </c>
      <c r="I44" s="808">
        <v>27.0</v>
      </c>
      <c r="J44" s="31"/>
      <c r="K44" s="18"/>
      <c r="L44" s="972" t="s">
        <v>3652</v>
      </c>
    </row>
    <row r="45">
      <c r="A45" s="808">
        <v>130.0</v>
      </c>
      <c r="B45" s="985" t="s">
        <v>3727</v>
      </c>
      <c r="C45" s="808" t="s">
        <v>3728</v>
      </c>
      <c r="D45" s="808">
        <v>37085.0</v>
      </c>
      <c r="E45" s="808">
        <v>30500.0</v>
      </c>
      <c r="F45" s="808" t="s">
        <v>3709</v>
      </c>
      <c r="G45" s="808">
        <v>31.0</v>
      </c>
      <c r="H45" s="808">
        <v>25.0</v>
      </c>
      <c r="I45" s="808">
        <v>27.0</v>
      </c>
      <c r="J45" s="54"/>
      <c r="K45" s="18"/>
      <c r="L45" s="972" t="s">
        <v>3652</v>
      </c>
    </row>
    <row r="46">
      <c r="A46" s="808">
        <v>149.0</v>
      </c>
      <c r="B46" s="985" t="s">
        <v>3729</v>
      </c>
      <c r="C46" s="808" t="s">
        <v>3684</v>
      </c>
      <c r="D46" s="808">
        <v>39945.0</v>
      </c>
      <c r="E46" s="808">
        <v>33000.0</v>
      </c>
      <c r="F46" s="808" t="s">
        <v>3709</v>
      </c>
      <c r="G46" s="808">
        <v>30.0</v>
      </c>
      <c r="H46" s="808">
        <v>34.0</v>
      </c>
      <c r="I46" s="808">
        <v>36.0</v>
      </c>
      <c r="J46" s="54"/>
      <c r="K46" s="18"/>
      <c r="L46" s="972" t="s">
        <v>3663</v>
      </c>
    </row>
    <row r="47">
      <c r="A47" s="808">
        <v>155.0</v>
      </c>
      <c r="B47" s="985" t="s">
        <v>3730</v>
      </c>
      <c r="C47" s="808" t="s">
        <v>3731</v>
      </c>
      <c r="D47" s="808">
        <v>42795.0</v>
      </c>
      <c r="E47" s="808">
        <v>33000.0</v>
      </c>
      <c r="F47" s="808" t="s">
        <v>3704</v>
      </c>
      <c r="G47" s="808">
        <v>30.0</v>
      </c>
      <c r="H47" s="808">
        <v>34.0</v>
      </c>
      <c r="I47" s="808">
        <v>36.0</v>
      </c>
      <c r="J47" s="54"/>
      <c r="K47" s="18"/>
      <c r="L47" s="972" t="s">
        <v>3663</v>
      </c>
    </row>
    <row r="48">
      <c r="A48" s="808">
        <v>159.0</v>
      </c>
      <c r="B48" s="985" t="s">
        <v>3732</v>
      </c>
      <c r="C48" s="808" t="s">
        <v>3733</v>
      </c>
      <c r="D48" s="808">
        <v>45644.0</v>
      </c>
      <c r="E48" s="808">
        <v>33800.0</v>
      </c>
      <c r="F48" s="808" t="s">
        <v>3716</v>
      </c>
      <c r="G48" s="808">
        <v>35.0</v>
      </c>
      <c r="H48" s="808">
        <v>34.0</v>
      </c>
      <c r="I48" s="808">
        <v>36.0</v>
      </c>
      <c r="J48" s="54"/>
      <c r="K48" s="18"/>
      <c r="L48" s="972" t="s">
        <v>3663</v>
      </c>
    </row>
    <row r="49">
      <c r="A49" s="808">
        <v>168.0</v>
      </c>
      <c r="B49" s="985" t="s">
        <v>3734</v>
      </c>
      <c r="C49" s="808" t="s">
        <v>3735</v>
      </c>
      <c r="D49" s="808">
        <v>48504.0</v>
      </c>
      <c r="E49" s="808">
        <v>34700.0</v>
      </c>
      <c r="F49" s="808" t="s">
        <v>3716</v>
      </c>
      <c r="G49" s="808">
        <v>36.0</v>
      </c>
      <c r="H49" s="808">
        <v>35.0</v>
      </c>
      <c r="I49" s="808">
        <v>36.0</v>
      </c>
      <c r="J49" s="54"/>
      <c r="K49" s="18"/>
      <c r="L49" s="972" t="s">
        <v>3663</v>
      </c>
    </row>
    <row r="50">
      <c r="A50" s="808">
        <v>172.0</v>
      </c>
      <c r="B50" s="985" t="s">
        <v>3736</v>
      </c>
      <c r="C50" s="808" t="s">
        <v>3737</v>
      </c>
      <c r="D50" s="808">
        <v>51354.0</v>
      </c>
      <c r="E50" s="808">
        <v>35800.0</v>
      </c>
      <c r="F50" s="808" t="s">
        <v>3716</v>
      </c>
      <c r="G50" s="808">
        <v>36.0</v>
      </c>
      <c r="H50" s="808">
        <v>37.0</v>
      </c>
      <c r="I50" s="808">
        <v>36.0</v>
      </c>
      <c r="J50" s="54"/>
      <c r="K50" s="18"/>
      <c r="L50" s="972" t="s">
        <v>3663</v>
      </c>
    </row>
    <row r="51">
      <c r="A51" s="808">
        <v>176.0</v>
      </c>
      <c r="B51" s="985" t="s">
        <v>3738</v>
      </c>
      <c r="C51" s="808" t="s">
        <v>3739</v>
      </c>
      <c r="D51" s="808">
        <v>54203.0</v>
      </c>
      <c r="E51" s="808">
        <v>36800.0</v>
      </c>
      <c r="F51" s="808" t="s">
        <v>3723</v>
      </c>
      <c r="G51" s="808">
        <v>36.0</v>
      </c>
      <c r="H51" s="808">
        <v>37.0</v>
      </c>
      <c r="I51" s="808">
        <v>37.0</v>
      </c>
      <c r="J51" s="54"/>
      <c r="K51" s="18"/>
      <c r="L51" s="972" t="s">
        <v>3663</v>
      </c>
    </row>
    <row r="52">
      <c r="A52" s="808">
        <v>184.0</v>
      </c>
      <c r="B52" s="985" t="s">
        <v>3740</v>
      </c>
      <c r="C52" s="808" t="s">
        <v>3647</v>
      </c>
      <c r="D52" s="808">
        <v>57063.0</v>
      </c>
      <c r="E52" s="808">
        <v>39700.0</v>
      </c>
      <c r="F52" s="808" t="s">
        <v>3704</v>
      </c>
      <c r="G52" s="808">
        <v>45.0</v>
      </c>
      <c r="H52" s="808">
        <v>37.0</v>
      </c>
      <c r="I52" s="808">
        <v>38.0</v>
      </c>
      <c r="J52" s="54"/>
      <c r="K52" s="18"/>
      <c r="L52" s="972" t="s">
        <v>3663</v>
      </c>
    </row>
    <row r="53">
      <c r="A53" s="808">
        <v>188.0</v>
      </c>
      <c r="B53" s="985" t="s">
        <v>3741</v>
      </c>
      <c r="C53" s="808" t="s">
        <v>3742</v>
      </c>
      <c r="D53" s="808">
        <v>59913.0</v>
      </c>
      <c r="E53" s="808">
        <v>42300.0</v>
      </c>
      <c r="F53" s="808" t="s">
        <v>3704</v>
      </c>
      <c r="G53" s="808">
        <v>45.0</v>
      </c>
      <c r="H53" s="808">
        <v>44.0</v>
      </c>
      <c r="I53" s="808">
        <v>41.0</v>
      </c>
      <c r="J53" s="54"/>
      <c r="K53" s="18"/>
      <c r="L53" s="972" t="s">
        <v>3652</v>
      </c>
    </row>
    <row r="54">
      <c r="A54" s="808">
        <v>194.0</v>
      </c>
      <c r="B54" s="985" t="s">
        <v>3743</v>
      </c>
      <c r="C54" s="808" t="s">
        <v>3744</v>
      </c>
      <c r="D54" s="808">
        <v>62762.0</v>
      </c>
      <c r="E54" s="808">
        <v>45500.0</v>
      </c>
      <c r="F54" s="808" t="s">
        <v>3723</v>
      </c>
      <c r="G54" s="808">
        <v>49.0</v>
      </c>
      <c r="H54" s="808">
        <v>47.0</v>
      </c>
      <c r="I54" s="808">
        <v>49.0</v>
      </c>
      <c r="J54" s="54"/>
      <c r="K54" s="18"/>
      <c r="L54" s="972" t="s">
        <v>3652</v>
      </c>
    </row>
    <row r="55">
      <c r="A55" s="808">
        <v>204.0</v>
      </c>
      <c r="B55" s="985" t="s">
        <v>3745</v>
      </c>
      <c r="C55" s="808" t="s">
        <v>3746</v>
      </c>
      <c r="D55" s="808">
        <v>65622.0</v>
      </c>
      <c r="E55" s="808">
        <v>52800.0</v>
      </c>
      <c r="F55" s="808" t="s">
        <v>3723</v>
      </c>
      <c r="G55" s="808">
        <v>52.0</v>
      </c>
      <c r="H55" s="808">
        <v>54.0</v>
      </c>
      <c r="I55" s="808">
        <v>54.0</v>
      </c>
      <c r="J55" s="54"/>
      <c r="K55" s="18"/>
      <c r="L55" s="972" t="s">
        <v>3652</v>
      </c>
    </row>
    <row r="56">
      <c r="A56" s="808">
        <v>218.0</v>
      </c>
      <c r="B56" s="985" t="s">
        <v>3747</v>
      </c>
      <c r="C56" s="808" t="s">
        <v>3748</v>
      </c>
      <c r="D56" s="808">
        <v>68472.0</v>
      </c>
      <c r="E56" s="808"/>
      <c r="F56" s="808" t="s">
        <v>3709</v>
      </c>
      <c r="G56" s="808">
        <v>60.0</v>
      </c>
      <c r="H56" s="808">
        <v>60.0</v>
      </c>
      <c r="I56" s="808">
        <v>60.0</v>
      </c>
      <c r="J56" s="54"/>
      <c r="K56" s="18"/>
      <c r="L56" s="972" t="s">
        <v>3749</v>
      </c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>
      <c r="A61" s="981" t="s">
        <v>3750</v>
      </c>
      <c r="B61" s="982"/>
      <c r="C61" s="982"/>
      <c r="D61" s="982"/>
      <c r="E61" s="982"/>
      <c r="F61" s="982"/>
      <c r="G61" s="982"/>
      <c r="H61" s="982"/>
      <c r="I61" s="982"/>
      <c r="J61" s="982"/>
      <c r="K61" s="982"/>
      <c r="L61" s="987"/>
      <c r="M61" s="18"/>
      <c r="N61" s="18"/>
    </row>
    <row r="62">
      <c r="A62" s="984" t="s">
        <v>3616</v>
      </c>
      <c r="B62" s="984" t="s">
        <v>0</v>
      </c>
      <c r="C62" s="984" t="s">
        <v>3617</v>
      </c>
      <c r="D62" s="984" t="s">
        <v>3751</v>
      </c>
      <c r="E62" s="984" t="s">
        <v>3752</v>
      </c>
      <c r="F62" s="984" t="s">
        <v>3753</v>
      </c>
      <c r="G62" s="984" t="s">
        <v>3754</v>
      </c>
      <c r="H62" s="984" t="s">
        <v>3755</v>
      </c>
      <c r="I62" s="984" t="s">
        <v>3756</v>
      </c>
      <c r="J62" s="984" t="s">
        <v>3757</v>
      </c>
      <c r="K62" s="984" t="s">
        <v>3758</v>
      </c>
      <c r="L62" s="984" t="s">
        <v>3759</v>
      </c>
      <c r="M62" s="18"/>
      <c r="N62" s="18"/>
    </row>
    <row r="63">
      <c r="A63" s="35">
        <v>4.0</v>
      </c>
      <c r="B63" s="54" t="s">
        <v>3760</v>
      </c>
      <c r="C63" s="54" t="s">
        <v>3761</v>
      </c>
      <c r="D63" s="35">
        <v>3373.0</v>
      </c>
      <c r="E63" s="35"/>
      <c r="F63" s="35">
        <v>1254.0</v>
      </c>
      <c r="G63" s="35"/>
      <c r="H63" s="35" t="s">
        <v>3762</v>
      </c>
      <c r="I63" s="35" t="s">
        <v>3762</v>
      </c>
      <c r="J63" s="35" t="s">
        <v>3762</v>
      </c>
      <c r="K63" s="35" t="s">
        <v>3762</v>
      </c>
      <c r="L63" s="37"/>
      <c r="M63" s="18"/>
      <c r="N63" s="18"/>
    </row>
    <row r="64">
      <c r="A64" s="35">
        <v>18.0</v>
      </c>
      <c r="B64" s="54" t="s">
        <v>3763</v>
      </c>
      <c r="C64" s="54" t="s">
        <v>3764</v>
      </c>
      <c r="D64" s="35">
        <v>6746.0</v>
      </c>
      <c r="E64" s="35"/>
      <c r="F64" s="35">
        <v>3425.0</v>
      </c>
      <c r="G64" s="35"/>
      <c r="H64" s="35" t="s">
        <v>3762</v>
      </c>
      <c r="I64" s="35" t="s">
        <v>3762</v>
      </c>
      <c r="J64" s="35" t="s">
        <v>3762</v>
      </c>
      <c r="K64" s="35" t="s">
        <v>3762</v>
      </c>
      <c r="L64" s="37"/>
      <c r="M64" s="18"/>
      <c r="N64" s="18"/>
    </row>
    <row r="65">
      <c r="A65" s="35">
        <v>29.0</v>
      </c>
      <c r="B65" s="54" t="s">
        <v>3765</v>
      </c>
      <c r="C65" s="54" t="s">
        <v>3766</v>
      </c>
      <c r="D65" s="35">
        <v>10119.0</v>
      </c>
      <c r="E65" s="37"/>
      <c r="F65" s="35">
        <v>7588.0</v>
      </c>
      <c r="G65" s="35"/>
      <c r="H65" s="35" t="s">
        <v>3762</v>
      </c>
      <c r="I65" s="35" t="s">
        <v>3762</v>
      </c>
      <c r="J65" s="35" t="s">
        <v>3762</v>
      </c>
      <c r="K65" s="35" t="s">
        <v>3762</v>
      </c>
      <c r="L65" s="37"/>
      <c r="M65" s="18"/>
      <c r="N65" s="18"/>
    </row>
    <row r="66">
      <c r="A66" s="35">
        <v>42.0</v>
      </c>
      <c r="B66" s="54" t="s">
        <v>3767</v>
      </c>
      <c r="C66" s="54" t="s">
        <v>3768</v>
      </c>
      <c r="D66" s="35">
        <v>13795.0</v>
      </c>
      <c r="E66" s="35"/>
      <c r="F66" s="35">
        <v>11065.0</v>
      </c>
      <c r="G66" s="35"/>
      <c r="H66" s="35" t="s">
        <v>3762</v>
      </c>
      <c r="I66" s="35" t="s">
        <v>3762</v>
      </c>
      <c r="J66" s="35" t="s">
        <v>3762</v>
      </c>
      <c r="K66" s="35" t="s">
        <v>3762</v>
      </c>
      <c r="L66" s="37"/>
      <c r="M66" s="18"/>
      <c r="N66" s="18"/>
    </row>
    <row r="67">
      <c r="A67" s="35">
        <v>57.0</v>
      </c>
      <c r="B67" s="54" t="s">
        <v>3769</v>
      </c>
      <c r="C67" s="54" t="s">
        <v>3770</v>
      </c>
      <c r="D67" s="35">
        <v>19746.0</v>
      </c>
      <c r="E67" s="35"/>
      <c r="F67" s="35">
        <v>15946.0</v>
      </c>
      <c r="G67" s="35"/>
      <c r="H67" s="35" t="s">
        <v>3762</v>
      </c>
      <c r="I67" s="35" t="s">
        <v>3762</v>
      </c>
      <c r="J67" s="35" t="s">
        <v>3762</v>
      </c>
      <c r="K67" s="35" t="s">
        <v>3762</v>
      </c>
      <c r="L67" s="37"/>
      <c r="M67" s="18"/>
      <c r="N67" s="18"/>
    </row>
    <row r="68">
      <c r="A68" s="35">
        <v>64.0</v>
      </c>
      <c r="B68" s="54" t="s">
        <v>3771</v>
      </c>
      <c r="C68" s="54" t="s">
        <v>3772</v>
      </c>
      <c r="D68" s="35">
        <v>23695.0</v>
      </c>
      <c r="E68" s="35"/>
      <c r="F68" s="35">
        <v>15946.0</v>
      </c>
      <c r="G68" s="35"/>
      <c r="H68" s="35" t="s">
        <v>3762</v>
      </c>
      <c r="I68" s="35" t="s">
        <v>3762</v>
      </c>
      <c r="J68" s="35" t="s">
        <v>3762</v>
      </c>
      <c r="K68" s="35" t="s">
        <v>3762</v>
      </c>
      <c r="L68" s="37"/>
      <c r="M68" s="18"/>
      <c r="N68" s="18"/>
    </row>
    <row r="69">
      <c r="A69" s="35">
        <v>78.0</v>
      </c>
      <c r="B69" s="54" t="s">
        <v>3773</v>
      </c>
      <c r="C69" s="54" t="s">
        <v>3774</v>
      </c>
      <c r="D69" s="35">
        <v>31424.0</v>
      </c>
      <c r="E69" s="35"/>
      <c r="F69" s="35">
        <v>29656.0</v>
      </c>
      <c r="G69" s="35"/>
      <c r="H69" s="35" t="s">
        <v>3762</v>
      </c>
      <c r="I69" s="35" t="s">
        <v>3762</v>
      </c>
      <c r="J69" s="35" t="s">
        <v>3762</v>
      </c>
      <c r="K69" s="35" t="s">
        <v>3762</v>
      </c>
      <c r="L69" s="35"/>
      <c r="M69" s="18"/>
      <c r="N69" s="18"/>
    </row>
    <row r="70">
      <c r="A70" s="35">
        <v>94.0</v>
      </c>
      <c r="B70" s="54" t="s">
        <v>3775</v>
      </c>
      <c r="C70" s="54" t="s">
        <v>3776</v>
      </c>
      <c r="D70" s="35">
        <v>39081.0</v>
      </c>
      <c r="E70" s="35"/>
      <c r="F70" s="35">
        <v>37707.0</v>
      </c>
      <c r="G70" s="35"/>
      <c r="H70" s="35" t="s">
        <v>3762</v>
      </c>
      <c r="I70" s="35" t="s">
        <v>3762</v>
      </c>
      <c r="J70" s="35" t="s">
        <v>3762</v>
      </c>
      <c r="K70" s="35" t="s">
        <v>3762</v>
      </c>
      <c r="L70" s="35"/>
      <c r="M70" s="18"/>
      <c r="N70" s="18"/>
    </row>
    <row r="71">
      <c r="A71" s="35">
        <v>104.0</v>
      </c>
      <c r="B71" s="54" t="s">
        <v>3777</v>
      </c>
      <c r="C71" s="54" t="s">
        <v>3778</v>
      </c>
      <c r="D71" s="35">
        <v>43966.0</v>
      </c>
      <c r="E71" s="35"/>
      <c r="F71" s="35">
        <v>43585.0</v>
      </c>
      <c r="G71" s="35"/>
      <c r="H71" s="35" t="s">
        <v>3762</v>
      </c>
      <c r="I71" s="35" t="s">
        <v>3762</v>
      </c>
      <c r="J71" s="35" t="s">
        <v>3762</v>
      </c>
      <c r="K71" s="35" t="s">
        <v>3762</v>
      </c>
      <c r="L71" s="35"/>
      <c r="M71" s="18"/>
      <c r="N71" s="18"/>
    </row>
    <row r="72">
      <c r="A72" s="35">
        <v>120.0</v>
      </c>
      <c r="B72" s="54" t="s">
        <v>3779</v>
      </c>
      <c r="C72" s="54" t="s">
        <v>3780</v>
      </c>
      <c r="D72" s="35">
        <v>48852.0</v>
      </c>
      <c r="E72" s="35"/>
      <c r="F72" s="35">
        <v>53269.0</v>
      </c>
      <c r="G72" s="35"/>
      <c r="H72" s="35" t="s">
        <v>3762</v>
      </c>
      <c r="I72" s="35" t="s">
        <v>3762</v>
      </c>
      <c r="J72" s="35" t="s">
        <v>3762</v>
      </c>
      <c r="K72" s="35" t="s">
        <v>3762</v>
      </c>
      <c r="L72" s="37"/>
      <c r="M72" s="18"/>
      <c r="N72" s="18"/>
    </row>
    <row r="73">
      <c r="A73" s="35">
        <v>122.0</v>
      </c>
      <c r="B73" s="54" t="s">
        <v>3781</v>
      </c>
      <c r="C73" s="54" t="s">
        <v>3782</v>
      </c>
      <c r="D73" s="35">
        <v>53737.0</v>
      </c>
      <c r="E73" s="35">
        <v>44500.0</v>
      </c>
      <c r="F73" s="35">
        <v>58595.0</v>
      </c>
      <c r="G73" s="35">
        <v>30700.0</v>
      </c>
      <c r="H73" s="35"/>
      <c r="I73" s="35">
        <v>30.0</v>
      </c>
      <c r="J73" s="35">
        <v>30.0</v>
      </c>
      <c r="K73" s="35">
        <v>30.0</v>
      </c>
      <c r="L73" s="35">
        <v>23.0</v>
      </c>
      <c r="M73" s="18"/>
      <c r="N73" s="972" t="s">
        <v>3652</v>
      </c>
    </row>
    <row r="74">
      <c r="A74" s="35">
        <v>141.0</v>
      </c>
      <c r="B74" s="54" t="s">
        <v>3783</v>
      </c>
      <c r="C74" s="54" t="s">
        <v>3784</v>
      </c>
      <c r="D74" s="35">
        <v>58622.0</v>
      </c>
      <c r="E74" s="35">
        <v>48500.0</v>
      </c>
      <c r="F74" s="35">
        <v>63922.0</v>
      </c>
      <c r="G74" s="35"/>
      <c r="H74" s="35" t="s">
        <v>3762</v>
      </c>
      <c r="I74" s="35" t="s">
        <v>3762</v>
      </c>
      <c r="J74" s="35" t="s">
        <v>3762</v>
      </c>
      <c r="K74" s="35" t="s">
        <v>3762</v>
      </c>
      <c r="L74" s="35"/>
      <c r="M74" s="18"/>
      <c r="N74" s="18"/>
    </row>
    <row r="75">
      <c r="A75" s="35">
        <v>152.0</v>
      </c>
      <c r="B75" s="988" t="s">
        <v>3785</v>
      </c>
      <c r="C75" s="54" t="s">
        <v>3786</v>
      </c>
      <c r="D75" s="35">
        <v>63507.0</v>
      </c>
      <c r="E75" s="35">
        <v>51000.0</v>
      </c>
      <c r="F75" s="35">
        <v>69249.0</v>
      </c>
      <c r="G75" s="35">
        <v>35400.0</v>
      </c>
      <c r="H75" s="35" t="s">
        <v>3762</v>
      </c>
      <c r="I75" s="35" t="s">
        <v>3762</v>
      </c>
      <c r="J75" s="35" t="s">
        <v>3762</v>
      </c>
      <c r="K75" s="35" t="s">
        <v>3762</v>
      </c>
      <c r="L75" s="35"/>
      <c r="M75" s="18"/>
      <c r="N75" s="18"/>
    </row>
    <row r="76">
      <c r="A76" s="35">
        <v>163.0</v>
      </c>
      <c r="B76" s="54" t="s">
        <v>3787</v>
      </c>
      <c r="C76" s="54" t="s">
        <v>3788</v>
      </c>
      <c r="D76" s="35">
        <v>68392.0</v>
      </c>
      <c r="E76" s="989">
        <v>50461.0</v>
      </c>
      <c r="F76" s="35">
        <v>74575.0</v>
      </c>
      <c r="G76" s="35"/>
      <c r="H76" s="35">
        <v>44.0</v>
      </c>
      <c r="I76" s="35">
        <v>34.0</v>
      </c>
      <c r="J76" s="35">
        <v>33.0</v>
      </c>
      <c r="K76" s="35"/>
      <c r="L76" s="35">
        <v>34.0</v>
      </c>
      <c r="M76" s="18"/>
      <c r="N76" s="972" t="s">
        <v>3789</v>
      </c>
    </row>
    <row r="77">
      <c r="A77" s="35">
        <v>174.0</v>
      </c>
      <c r="B77" s="54" t="s">
        <v>3790</v>
      </c>
      <c r="C77" s="54" t="s">
        <v>3791</v>
      </c>
      <c r="D77" s="35">
        <v>70593.0</v>
      </c>
      <c r="E77" s="35">
        <v>50100.0</v>
      </c>
      <c r="F77" s="35">
        <v>76975.0</v>
      </c>
      <c r="G77" s="35"/>
      <c r="H77" s="35"/>
      <c r="I77" s="35">
        <v>37.0</v>
      </c>
      <c r="J77" s="35">
        <v>42.0</v>
      </c>
      <c r="K77" s="35">
        <v>38.0</v>
      </c>
      <c r="L77" s="35">
        <v>28.0</v>
      </c>
      <c r="M77" s="18"/>
      <c r="N77" s="972" t="s">
        <v>3652</v>
      </c>
    </row>
    <row r="78">
      <c r="A78" s="35">
        <v>186.0</v>
      </c>
      <c r="B78" s="54" t="s">
        <v>3792</v>
      </c>
      <c r="C78" s="54" t="s">
        <v>3793</v>
      </c>
      <c r="D78" s="35">
        <v>74378.0</v>
      </c>
      <c r="E78" s="35">
        <v>51800.0</v>
      </c>
      <c r="F78" s="35">
        <v>81102.0</v>
      </c>
      <c r="G78" s="35"/>
      <c r="H78" s="35"/>
      <c r="I78" s="35">
        <v>39.0</v>
      </c>
      <c r="J78" s="35">
        <v>43.0</v>
      </c>
      <c r="K78" s="35">
        <v>39.0</v>
      </c>
      <c r="L78" s="35">
        <v>28.0</v>
      </c>
      <c r="M78" s="18"/>
      <c r="N78" s="972" t="s">
        <v>3652</v>
      </c>
    </row>
    <row r="79">
      <c r="A79" s="35">
        <v>195.0</v>
      </c>
      <c r="B79" s="54" t="s">
        <v>3794</v>
      </c>
      <c r="C79" s="54" t="s">
        <v>3795</v>
      </c>
      <c r="D79" s="35">
        <v>78163.0</v>
      </c>
      <c r="E79" s="35">
        <v>54200.0</v>
      </c>
      <c r="F79" s="35">
        <v>85230.0</v>
      </c>
      <c r="G79" s="35"/>
      <c r="H79" s="35"/>
      <c r="I79" s="35">
        <v>43.0</v>
      </c>
      <c r="J79" s="35">
        <v>44.0</v>
      </c>
      <c r="K79" s="35">
        <v>39.0</v>
      </c>
      <c r="L79" s="35">
        <v>28.0</v>
      </c>
      <c r="M79" s="18"/>
      <c r="N79" s="972" t="s">
        <v>3652</v>
      </c>
    </row>
    <row r="80">
      <c r="A80" s="35">
        <v>207.0</v>
      </c>
      <c r="B80" s="54" t="s">
        <v>3796</v>
      </c>
      <c r="C80" s="54" t="s">
        <v>3797</v>
      </c>
      <c r="D80" s="35">
        <v>80364.0</v>
      </c>
      <c r="E80" s="35">
        <v>54900.0</v>
      </c>
      <c r="F80" s="35">
        <v>87630.0</v>
      </c>
      <c r="G80" s="35"/>
      <c r="H80" s="35"/>
      <c r="I80" s="35">
        <v>43.0</v>
      </c>
      <c r="J80" s="35">
        <v>44.0</v>
      </c>
      <c r="K80" s="35">
        <v>40.0</v>
      </c>
      <c r="L80" s="35">
        <v>28.0</v>
      </c>
      <c r="M80" s="18"/>
      <c r="N80" s="972" t="s">
        <v>3652</v>
      </c>
    </row>
    <row r="81">
      <c r="A81" s="35">
        <v>208.0</v>
      </c>
      <c r="B81" s="54" t="s">
        <v>3798</v>
      </c>
      <c r="C81" s="54" t="s">
        <v>3776</v>
      </c>
      <c r="D81" s="35">
        <v>84148.0</v>
      </c>
      <c r="E81" s="35">
        <v>57200.0</v>
      </c>
      <c r="F81" s="35">
        <v>91756.0</v>
      </c>
      <c r="G81" s="35"/>
      <c r="H81" s="35"/>
      <c r="I81" s="35">
        <v>45.0</v>
      </c>
      <c r="J81" s="35">
        <v>44.0</v>
      </c>
      <c r="K81" s="35">
        <v>43.0</v>
      </c>
      <c r="L81" s="35">
        <v>32.0</v>
      </c>
      <c r="M81" s="18"/>
      <c r="N81" s="972" t="s">
        <v>3663</v>
      </c>
    </row>
    <row r="82">
      <c r="A82" s="35">
        <v>216.0</v>
      </c>
      <c r="B82" s="54" t="s">
        <v>3799</v>
      </c>
      <c r="C82" s="54" t="s">
        <v>3800</v>
      </c>
      <c r="D82" s="35">
        <v>87933.0</v>
      </c>
      <c r="E82" s="35">
        <v>71800.0</v>
      </c>
      <c r="F82" s="35">
        <v>95883.0</v>
      </c>
      <c r="G82" s="35"/>
      <c r="H82" s="35"/>
      <c r="I82" s="35">
        <v>43.0</v>
      </c>
      <c r="J82" s="35">
        <v>47.0</v>
      </c>
      <c r="K82" s="35">
        <v>43.0</v>
      </c>
      <c r="L82" s="35">
        <v>28.0</v>
      </c>
      <c r="M82" s="18"/>
      <c r="N82" s="972" t="s">
        <v>3652</v>
      </c>
    </row>
    <row r="83">
      <c r="A83" s="35">
        <v>226.0</v>
      </c>
      <c r="B83" s="54" t="s">
        <v>3801</v>
      </c>
      <c r="C83" s="54" t="s">
        <v>3802</v>
      </c>
      <c r="D83" s="35">
        <v>90134.0</v>
      </c>
      <c r="E83" s="35">
        <v>61500.0</v>
      </c>
      <c r="F83" s="35">
        <v>98283.0</v>
      </c>
      <c r="G83" s="35"/>
      <c r="H83" s="35"/>
      <c r="I83" s="35">
        <v>48.0</v>
      </c>
      <c r="J83" s="35">
        <v>47.0</v>
      </c>
      <c r="K83" s="35">
        <v>45.0</v>
      </c>
      <c r="L83" s="35">
        <v>32.0</v>
      </c>
      <c r="M83" s="18"/>
      <c r="N83" s="972" t="s">
        <v>3663</v>
      </c>
    </row>
    <row r="84">
      <c r="A84" s="35">
        <v>231.0</v>
      </c>
      <c r="B84" s="54" t="s">
        <v>3803</v>
      </c>
      <c r="C84" s="54" t="s">
        <v>3804</v>
      </c>
      <c r="D84" s="35">
        <v>93919.0</v>
      </c>
      <c r="E84" s="35">
        <v>65700.0</v>
      </c>
      <c r="F84" s="35">
        <v>102410.0</v>
      </c>
      <c r="G84" s="35"/>
      <c r="H84" s="35"/>
      <c r="I84" s="35">
        <v>51.0</v>
      </c>
      <c r="J84" s="35">
        <v>51.0</v>
      </c>
      <c r="K84" s="35">
        <v>47.0</v>
      </c>
      <c r="L84" s="35">
        <v>32.0</v>
      </c>
      <c r="M84" s="18"/>
      <c r="N84" s="972" t="s">
        <v>3663</v>
      </c>
    </row>
    <row r="85">
      <c r="A85" s="35">
        <v>240.0</v>
      </c>
      <c r="B85" s="54" t="s">
        <v>3805</v>
      </c>
      <c r="C85" s="54" t="s">
        <v>3806</v>
      </c>
      <c r="D85" s="35">
        <v>97704.0</v>
      </c>
      <c r="E85" s="35">
        <v>68900.0</v>
      </c>
      <c r="F85" s="35">
        <v>106538.0</v>
      </c>
      <c r="G85" s="35"/>
      <c r="H85" s="35"/>
      <c r="I85" s="35">
        <v>53.0</v>
      </c>
      <c r="J85" s="35">
        <v>52.0</v>
      </c>
      <c r="K85" s="35">
        <v>49.0</v>
      </c>
      <c r="L85" s="35">
        <v>35.0</v>
      </c>
      <c r="M85" s="18"/>
      <c r="N85" s="972" t="s">
        <v>3663</v>
      </c>
    </row>
    <row r="89">
      <c r="A89" s="981" t="s">
        <v>3807</v>
      </c>
      <c r="B89" s="982"/>
      <c r="C89" s="982"/>
      <c r="D89" s="982"/>
      <c r="E89" s="982"/>
      <c r="F89" s="982"/>
      <c r="G89" s="982"/>
      <c r="H89" s="982"/>
      <c r="I89" s="982"/>
      <c r="J89" s="982"/>
      <c r="K89" s="982"/>
      <c r="L89" s="987"/>
      <c r="M89" s="18"/>
      <c r="N89" s="18"/>
    </row>
    <row r="90">
      <c r="A90" s="984" t="s">
        <v>3616</v>
      </c>
      <c r="B90" s="984" t="s">
        <v>0</v>
      </c>
      <c r="C90" s="984" t="s">
        <v>3617</v>
      </c>
      <c r="D90" s="984" t="s">
        <v>3808</v>
      </c>
      <c r="E90" s="984" t="s">
        <v>3809</v>
      </c>
      <c r="F90" s="984" t="s">
        <v>3810</v>
      </c>
      <c r="G90" s="984" t="s">
        <v>1140</v>
      </c>
      <c r="H90" s="984" t="s">
        <v>3811</v>
      </c>
      <c r="I90" s="984" t="s">
        <v>3812</v>
      </c>
      <c r="J90" s="984" t="s">
        <v>3813</v>
      </c>
      <c r="K90" s="984" t="s">
        <v>3814</v>
      </c>
      <c r="L90" s="984" t="s">
        <v>3700</v>
      </c>
      <c r="M90" s="18"/>
      <c r="N90" s="18"/>
    </row>
    <row r="91">
      <c r="A91" s="35">
        <v>5.0</v>
      </c>
      <c r="B91" s="54" t="s">
        <v>3815</v>
      </c>
      <c r="C91" s="54" t="s">
        <v>3816</v>
      </c>
      <c r="D91" s="35">
        <v>1544.0</v>
      </c>
      <c r="E91" s="35"/>
      <c r="F91" s="35" t="s">
        <v>3817</v>
      </c>
      <c r="G91" s="990"/>
      <c r="H91" s="35"/>
      <c r="I91" s="35"/>
      <c r="J91" s="37"/>
      <c r="K91" s="37"/>
      <c r="L91" s="37"/>
      <c r="M91" s="18"/>
      <c r="N91" s="18"/>
    </row>
    <row r="92">
      <c r="A92" s="35">
        <v>10.0</v>
      </c>
      <c r="B92" s="54" t="s">
        <v>3818</v>
      </c>
      <c r="C92" s="54" t="s">
        <v>3819</v>
      </c>
      <c r="D92" s="35">
        <v>2132.0</v>
      </c>
      <c r="E92" s="35"/>
      <c r="F92" s="35" t="s">
        <v>3820</v>
      </c>
      <c r="G92" s="990"/>
      <c r="H92" s="35" t="s">
        <v>3762</v>
      </c>
      <c r="I92" s="35" t="s">
        <v>3762</v>
      </c>
      <c r="J92" s="37"/>
      <c r="K92" s="35" t="s">
        <v>3762</v>
      </c>
      <c r="L92" s="37"/>
      <c r="M92" s="18"/>
      <c r="N92" s="18"/>
    </row>
    <row r="93">
      <c r="A93" s="35">
        <v>20.0</v>
      </c>
      <c r="B93" s="54" t="s">
        <v>3821</v>
      </c>
      <c r="C93" s="54" t="s">
        <v>3822</v>
      </c>
      <c r="D93" s="35">
        <v>3517.0</v>
      </c>
      <c r="E93" s="35">
        <v>4500.0</v>
      </c>
      <c r="F93" s="35" t="s">
        <v>3823</v>
      </c>
      <c r="G93" s="990"/>
      <c r="H93" s="35" t="s">
        <v>3762</v>
      </c>
      <c r="I93" s="35" t="s">
        <v>3762</v>
      </c>
      <c r="J93" s="37"/>
      <c r="K93" s="35" t="s">
        <v>3762</v>
      </c>
      <c r="L93" s="37"/>
      <c r="M93" s="18"/>
      <c r="N93" s="18"/>
    </row>
    <row r="94">
      <c r="A94" s="35">
        <v>30.0</v>
      </c>
      <c r="B94" s="54" t="s">
        <v>3824</v>
      </c>
      <c r="C94" s="54" t="s">
        <v>3825</v>
      </c>
      <c r="D94" s="35">
        <v>6725.0</v>
      </c>
      <c r="E94" s="35">
        <v>7750.0</v>
      </c>
      <c r="F94" s="35" t="s">
        <v>3826</v>
      </c>
      <c r="G94" s="990"/>
      <c r="H94" s="35" t="s">
        <v>3762</v>
      </c>
      <c r="I94" s="35" t="s">
        <v>3762</v>
      </c>
      <c r="J94" s="37"/>
      <c r="K94" s="35" t="s">
        <v>3762</v>
      </c>
      <c r="L94" s="37"/>
      <c r="M94" s="18"/>
      <c r="N94" s="18"/>
    </row>
    <row r="95">
      <c r="A95" s="35">
        <v>35.0</v>
      </c>
      <c r="B95" s="54" t="s">
        <v>3827</v>
      </c>
      <c r="C95" s="54" t="s">
        <v>3828</v>
      </c>
      <c r="D95" s="35">
        <v>7555.0</v>
      </c>
      <c r="E95" s="35">
        <v>9000.0</v>
      </c>
      <c r="F95" s="35" t="s">
        <v>3826</v>
      </c>
      <c r="G95" s="990"/>
      <c r="H95" s="35" t="s">
        <v>3762</v>
      </c>
      <c r="I95" s="35" t="s">
        <v>3762</v>
      </c>
      <c r="J95" s="37"/>
      <c r="K95" s="35" t="s">
        <v>3762</v>
      </c>
      <c r="L95" s="37"/>
      <c r="M95" s="18"/>
      <c r="N95" s="18"/>
    </row>
    <row r="96">
      <c r="A96" s="35">
        <v>40.0</v>
      </c>
      <c r="B96" s="54" t="s">
        <v>3829</v>
      </c>
      <c r="C96" s="54" t="s">
        <v>3830</v>
      </c>
      <c r="D96" s="35">
        <v>14076.0</v>
      </c>
      <c r="E96" s="35"/>
      <c r="F96" s="35" t="s">
        <v>3820</v>
      </c>
      <c r="G96" s="990"/>
      <c r="H96" s="35" t="s">
        <v>3762</v>
      </c>
      <c r="I96" s="35" t="s">
        <v>3762</v>
      </c>
      <c r="J96" s="35" t="s">
        <v>3762</v>
      </c>
      <c r="K96" s="37"/>
      <c r="L96" s="37"/>
      <c r="M96" s="18"/>
      <c r="N96" s="18"/>
    </row>
    <row r="97">
      <c r="A97" s="35">
        <v>52.0</v>
      </c>
      <c r="B97" s="54" t="s">
        <v>3831</v>
      </c>
      <c r="C97" s="54" t="s">
        <v>3832</v>
      </c>
      <c r="D97" s="35">
        <v>17595.0</v>
      </c>
      <c r="E97" s="35">
        <v>15900.0</v>
      </c>
      <c r="F97" s="35" t="s">
        <v>3823</v>
      </c>
      <c r="G97" s="990"/>
      <c r="H97" s="35" t="s">
        <v>3762</v>
      </c>
      <c r="I97" s="35"/>
      <c r="J97" s="35" t="s">
        <v>3762</v>
      </c>
      <c r="K97" s="35" t="s">
        <v>3762</v>
      </c>
      <c r="L97" s="35"/>
      <c r="M97" s="18"/>
      <c r="N97" s="18"/>
    </row>
    <row r="98">
      <c r="A98" s="35">
        <v>55.0</v>
      </c>
      <c r="B98" s="54" t="s">
        <v>3833</v>
      </c>
      <c r="C98" s="54" t="s">
        <v>3834</v>
      </c>
      <c r="D98" s="35">
        <v>18442.0</v>
      </c>
      <c r="E98" s="35">
        <v>16500.0</v>
      </c>
      <c r="F98" s="35" t="s">
        <v>3823</v>
      </c>
      <c r="G98" s="990"/>
      <c r="H98" s="35" t="s">
        <v>3762</v>
      </c>
      <c r="I98" s="35"/>
      <c r="J98" s="35" t="s">
        <v>3762</v>
      </c>
      <c r="K98" s="35" t="s">
        <v>3762</v>
      </c>
      <c r="L98" s="35"/>
      <c r="M98" s="18"/>
      <c r="N98" s="18"/>
    </row>
    <row r="99">
      <c r="A99" s="35">
        <v>63.0</v>
      </c>
      <c r="B99" s="54" t="s">
        <v>3835</v>
      </c>
      <c r="C99" s="54" t="s">
        <v>3836</v>
      </c>
      <c r="D99" s="35">
        <v>20853.0</v>
      </c>
      <c r="E99" s="35">
        <v>17200.0</v>
      </c>
      <c r="F99" s="35" t="s">
        <v>3817</v>
      </c>
      <c r="G99" s="990"/>
      <c r="H99" s="35" t="s">
        <v>3762</v>
      </c>
      <c r="I99" s="35"/>
      <c r="J99" s="35" t="s">
        <v>3762</v>
      </c>
      <c r="K99" s="35" t="s">
        <v>3762</v>
      </c>
      <c r="L99" s="35"/>
      <c r="M99" s="18"/>
      <c r="N99" s="18"/>
    </row>
    <row r="100">
      <c r="A100" s="35">
        <v>79.0</v>
      </c>
      <c r="B100" s="54" t="s">
        <v>3837</v>
      </c>
      <c r="C100" s="54" t="s">
        <v>3838</v>
      </c>
      <c r="D100" s="35">
        <v>25697.0</v>
      </c>
      <c r="E100" s="35">
        <v>18700.0</v>
      </c>
      <c r="F100" s="35" t="s">
        <v>3820</v>
      </c>
      <c r="G100" s="990"/>
      <c r="H100" s="35">
        <v>29.0</v>
      </c>
      <c r="I100" s="35"/>
      <c r="J100" s="35">
        <v>12.0</v>
      </c>
      <c r="K100" s="35">
        <v>11.0</v>
      </c>
      <c r="L100" s="37"/>
      <c r="M100" s="18"/>
      <c r="N100" s="18"/>
    </row>
    <row r="101">
      <c r="A101" s="35">
        <v>82.0</v>
      </c>
      <c r="B101" s="54" t="s">
        <v>3839</v>
      </c>
      <c r="C101" s="54" t="s">
        <v>3840</v>
      </c>
      <c r="D101" s="35">
        <v>26184.0</v>
      </c>
      <c r="E101" s="35">
        <v>20900.0</v>
      </c>
      <c r="F101" s="35" t="s">
        <v>3823</v>
      </c>
      <c r="G101" s="990"/>
      <c r="H101" s="35">
        <v>30.0</v>
      </c>
      <c r="I101" s="35"/>
      <c r="J101" s="35">
        <v>14.0</v>
      </c>
      <c r="K101" s="35">
        <v>14.0</v>
      </c>
      <c r="L101" s="35"/>
      <c r="M101" s="18"/>
      <c r="N101" s="18"/>
    </row>
    <row r="102">
      <c r="A102" s="35">
        <v>88.0</v>
      </c>
      <c r="B102" s="54" t="s">
        <v>3841</v>
      </c>
      <c r="C102" s="54" t="s">
        <v>3842</v>
      </c>
      <c r="D102" s="35">
        <v>28476.0</v>
      </c>
      <c r="E102" s="35">
        <v>25700.0</v>
      </c>
      <c r="F102" s="35" t="s">
        <v>3826</v>
      </c>
      <c r="G102" s="990"/>
      <c r="H102" s="35" t="s">
        <v>3762</v>
      </c>
      <c r="I102" s="35" t="s">
        <v>3762</v>
      </c>
      <c r="J102" s="35" t="s">
        <v>3762</v>
      </c>
      <c r="K102" s="35"/>
      <c r="L102" s="35"/>
      <c r="M102" s="18"/>
      <c r="N102" s="18"/>
    </row>
    <row r="103">
      <c r="A103" s="35">
        <v>98.0</v>
      </c>
      <c r="B103" s="988" t="s">
        <v>3843</v>
      </c>
      <c r="C103" s="54" t="s">
        <v>3844</v>
      </c>
      <c r="D103" s="35">
        <v>31385.0</v>
      </c>
      <c r="E103" s="35">
        <v>28500.0</v>
      </c>
      <c r="F103" s="808" t="s">
        <v>3823</v>
      </c>
      <c r="G103" s="991"/>
      <c r="H103" s="808" t="s">
        <v>3762</v>
      </c>
      <c r="I103" s="808" t="s">
        <v>3762</v>
      </c>
      <c r="J103" s="808" t="s">
        <v>3762</v>
      </c>
      <c r="K103" s="808"/>
      <c r="L103" s="808"/>
      <c r="M103" s="18"/>
      <c r="N103" s="18"/>
    </row>
    <row r="104">
      <c r="A104" s="35">
        <v>105.0</v>
      </c>
      <c r="B104" s="54" t="s">
        <v>3845</v>
      </c>
      <c r="C104" s="54" t="s">
        <v>3846</v>
      </c>
      <c r="D104" s="35">
        <v>33320.0</v>
      </c>
      <c r="E104" s="35">
        <v>28900.0</v>
      </c>
      <c r="F104" s="808" t="s">
        <v>3817</v>
      </c>
      <c r="G104" s="991"/>
      <c r="H104" s="808" t="s">
        <v>3762</v>
      </c>
      <c r="I104" s="808" t="s">
        <v>3762</v>
      </c>
      <c r="J104" s="808" t="s">
        <v>3762</v>
      </c>
      <c r="K104" s="808"/>
      <c r="L104" s="808"/>
      <c r="M104" s="18"/>
      <c r="N104" s="18"/>
    </row>
    <row r="105">
      <c r="A105" s="35">
        <v>116.0</v>
      </c>
      <c r="B105" s="54" t="s">
        <v>3847</v>
      </c>
      <c r="C105" s="54" t="s">
        <v>3848</v>
      </c>
      <c r="D105" s="35">
        <v>36828.0</v>
      </c>
      <c r="E105" s="35">
        <v>29700.0</v>
      </c>
      <c r="F105" s="808" t="s">
        <v>3823</v>
      </c>
      <c r="G105" s="991"/>
      <c r="H105" s="808" t="s">
        <v>3762</v>
      </c>
      <c r="I105" s="808" t="s">
        <v>3762</v>
      </c>
      <c r="J105" s="808" t="s">
        <v>3762</v>
      </c>
      <c r="K105" s="808"/>
      <c r="L105" s="808"/>
      <c r="M105" s="18"/>
      <c r="N105" s="18"/>
    </row>
    <row r="106">
      <c r="A106" s="35">
        <v>136.0</v>
      </c>
      <c r="B106" s="54" t="s">
        <v>3849</v>
      </c>
      <c r="C106" s="54" t="s">
        <v>3850</v>
      </c>
      <c r="D106" s="35">
        <v>41431.0</v>
      </c>
      <c r="E106" s="35">
        <v>31900.0</v>
      </c>
      <c r="F106" s="808" t="s">
        <v>3823</v>
      </c>
      <c r="G106" s="992">
        <v>1582200.0</v>
      </c>
      <c r="H106" s="808">
        <v>38.0</v>
      </c>
      <c r="I106" s="808"/>
      <c r="J106" s="808">
        <v>34.0</v>
      </c>
      <c r="K106" s="808">
        <v>31.0</v>
      </c>
      <c r="L106" s="808"/>
      <c r="M106" s="18"/>
      <c r="N106" s="972" t="s">
        <v>3663</v>
      </c>
    </row>
    <row r="107">
      <c r="A107" s="35">
        <v>150.0</v>
      </c>
      <c r="B107" s="54" t="s">
        <v>3851</v>
      </c>
      <c r="C107" s="54" t="s">
        <v>3852</v>
      </c>
      <c r="D107" s="35">
        <v>46035.0</v>
      </c>
      <c r="E107" s="35">
        <v>32000.0</v>
      </c>
      <c r="F107" s="808" t="s">
        <v>3823</v>
      </c>
      <c r="G107" s="992">
        <v>1982066.0</v>
      </c>
      <c r="H107" s="808">
        <v>41.0</v>
      </c>
      <c r="I107" s="808">
        <v>41.0</v>
      </c>
      <c r="J107" s="808">
        <v>38.0</v>
      </c>
      <c r="K107" s="808"/>
      <c r="L107" s="808"/>
      <c r="M107" s="18"/>
      <c r="N107" s="972" t="s">
        <v>3663</v>
      </c>
    </row>
    <row r="108">
      <c r="A108" s="35">
        <v>158.0</v>
      </c>
      <c r="B108" s="54" t="s">
        <v>3853</v>
      </c>
      <c r="C108" s="54" t="s">
        <v>3854</v>
      </c>
      <c r="D108" s="35">
        <v>50638.0</v>
      </c>
      <c r="E108" s="35">
        <v>42100.0</v>
      </c>
      <c r="F108" s="808" t="s">
        <v>3817</v>
      </c>
      <c r="G108" s="992">
        <v>2591266.0</v>
      </c>
      <c r="H108" s="808">
        <v>43.0</v>
      </c>
      <c r="I108" s="808"/>
      <c r="J108" s="808">
        <v>41.0</v>
      </c>
      <c r="K108" s="808">
        <v>43.0</v>
      </c>
      <c r="L108" s="808"/>
      <c r="M108" s="18"/>
      <c r="N108" s="972" t="s">
        <v>3663</v>
      </c>
    </row>
    <row r="109">
      <c r="A109" s="35">
        <v>180.0</v>
      </c>
      <c r="B109" s="54" t="s">
        <v>3855</v>
      </c>
      <c r="C109" s="54" t="s">
        <v>3856</v>
      </c>
      <c r="D109" s="35">
        <v>55242.0</v>
      </c>
      <c r="E109" s="35">
        <v>44200.0</v>
      </c>
      <c r="F109" s="808" t="s">
        <v>3820</v>
      </c>
      <c r="G109" s="992">
        <v>3759716.0</v>
      </c>
      <c r="H109" s="808">
        <v>46.0</v>
      </c>
      <c r="I109" s="808"/>
      <c r="J109" s="808">
        <v>44.0</v>
      </c>
      <c r="K109" s="808">
        <v>46.0</v>
      </c>
      <c r="L109" s="808"/>
      <c r="M109" s="18"/>
      <c r="N109" s="972" t="s">
        <v>3663</v>
      </c>
    </row>
    <row r="110">
      <c r="A110" s="35">
        <v>190.0</v>
      </c>
      <c r="B110" s="54" t="s">
        <v>3857</v>
      </c>
      <c r="C110" s="54" t="s">
        <v>3858</v>
      </c>
      <c r="D110" s="35">
        <v>55242.0</v>
      </c>
      <c r="E110" s="35">
        <v>47600.0</v>
      </c>
      <c r="F110" s="808" t="s">
        <v>3826</v>
      </c>
      <c r="G110" s="991"/>
      <c r="H110" s="808">
        <v>49.0</v>
      </c>
      <c r="I110" s="808"/>
      <c r="J110" s="808">
        <v>49.0</v>
      </c>
      <c r="K110" s="808">
        <v>49.0</v>
      </c>
      <c r="L110" s="808"/>
      <c r="M110" s="18"/>
      <c r="N110" s="972" t="s">
        <v>3663</v>
      </c>
    </row>
    <row r="111">
      <c r="A111" s="35">
        <v>199.0</v>
      </c>
      <c r="B111" s="54" t="s">
        <v>3859</v>
      </c>
      <c r="C111" s="54" t="s">
        <v>3860</v>
      </c>
      <c r="D111" s="35">
        <v>64449.0</v>
      </c>
      <c r="E111" s="35">
        <v>51600.0</v>
      </c>
      <c r="F111" s="808" t="s">
        <v>3823</v>
      </c>
      <c r="G111" s="991"/>
      <c r="H111" s="808">
        <v>52.0</v>
      </c>
      <c r="I111" s="808"/>
      <c r="J111" s="808">
        <v>53.0</v>
      </c>
      <c r="K111" s="808">
        <v>53.0</v>
      </c>
      <c r="L111" s="808"/>
      <c r="M111" s="18"/>
      <c r="N111" s="972" t="s">
        <v>3663</v>
      </c>
    </row>
    <row r="112">
      <c r="A112" s="35">
        <v>210.0</v>
      </c>
      <c r="B112" s="54" t="s">
        <v>3861</v>
      </c>
      <c r="C112" s="54" t="s">
        <v>3862</v>
      </c>
      <c r="D112" s="35">
        <v>69052.0</v>
      </c>
      <c r="E112" s="35">
        <v>54400.0</v>
      </c>
      <c r="F112" s="808" t="s">
        <v>3817</v>
      </c>
      <c r="G112" s="991"/>
      <c r="H112" s="808">
        <v>57.0</v>
      </c>
      <c r="I112" s="808"/>
      <c r="J112" s="808">
        <v>57.0</v>
      </c>
      <c r="K112" s="808">
        <v>57.0</v>
      </c>
      <c r="L112" s="808"/>
      <c r="M112" s="18"/>
      <c r="N112" s="972" t="s">
        <v>3663</v>
      </c>
    </row>
    <row r="113">
      <c r="A113" s="35">
        <v>238.0</v>
      </c>
      <c r="B113" s="54" t="s">
        <v>3863</v>
      </c>
      <c r="C113" s="54" t="s">
        <v>3864</v>
      </c>
      <c r="D113" s="35">
        <v>73656.0</v>
      </c>
      <c r="E113" s="35">
        <v>56500.0</v>
      </c>
      <c r="F113" s="808" t="s">
        <v>3820</v>
      </c>
      <c r="G113" s="991"/>
      <c r="H113" s="808">
        <v>60.0</v>
      </c>
      <c r="I113" s="808"/>
      <c r="J113" s="808">
        <v>60.0</v>
      </c>
      <c r="K113" s="808">
        <v>60.0</v>
      </c>
      <c r="L113" s="808"/>
      <c r="M113" s="18"/>
      <c r="N113" s="972" t="s">
        <v>3663</v>
      </c>
    </row>
    <row r="117">
      <c r="A117" s="691" t="s">
        <v>3865</v>
      </c>
      <c r="B117" s="974"/>
      <c r="C117" s="974"/>
      <c r="D117" s="974"/>
      <c r="E117" s="974"/>
      <c r="F117" s="974"/>
      <c r="G117" s="974"/>
      <c r="H117" s="974"/>
      <c r="I117" s="993"/>
      <c r="K117" s="18"/>
    </row>
    <row r="118">
      <c r="A118" s="994" t="s">
        <v>3616</v>
      </c>
      <c r="B118" s="994" t="s">
        <v>0</v>
      </c>
      <c r="C118" s="994" t="s">
        <v>3617</v>
      </c>
      <c r="D118" s="994" t="s">
        <v>3866</v>
      </c>
      <c r="E118" s="994" t="s">
        <v>3867</v>
      </c>
      <c r="F118" s="994" t="s">
        <v>3811</v>
      </c>
      <c r="G118" s="994" t="s">
        <v>3868</v>
      </c>
      <c r="H118" s="994" t="s">
        <v>3869</v>
      </c>
      <c r="I118" s="994" t="s">
        <v>3870</v>
      </c>
    </row>
    <row r="119">
      <c r="A119" s="35">
        <v>6.0</v>
      </c>
      <c r="B119" s="54" t="s">
        <v>3871</v>
      </c>
      <c r="C119" s="54" t="s">
        <v>3872</v>
      </c>
      <c r="D119" s="35">
        <v>2710.0</v>
      </c>
      <c r="E119" s="35"/>
      <c r="F119" s="35"/>
      <c r="G119" s="35" t="s">
        <v>3762</v>
      </c>
      <c r="H119" s="37"/>
      <c r="I119" s="35" t="s">
        <v>3762</v>
      </c>
    </row>
    <row r="120">
      <c r="A120" s="35">
        <v>21.0</v>
      </c>
      <c r="B120" s="54" t="s">
        <v>3873</v>
      </c>
      <c r="C120" s="54" t="s">
        <v>3806</v>
      </c>
      <c r="D120" s="35">
        <v>5421.0</v>
      </c>
      <c r="E120" s="35"/>
      <c r="F120" s="35" t="s">
        <v>3762</v>
      </c>
      <c r="G120" s="35" t="s">
        <v>3762</v>
      </c>
      <c r="H120" s="35" t="s">
        <v>3762</v>
      </c>
      <c r="I120" s="35"/>
    </row>
    <row r="121">
      <c r="A121" s="35">
        <v>26.0</v>
      </c>
      <c r="B121" s="54" t="s">
        <v>3874</v>
      </c>
      <c r="C121" s="54" t="s">
        <v>3875</v>
      </c>
      <c r="D121" s="35">
        <v>9888.0</v>
      </c>
      <c r="E121" s="35">
        <v>10000.0</v>
      </c>
      <c r="F121" s="35" t="s">
        <v>3762</v>
      </c>
      <c r="G121" s="35" t="s">
        <v>3762</v>
      </c>
      <c r="H121" s="35" t="s">
        <v>3762</v>
      </c>
      <c r="I121" s="35"/>
    </row>
    <row r="122">
      <c r="A122" s="35">
        <v>47.0</v>
      </c>
      <c r="B122" s="54" t="s">
        <v>3876</v>
      </c>
      <c r="C122" s="54" t="s">
        <v>3877</v>
      </c>
      <c r="D122" s="35">
        <v>15496.0</v>
      </c>
      <c r="E122" s="35">
        <v>15000.0</v>
      </c>
      <c r="F122" s="35" t="s">
        <v>3762</v>
      </c>
      <c r="G122" s="35" t="s">
        <v>3762</v>
      </c>
      <c r="H122" s="35" t="s">
        <v>3762</v>
      </c>
      <c r="I122" s="35"/>
    </row>
    <row r="123">
      <c r="A123" s="35">
        <v>51.0</v>
      </c>
      <c r="B123" s="54" t="s">
        <v>3878</v>
      </c>
      <c r="C123" s="54" t="s">
        <v>3879</v>
      </c>
      <c r="D123" s="35">
        <v>18324.0</v>
      </c>
      <c r="E123" s="35">
        <v>16100.0</v>
      </c>
      <c r="F123" s="35">
        <v>20.0</v>
      </c>
      <c r="G123" s="35">
        <v>9.0</v>
      </c>
      <c r="H123" s="35">
        <v>9.0</v>
      </c>
      <c r="I123" s="35"/>
    </row>
    <row r="124">
      <c r="A124" s="35">
        <v>62.0</v>
      </c>
      <c r="B124" s="54" t="s">
        <v>3880</v>
      </c>
      <c r="C124" s="54" t="s">
        <v>3881</v>
      </c>
      <c r="D124" s="35">
        <v>18324.0</v>
      </c>
      <c r="E124" s="35">
        <v>19400.0</v>
      </c>
      <c r="F124" s="35">
        <v>23.0</v>
      </c>
      <c r="G124" s="35">
        <v>13.0</v>
      </c>
      <c r="H124" s="35">
        <v>11.0</v>
      </c>
      <c r="I124" s="37"/>
    </row>
    <row r="125">
      <c r="A125" s="35">
        <v>84.0</v>
      </c>
      <c r="B125" s="54" t="s">
        <v>3882</v>
      </c>
      <c r="C125" s="54" t="s">
        <v>3883</v>
      </c>
      <c r="D125" s="35">
        <v>27328.0</v>
      </c>
      <c r="E125" s="35">
        <v>23000.0</v>
      </c>
      <c r="F125" s="35">
        <v>30.0</v>
      </c>
      <c r="G125" s="35">
        <v>16.0</v>
      </c>
      <c r="H125" s="35">
        <v>16.0</v>
      </c>
      <c r="I125" s="35"/>
    </row>
    <row r="126">
      <c r="A126" s="35">
        <v>90.0</v>
      </c>
      <c r="B126" s="54" t="s">
        <v>3884</v>
      </c>
      <c r="C126" s="54" t="s">
        <v>3885</v>
      </c>
      <c r="D126" s="35">
        <v>30156.0</v>
      </c>
      <c r="E126" s="35">
        <v>25700.0</v>
      </c>
      <c r="F126" s="35">
        <v>30.0</v>
      </c>
      <c r="G126" s="35">
        <v>20.0</v>
      </c>
      <c r="H126" s="35">
        <v>20.0</v>
      </c>
      <c r="I126" s="35"/>
    </row>
    <row r="127">
      <c r="A127" s="35">
        <v>99.0</v>
      </c>
      <c r="B127" s="54" t="s">
        <v>3886</v>
      </c>
      <c r="C127" s="54" t="s">
        <v>3887</v>
      </c>
      <c r="D127" s="35">
        <v>32983.0</v>
      </c>
      <c r="E127" s="35">
        <v>27300.0</v>
      </c>
      <c r="F127" s="35">
        <v>38.0</v>
      </c>
      <c r="G127" s="35">
        <v>20.0</v>
      </c>
      <c r="H127" s="35">
        <v>20.0</v>
      </c>
      <c r="I127" s="35"/>
    </row>
    <row r="128">
      <c r="A128" s="35">
        <v>110.0</v>
      </c>
      <c r="B128" s="54" t="s">
        <v>3888</v>
      </c>
      <c r="C128" s="54" t="s">
        <v>3889</v>
      </c>
      <c r="D128" s="35">
        <v>36648.0</v>
      </c>
      <c r="E128" s="35">
        <v>29200.0</v>
      </c>
      <c r="F128" s="35" t="s">
        <v>3762</v>
      </c>
      <c r="G128" s="35" t="s">
        <v>3762</v>
      </c>
      <c r="H128" s="35" t="s">
        <v>3762</v>
      </c>
      <c r="I128" s="35"/>
    </row>
    <row r="129">
      <c r="A129" s="35">
        <v>124.0</v>
      </c>
      <c r="B129" s="54" t="s">
        <v>3890</v>
      </c>
      <c r="C129" s="54" t="s">
        <v>3891</v>
      </c>
      <c r="D129" s="35">
        <v>39475.0</v>
      </c>
      <c r="E129" s="35">
        <v>34600.0</v>
      </c>
      <c r="F129" s="35">
        <v>30.0</v>
      </c>
      <c r="G129" s="35">
        <v>31.0</v>
      </c>
      <c r="H129" s="35">
        <v>30.0</v>
      </c>
      <c r="I129" s="35"/>
      <c r="J129" s="972" t="s">
        <v>3652</v>
      </c>
    </row>
    <row r="130">
      <c r="A130" s="35">
        <v>134.0</v>
      </c>
      <c r="B130" s="54" t="s">
        <v>3892</v>
      </c>
      <c r="C130" s="54" t="s">
        <v>3893</v>
      </c>
      <c r="D130" s="35">
        <v>41150.0</v>
      </c>
      <c r="E130" s="35">
        <v>37500.0</v>
      </c>
      <c r="F130" s="35">
        <v>42.0</v>
      </c>
      <c r="G130" s="35">
        <v>35.0</v>
      </c>
      <c r="H130" s="35">
        <v>30.0</v>
      </c>
      <c r="I130" s="35"/>
    </row>
    <row r="131">
      <c r="A131" s="35">
        <v>143.0</v>
      </c>
      <c r="B131" s="988" t="s">
        <v>3894</v>
      </c>
      <c r="C131" s="54" t="s">
        <v>3895</v>
      </c>
      <c r="D131" s="35">
        <v>43977.0</v>
      </c>
      <c r="E131" s="35">
        <v>37820.0</v>
      </c>
      <c r="F131" s="35">
        <v>35.0</v>
      </c>
      <c r="G131" s="35">
        <v>30.0</v>
      </c>
      <c r="H131" s="35">
        <v>30.0</v>
      </c>
      <c r="I131" s="35"/>
      <c r="J131" s="972" t="s">
        <v>3663</v>
      </c>
    </row>
    <row r="132">
      <c r="A132" s="35">
        <v>146.0</v>
      </c>
      <c r="B132" s="54" t="s">
        <v>3896</v>
      </c>
      <c r="C132" s="54" t="s">
        <v>3897</v>
      </c>
      <c r="D132" s="35">
        <v>45652.0</v>
      </c>
      <c r="E132" s="35">
        <f>13800+11940+12080</f>
        <v>37820</v>
      </c>
      <c r="F132" s="35">
        <v>35.0</v>
      </c>
      <c r="G132" s="35">
        <v>30.0</v>
      </c>
      <c r="H132" s="35">
        <v>30.0</v>
      </c>
      <c r="I132" s="35"/>
      <c r="J132" s="972" t="s">
        <v>3663</v>
      </c>
    </row>
    <row r="133">
      <c r="A133" s="35">
        <v>166.0</v>
      </c>
      <c r="B133" s="54" t="s">
        <v>3898</v>
      </c>
      <c r="C133" s="54" t="s">
        <v>3893</v>
      </c>
      <c r="D133" s="35">
        <v>48480.0</v>
      </c>
      <c r="E133" s="35">
        <v>40800.0</v>
      </c>
      <c r="F133" s="35">
        <v>45.0</v>
      </c>
      <c r="G133" s="35">
        <v>30.0</v>
      </c>
      <c r="H133" s="35">
        <v>30.0</v>
      </c>
      <c r="I133" s="35"/>
      <c r="J133" s="972" t="s">
        <v>3663</v>
      </c>
    </row>
    <row r="134">
      <c r="A134" s="35">
        <v>173.0</v>
      </c>
      <c r="B134" s="54" t="s">
        <v>3899</v>
      </c>
      <c r="C134" s="54" t="s">
        <v>3900</v>
      </c>
      <c r="D134" s="35">
        <v>50155.0</v>
      </c>
      <c r="E134" s="35">
        <v>42800.0</v>
      </c>
      <c r="F134" s="35">
        <v>49.0</v>
      </c>
      <c r="G134" s="35">
        <v>40.0</v>
      </c>
      <c r="H134" s="35">
        <v>35.0</v>
      </c>
      <c r="I134" s="35"/>
    </row>
    <row r="135">
      <c r="A135" s="35">
        <v>185.0</v>
      </c>
      <c r="B135" s="54" t="s">
        <v>3901</v>
      </c>
      <c r="C135" s="54" t="s">
        <v>3902</v>
      </c>
      <c r="D135" s="35">
        <v>52982.0</v>
      </c>
      <c r="E135" s="35">
        <v>41200.0</v>
      </c>
      <c r="F135" s="35">
        <v>40.0</v>
      </c>
      <c r="G135" s="35">
        <v>37.0</v>
      </c>
      <c r="H135" s="35">
        <v>31.0</v>
      </c>
      <c r="I135" s="35"/>
      <c r="J135" s="972" t="s">
        <v>3652</v>
      </c>
    </row>
    <row r="136">
      <c r="A136" s="35">
        <v>200.0</v>
      </c>
      <c r="B136" s="54" t="s">
        <v>3903</v>
      </c>
      <c r="C136" s="54" t="s">
        <v>3904</v>
      </c>
      <c r="D136" s="35">
        <v>55809.0</v>
      </c>
      <c r="E136" s="35">
        <v>46000.0</v>
      </c>
      <c r="F136" s="35">
        <v>49.0</v>
      </c>
      <c r="G136" s="35">
        <v>41.0</v>
      </c>
      <c r="H136" s="35">
        <v>30.0</v>
      </c>
      <c r="I136" s="35"/>
      <c r="J136" s="972" t="s">
        <v>3663</v>
      </c>
    </row>
    <row r="137">
      <c r="A137" s="35">
        <v>215.0</v>
      </c>
      <c r="B137" s="54" t="s">
        <v>3905</v>
      </c>
      <c r="C137" s="54" t="s">
        <v>3906</v>
      </c>
      <c r="D137" s="35">
        <v>58636.0</v>
      </c>
      <c r="E137" s="35">
        <v>48400.0</v>
      </c>
      <c r="F137" s="35">
        <v>53.0</v>
      </c>
      <c r="G137" s="35">
        <v>44.0</v>
      </c>
      <c r="H137" s="35">
        <v>30.0</v>
      </c>
      <c r="I137" s="35"/>
      <c r="J137" s="972" t="s">
        <v>3663</v>
      </c>
    </row>
    <row r="138">
      <c r="A138" s="35">
        <v>222.0</v>
      </c>
      <c r="B138" s="54" t="s">
        <v>3907</v>
      </c>
      <c r="C138" s="54" t="s">
        <v>3908</v>
      </c>
      <c r="D138" s="35">
        <v>61464.0</v>
      </c>
      <c r="E138" s="35">
        <v>48800.0</v>
      </c>
      <c r="F138" s="35">
        <v>53.0</v>
      </c>
      <c r="G138" s="35">
        <v>45.0</v>
      </c>
      <c r="H138" s="35">
        <v>31.0</v>
      </c>
      <c r="I138" s="35"/>
      <c r="J138" s="972" t="s">
        <v>3652</v>
      </c>
    </row>
    <row r="139">
      <c r="A139" s="35">
        <v>228.0</v>
      </c>
      <c r="B139" s="54" t="s">
        <v>3909</v>
      </c>
      <c r="C139" s="54" t="s">
        <v>3910</v>
      </c>
      <c r="D139" s="35">
        <v>64291.0</v>
      </c>
      <c r="E139" s="35">
        <v>53012.0</v>
      </c>
      <c r="F139" s="35">
        <v>60.0</v>
      </c>
      <c r="G139" s="35">
        <v>51.0</v>
      </c>
      <c r="H139" s="35">
        <v>36.0</v>
      </c>
      <c r="I139" s="35"/>
      <c r="J139" s="972" t="s">
        <v>3663</v>
      </c>
    </row>
    <row r="140">
      <c r="A140" s="35">
        <v>234.0</v>
      </c>
      <c r="B140" s="54" t="s">
        <v>3911</v>
      </c>
      <c r="C140" s="54" t="s">
        <v>3912</v>
      </c>
      <c r="D140" s="35">
        <v>67118.0</v>
      </c>
      <c r="E140" s="35">
        <v>54770.0</v>
      </c>
      <c r="F140" s="35">
        <v>60.0</v>
      </c>
      <c r="G140" s="35">
        <v>53.0</v>
      </c>
      <c r="H140" s="35">
        <v>41.0</v>
      </c>
      <c r="I140" s="35"/>
      <c r="J140" s="972" t="s">
        <v>3663</v>
      </c>
    </row>
    <row r="144">
      <c r="A144" s="981" t="s">
        <v>3913</v>
      </c>
      <c r="B144" s="982"/>
      <c r="C144" s="982"/>
      <c r="D144" s="982"/>
      <c r="E144" s="982"/>
      <c r="F144" s="982"/>
      <c r="G144" s="982"/>
      <c r="H144" s="982"/>
      <c r="I144" s="982"/>
      <c r="J144" s="982"/>
      <c r="K144" s="987"/>
      <c r="L144" s="18"/>
      <c r="M144" s="18"/>
    </row>
    <row r="145">
      <c r="A145" s="984" t="s">
        <v>3616</v>
      </c>
      <c r="B145" s="984" t="s">
        <v>0</v>
      </c>
      <c r="C145" s="984" t="s">
        <v>3617</v>
      </c>
      <c r="D145" s="984" t="s">
        <v>3914</v>
      </c>
      <c r="E145" s="984" t="s">
        <v>3915</v>
      </c>
      <c r="F145" s="984" t="s">
        <v>3916</v>
      </c>
      <c r="G145" s="984" t="s">
        <v>3812</v>
      </c>
      <c r="H145" s="984" t="s">
        <v>3917</v>
      </c>
      <c r="I145" s="984" t="s">
        <v>3758</v>
      </c>
      <c r="J145" s="984" t="s">
        <v>3813</v>
      </c>
      <c r="K145" s="984" t="s">
        <v>3918</v>
      </c>
      <c r="L145" s="18"/>
      <c r="M145" s="18"/>
    </row>
    <row r="146">
      <c r="A146" s="35">
        <v>7.0</v>
      </c>
      <c r="B146" s="54" t="s">
        <v>3919</v>
      </c>
      <c r="C146" s="54" t="s">
        <v>3920</v>
      </c>
      <c r="D146" s="35">
        <v>2433.0</v>
      </c>
      <c r="E146" s="35"/>
      <c r="F146" s="35">
        <v>3.0</v>
      </c>
      <c r="G146" s="35"/>
      <c r="H146" s="35"/>
      <c r="I146" s="37"/>
      <c r="J146" s="37"/>
      <c r="K146" s="37"/>
      <c r="L146" s="18"/>
      <c r="M146" s="18"/>
    </row>
    <row r="147">
      <c r="A147" s="35">
        <v>19.0</v>
      </c>
      <c r="B147" s="54" t="s">
        <v>3921</v>
      </c>
      <c r="C147" s="54" t="s">
        <v>3922</v>
      </c>
      <c r="D147" s="35">
        <v>5308.0</v>
      </c>
      <c r="E147" s="35">
        <v>6300.0</v>
      </c>
      <c r="F147" s="35">
        <v>3.0</v>
      </c>
      <c r="G147" s="35"/>
      <c r="H147" s="35"/>
      <c r="I147" s="37"/>
      <c r="J147" s="35"/>
      <c r="K147" s="35"/>
      <c r="L147" s="18"/>
      <c r="M147" s="18"/>
    </row>
    <row r="148">
      <c r="A148" s="35">
        <v>22.0</v>
      </c>
      <c r="B148" s="54" t="s">
        <v>3923</v>
      </c>
      <c r="C148" s="54" t="s">
        <v>3924</v>
      </c>
      <c r="D148" s="35">
        <v>6067.0</v>
      </c>
      <c r="E148" s="35">
        <v>6500.0</v>
      </c>
      <c r="F148" s="35">
        <v>1.0</v>
      </c>
      <c r="G148" s="35"/>
      <c r="H148" s="35"/>
      <c r="I148" s="37"/>
      <c r="J148" s="35" t="s">
        <v>3762</v>
      </c>
      <c r="K148" s="37"/>
      <c r="L148" s="18"/>
      <c r="M148" s="18"/>
    </row>
    <row r="149">
      <c r="A149" s="35">
        <v>27.0</v>
      </c>
      <c r="B149" s="54" t="s">
        <v>3925</v>
      </c>
      <c r="C149" s="54" t="s">
        <v>3926</v>
      </c>
      <c r="D149" s="35">
        <v>9474.0</v>
      </c>
      <c r="E149" s="35">
        <v>9600.0</v>
      </c>
      <c r="F149" s="35">
        <v>2.0</v>
      </c>
      <c r="G149" s="35" t="s">
        <v>3762</v>
      </c>
      <c r="H149" s="35"/>
      <c r="I149" s="37"/>
      <c r="J149" s="35" t="s">
        <v>3762</v>
      </c>
      <c r="K149" s="35" t="s">
        <v>3762</v>
      </c>
      <c r="L149" s="18"/>
      <c r="M149" s="18"/>
    </row>
    <row r="150">
      <c r="A150" s="35">
        <v>43.0</v>
      </c>
      <c r="B150" s="54" t="s">
        <v>3927</v>
      </c>
      <c r="C150" s="54" t="s">
        <v>3928</v>
      </c>
      <c r="D150" s="35">
        <v>16202.0</v>
      </c>
      <c r="E150" s="35">
        <v>15200.0</v>
      </c>
      <c r="F150" s="35">
        <v>3.0</v>
      </c>
      <c r="G150" s="35" t="s">
        <v>3762</v>
      </c>
      <c r="H150" s="35"/>
      <c r="I150" s="37"/>
      <c r="J150" s="35" t="s">
        <v>3762</v>
      </c>
      <c r="K150" s="35" t="s">
        <v>3762</v>
      </c>
      <c r="L150" s="18"/>
      <c r="M150" s="18"/>
    </row>
    <row r="151">
      <c r="A151" s="35">
        <v>48.0</v>
      </c>
      <c r="B151" s="54" t="s">
        <v>3929</v>
      </c>
      <c r="C151" s="54" t="s">
        <v>3930</v>
      </c>
      <c r="D151" s="35">
        <v>17442.0</v>
      </c>
      <c r="E151" s="35">
        <v>16400.0</v>
      </c>
      <c r="F151" s="35">
        <v>1.0</v>
      </c>
      <c r="G151" s="35" t="s">
        <v>3762</v>
      </c>
      <c r="H151" s="35" t="s">
        <v>3762</v>
      </c>
      <c r="I151" s="35" t="s">
        <v>3762</v>
      </c>
      <c r="J151" s="35" t="s">
        <v>3762</v>
      </c>
      <c r="K151" s="37"/>
      <c r="L151" s="18"/>
      <c r="M151" s="18"/>
    </row>
    <row r="152">
      <c r="A152" s="35">
        <v>56.0</v>
      </c>
      <c r="B152" s="54" t="s">
        <v>3931</v>
      </c>
      <c r="C152" s="54" t="s">
        <v>3932</v>
      </c>
      <c r="D152" s="35">
        <v>20451.0</v>
      </c>
      <c r="E152" s="35">
        <v>19000.0</v>
      </c>
      <c r="F152" s="35">
        <v>3.0</v>
      </c>
      <c r="G152" s="35" t="s">
        <v>3762</v>
      </c>
      <c r="H152" s="35" t="s">
        <v>3762</v>
      </c>
      <c r="I152" s="35" t="s">
        <v>3762</v>
      </c>
      <c r="J152" s="35" t="s">
        <v>3762</v>
      </c>
      <c r="K152" s="35"/>
      <c r="L152" s="18"/>
      <c r="M152" s="18"/>
    </row>
    <row r="153">
      <c r="A153" s="35">
        <v>66.0</v>
      </c>
      <c r="B153" s="54" t="s">
        <v>3933</v>
      </c>
      <c r="C153" s="54" t="s">
        <v>3934</v>
      </c>
      <c r="D153" s="35">
        <v>24001.0</v>
      </c>
      <c r="E153" s="35">
        <v>22200.0</v>
      </c>
      <c r="F153" s="35">
        <v>2.0</v>
      </c>
      <c r="G153" s="35" t="s">
        <v>3762</v>
      </c>
      <c r="H153" s="35" t="s">
        <v>3762</v>
      </c>
      <c r="I153" s="35" t="s">
        <v>3762</v>
      </c>
      <c r="J153" s="35" t="s">
        <v>3762</v>
      </c>
      <c r="K153" s="35"/>
      <c r="L153" s="18"/>
      <c r="M153" s="18"/>
    </row>
    <row r="154">
      <c r="A154" s="35">
        <v>71.0</v>
      </c>
      <c r="B154" s="54" t="s">
        <v>3935</v>
      </c>
      <c r="C154" s="54" t="s">
        <v>3936</v>
      </c>
      <c r="D154" s="35">
        <v>25500.0</v>
      </c>
      <c r="E154" s="35">
        <v>23500.0</v>
      </c>
      <c r="F154" s="35">
        <v>3.0</v>
      </c>
      <c r="G154" s="35" t="s">
        <v>3762</v>
      </c>
      <c r="H154" s="35" t="s">
        <v>3762</v>
      </c>
      <c r="I154" s="35" t="s">
        <v>3762</v>
      </c>
      <c r="J154" s="35" t="s">
        <v>3762</v>
      </c>
      <c r="K154" s="35"/>
      <c r="L154" s="18"/>
      <c r="M154" s="18"/>
    </row>
    <row r="155">
      <c r="A155" s="35">
        <v>83.0</v>
      </c>
      <c r="B155" s="54" t="s">
        <v>3937</v>
      </c>
      <c r="C155" s="54" t="s">
        <v>3922</v>
      </c>
      <c r="D155" s="35">
        <v>34960.0</v>
      </c>
      <c r="E155" s="35">
        <v>30100.0</v>
      </c>
      <c r="F155" s="35">
        <v>3.0</v>
      </c>
      <c r="G155" s="35" t="s">
        <v>3762</v>
      </c>
      <c r="H155" s="35" t="s">
        <v>3762</v>
      </c>
      <c r="I155" s="35" t="s">
        <v>3762</v>
      </c>
      <c r="J155" s="35" t="s">
        <v>3762</v>
      </c>
      <c r="K155" s="37"/>
      <c r="L155" s="18"/>
      <c r="M155" s="18"/>
    </row>
    <row r="156">
      <c r="A156" s="35">
        <v>92.0</v>
      </c>
      <c r="B156" s="54" t="s">
        <v>3938</v>
      </c>
      <c r="C156" s="54" t="s">
        <v>3922</v>
      </c>
      <c r="D156" s="35">
        <v>39030.0</v>
      </c>
      <c r="E156" s="35">
        <v>36700.0</v>
      </c>
      <c r="F156" s="35">
        <v>3.0</v>
      </c>
      <c r="G156" s="35" t="s">
        <v>3762</v>
      </c>
      <c r="H156" s="35" t="s">
        <v>3762</v>
      </c>
      <c r="I156" s="35" t="s">
        <v>3762</v>
      </c>
      <c r="J156" s="35" t="s">
        <v>3762</v>
      </c>
      <c r="K156" s="35"/>
      <c r="L156" s="18"/>
      <c r="M156" s="18"/>
    </row>
    <row r="157">
      <c r="A157" s="35">
        <v>93.0</v>
      </c>
      <c r="B157" s="54" t="s">
        <v>3939</v>
      </c>
      <c r="C157" s="54" t="s">
        <v>3940</v>
      </c>
      <c r="D157" s="35">
        <v>39527.0</v>
      </c>
      <c r="E157" s="35">
        <v>36700.0</v>
      </c>
      <c r="F157" s="35">
        <v>3.0</v>
      </c>
      <c r="G157" s="35" t="s">
        <v>3762</v>
      </c>
      <c r="H157" s="35" t="s">
        <v>3762</v>
      </c>
      <c r="I157" s="35" t="s">
        <v>3762</v>
      </c>
      <c r="J157" s="35" t="s">
        <v>3762</v>
      </c>
      <c r="K157" s="35"/>
      <c r="L157" s="18"/>
      <c r="M157" s="18"/>
    </row>
    <row r="158">
      <c r="A158" s="35">
        <v>100.0</v>
      </c>
      <c r="B158" s="988" t="s">
        <v>3941</v>
      </c>
      <c r="C158" s="54" t="s">
        <v>3942</v>
      </c>
      <c r="D158" s="35">
        <v>42633.0</v>
      </c>
      <c r="E158" s="35">
        <v>38300.0</v>
      </c>
      <c r="F158" s="35">
        <v>3.0</v>
      </c>
      <c r="G158" s="35" t="s">
        <v>3762</v>
      </c>
      <c r="H158" s="35" t="s">
        <v>3762</v>
      </c>
      <c r="I158" s="35" t="s">
        <v>3762</v>
      </c>
      <c r="J158" s="35" t="s">
        <v>3762</v>
      </c>
      <c r="K158" s="35"/>
      <c r="L158" s="18"/>
      <c r="M158" s="18"/>
    </row>
    <row r="159">
      <c r="A159" s="35">
        <v>118.0</v>
      </c>
      <c r="B159" s="54" t="s">
        <v>3943</v>
      </c>
      <c r="C159" s="54" t="s">
        <v>3944</v>
      </c>
      <c r="D159" s="35">
        <v>49307.0</v>
      </c>
      <c r="E159" s="35">
        <v>39300.0</v>
      </c>
      <c r="F159" s="35">
        <v>1.0</v>
      </c>
      <c r="G159" s="35" t="s">
        <v>3762</v>
      </c>
      <c r="H159" s="35" t="s">
        <v>3762</v>
      </c>
      <c r="I159" s="35" t="s">
        <v>3762</v>
      </c>
      <c r="J159" s="35" t="s">
        <v>3762</v>
      </c>
      <c r="K159" s="35"/>
      <c r="L159" s="18"/>
      <c r="M159" s="18"/>
    </row>
    <row r="160">
      <c r="A160" s="35">
        <v>119.0</v>
      </c>
      <c r="B160" s="54" t="s">
        <v>3945</v>
      </c>
      <c r="C160" s="54" t="s">
        <v>3946</v>
      </c>
      <c r="D160" s="35">
        <v>49644.0</v>
      </c>
      <c r="E160" s="35">
        <v>42800.0</v>
      </c>
      <c r="F160" s="35">
        <v>3.0</v>
      </c>
      <c r="G160" s="35" t="s">
        <v>3762</v>
      </c>
      <c r="H160" s="35" t="s">
        <v>3762</v>
      </c>
      <c r="I160" s="35" t="s">
        <v>3762</v>
      </c>
      <c r="J160" s="35" t="s">
        <v>3762</v>
      </c>
      <c r="K160" s="35"/>
      <c r="L160" s="18"/>
      <c r="M160" s="18"/>
    </row>
    <row r="161">
      <c r="A161" s="35">
        <v>128.0</v>
      </c>
      <c r="B161" s="54" t="s">
        <v>3947</v>
      </c>
      <c r="C161" s="54" t="s">
        <v>3948</v>
      </c>
      <c r="D161" s="35">
        <v>55849.0</v>
      </c>
      <c r="E161" s="35">
        <v>39800.0</v>
      </c>
      <c r="F161" s="35">
        <v>3.0</v>
      </c>
      <c r="G161" s="35">
        <v>30.0</v>
      </c>
      <c r="H161" s="35">
        <v>30.0</v>
      </c>
      <c r="I161" s="35">
        <v>31.0</v>
      </c>
      <c r="J161" s="35">
        <v>29.0</v>
      </c>
      <c r="K161" s="35"/>
      <c r="L161" s="18"/>
      <c r="M161" s="972" t="s">
        <v>3949</v>
      </c>
    </row>
    <row r="162">
      <c r="A162" s="35">
        <v>140.0</v>
      </c>
      <c r="B162" s="54" t="s">
        <v>3950</v>
      </c>
      <c r="C162" s="54" t="s">
        <v>3951</v>
      </c>
      <c r="D162" s="35">
        <v>62055.0</v>
      </c>
      <c r="E162" s="35">
        <v>48708.0</v>
      </c>
      <c r="F162" s="35">
        <v>3.0</v>
      </c>
      <c r="G162" s="35">
        <v>40.0</v>
      </c>
      <c r="H162" s="35">
        <v>31.0</v>
      </c>
      <c r="I162" s="35">
        <v>35.0</v>
      </c>
      <c r="J162" s="35">
        <v>38.0</v>
      </c>
      <c r="K162" s="35"/>
      <c r="L162" s="18"/>
      <c r="M162" s="972" t="s">
        <v>3789</v>
      </c>
    </row>
    <row r="163">
      <c r="A163" s="35">
        <v>154.0</v>
      </c>
      <c r="B163" s="54" t="s">
        <v>3952</v>
      </c>
      <c r="C163" s="54" t="s">
        <v>3953</v>
      </c>
      <c r="D163" s="35">
        <v>68260.0</v>
      </c>
      <c r="E163" s="35">
        <v>49700.0</v>
      </c>
      <c r="F163" s="35">
        <v>3.0</v>
      </c>
      <c r="G163" s="35">
        <v>41.0</v>
      </c>
      <c r="H163" s="35">
        <v>36.0</v>
      </c>
      <c r="I163" s="35">
        <v>36.0</v>
      </c>
      <c r="J163" s="35">
        <v>40.0</v>
      </c>
      <c r="K163" s="35"/>
      <c r="L163" s="18"/>
      <c r="M163" s="972" t="s">
        <v>3663</v>
      </c>
    </row>
    <row r="164">
      <c r="A164" s="35">
        <v>171.0</v>
      </c>
      <c r="B164" s="54" t="s">
        <v>3954</v>
      </c>
      <c r="C164" s="54" t="s">
        <v>3955</v>
      </c>
      <c r="D164" s="35">
        <v>74466.0</v>
      </c>
      <c r="E164" s="35">
        <v>49700.0</v>
      </c>
      <c r="F164" s="35">
        <v>3.0</v>
      </c>
      <c r="G164" s="35">
        <v>45.0</v>
      </c>
      <c r="H164" s="35">
        <v>36.0</v>
      </c>
      <c r="I164" s="35">
        <v>37.0</v>
      </c>
      <c r="J164" s="35">
        <v>40.0</v>
      </c>
      <c r="K164" s="35"/>
      <c r="L164" s="18"/>
      <c r="M164" s="972" t="s">
        <v>3652</v>
      </c>
    </row>
    <row r="165">
      <c r="A165" s="35">
        <v>187.0</v>
      </c>
      <c r="B165" s="54" t="s">
        <v>3956</v>
      </c>
      <c r="C165" s="54" t="s">
        <v>3957</v>
      </c>
      <c r="D165" s="35">
        <v>80671.0</v>
      </c>
      <c r="E165" s="35">
        <v>57700.0</v>
      </c>
      <c r="F165" s="35">
        <v>3.0</v>
      </c>
      <c r="G165" s="35">
        <v>49.0</v>
      </c>
      <c r="H165" s="35">
        <v>39.0</v>
      </c>
      <c r="I165" s="35">
        <v>40.0</v>
      </c>
      <c r="J165" s="35">
        <v>47.0</v>
      </c>
      <c r="K165" s="35"/>
      <c r="L165" s="18"/>
      <c r="M165" s="972" t="s">
        <v>3663</v>
      </c>
    </row>
    <row r="166">
      <c r="A166" s="35">
        <v>198.0</v>
      </c>
      <c r="B166" s="54" t="s">
        <v>3958</v>
      </c>
      <c r="C166" s="54" t="s">
        <v>3959</v>
      </c>
      <c r="D166" s="35">
        <v>80671.0</v>
      </c>
      <c r="E166" s="35">
        <v>60300.0</v>
      </c>
      <c r="F166" s="35">
        <v>1.0</v>
      </c>
      <c r="G166" s="35">
        <v>50.0</v>
      </c>
      <c r="H166" s="35">
        <v>42.0</v>
      </c>
      <c r="I166" s="35">
        <v>42.0</v>
      </c>
      <c r="J166" s="35">
        <v>47.0</v>
      </c>
      <c r="K166" s="35"/>
      <c r="L166" s="18"/>
      <c r="M166" s="18"/>
    </row>
    <row r="167">
      <c r="A167" s="35">
        <v>223.0</v>
      </c>
      <c r="B167" s="54" t="s">
        <v>3960</v>
      </c>
      <c r="C167" s="54" t="s">
        <v>3961</v>
      </c>
      <c r="D167" s="35">
        <v>93082.0</v>
      </c>
      <c r="E167" s="35">
        <v>69700.0</v>
      </c>
      <c r="F167" s="35">
        <v>1.0</v>
      </c>
      <c r="G167" s="35">
        <v>60.0</v>
      </c>
      <c r="H167" s="35">
        <v>43.0</v>
      </c>
      <c r="I167" s="35">
        <v>53.0</v>
      </c>
      <c r="J167" s="35">
        <v>60.0</v>
      </c>
      <c r="K167" s="35"/>
      <c r="L167" s="18"/>
      <c r="M167" s="18"/>
    </row>
    <row r="168">
      <c r="A168" s="35">
        <v>236.0</v>
      </c>
      <c r="B168" s="54" t="s">
        <v>3962</v>
      </c>
      <c r="C168" s="54" t="s">
        <v>3963</v>
      </c>
      <c r="D168" s="35">
        <v>99288.0</v>
      </c>
      <c r="E168" s="35">
        <v>73928.0</v>
      </c>
      <c r="F168" s="35">
        <v>3.0</v>
      </c>
      <c r="G168" s="35">
        <v>60.0</v>
      </c>
      <c r="H168" s="35">
        <v>50.0</v>
      </c>
      <c r="I168" s="35">
        <v>51.0</v>
      </c>
      <c r="J168" s="35">
        <v>60.0</v>
      </c>
      <c r="K168" s="35"/>
      <c r="L168" s="18"/>
      <c r="M168" s="972" t="s">
        <v>3663</v>
      </c>
    </row>
    <row r="172">
      <c r="A172" s="691" t="s">
        <v>3964</v>
      </c>
      <c r="B172" s="974"/>
      <c r="C172" s="974"/>
      <c r="D172" s="974"/>
      <c r="E172" s="974"/>
      <c r="F172" s="974"/>
      <c r="G172" s="974"/>
      <c r="H172" s="974"/>
      <c r="I172" s="974"/>
      <c r="J172" s="974"/>
      <c r="K172" s="995"/>
      <c r="L172" s="993"/>
    </row>
    <row r="173">
      <c r="A173" s="994" t="s">
        <v>3616</v>
      </c>
      <c r="B173" s="994" t="s">
        <v>0</v>
      </c>
      <c r="C173" s="994" t="s">
        <v>3617</v>
      </c>
      <c r="D173" s="994" t="s">
        <v>3965</v>
      </c>
      <c r="E173" s="994" t="s">
        <v>3966</v>
      </c>
      <c r="F173" s="994" t="s">
        <v>3967</v>
      </c>
      <c r="G173" s="994" t="s">
        <v>3968</v>
      </c>
      <c r="H173" s="994" t="s">
        <v>1730</v>
      </c>
      <c r="I173" s="994" t="s">
        <v>3969</v>
      </c>
      <c r="J173" s="994" t="s">
        <v>3627</v>
      </c>
      <c r="K173" s="994" t="s">
        <v>3970</v>
      </c>
      <c r="L173" s="994" t="s">
        <v>3869</v>
      </c>
    </row>
    <row r="174">
      <c r="A174" s="35">
        <v>12.0</v>
      </c>
      <c r="B174" s="54" t="s">
        <v>3971</v>
      </c>
      <c r="C174" s="54" t="s">
        <v>3662</v>
      </c>
      <c r="D174" s="35">
        <v>4078.0</v>
      </c>
      <c r="E174" s="35"/>
      <c r="F174" s="35" t="s">
        <v>3972</v>
      </c>
      <c r="G174" s="35">
        <v>2700.0</v>
      </c>
      <c r="H174" s="35"/>
      <c r="I174" s="35"/>
      <c r="J174" s="35"/>
      <c r="K174" s="35"/>
      <c r="L174" s="35"/>
    </row>
    <row r="175">
      <c r="A175" s="35">
        <v>16.0</v>
      </c>
      <c r="B175" s="54" t="s">
        <v>3973</v>
      </c>
      <c r="C175" s="54" t="s">
        <v>3974</v>
      </c>
      <c r="D175" s="35">
        <v>8157.0</v>
      </c>
      <c r="E175" s="35"/>
      <c r="F175" s="35" t="s">
        <v>3975</v>
      </c>
      <c r="G175" s="35">
        <v>5500.0</v>
      </c>
      <c r="H175" s="35"/>
      <c r="I175" s="35"/>
      <c r="J175" s="35"/>
      <c r="K175" s="35"/>
      <c r="L175" s="35"/>
    </row>
    <row r="176">
      <c r="A176" s="35">
        <v>33.0</v>
      </c>
      <c r="B176" s="54" t="s">
        <v>3976</v>
      </c>
      <c r="C176" s="54" t="s">
        <v>3977</v>
      </c>
      <c r="D176" s="35">
        <v>14655.0</v>
      </c>
      <c r="E176" s="35">
        <v>11800.0</v>
      </c>
      <c r="F176" s="35" t="s">
        <v>3978</v>
      </c>
      <c r="G176" s="35">
        <v>13000.0</v>
      </c>
      <c r="H176" s="35"/>
      <c r="I176" s="35"/>
      <c r="J176" s="37"/>
      <c r="K176" s="35"/>
      <c r="L176" s="37"/>
    </row>
    <row r="177">
      <c r="A177" s="35">
        <v>41.0</v>
      </c>
      <c r="B177" s="54" t="s">
        <v>3979</v>
      </c>
      <c r="C177" s="54" t="s">
        <v>3980</v>
      </c>
      <c r="D177" s="35">
        <v>19540.0</v>
      </c>
      <c r="E177" s="35">
        <v>15000.0</v>
      </c>
      <c r="F177" s="35" t="s">
        <v>3972</v>
      </c>
      <c r="G177" s="35">
        <v>19000.0</v>
      </c>
      <c r="H177" s="35"/>
      <c r="I177" s="35"/>
      <c r="J177" s="37"/>
      <c r="K177" s="35"/>
      <c r="L177" s="35"/>
    </row>
    <row r="178">
      <c r="A178" s="35">
        <v>50.0</v>
      </c>
      <c r="B178" s="54" t="s">
        <v>3981</v>
      </c>
      <c r="C178" s="54" t="s">
        <v>3982</v>
      </c>
      <c r="D178" s="35">
        <v>25434.0</v>
      </c>
      <c r="E178" s="35">
        <v>20600.0</v>
      </c>
      <c r="F178" s="35" t="s">
        <v>3975</v>
      </c>
      <c r="G178" s="35">
        <v>26000.0</v>
      </c>
      <c r="H178" s="35">
        <v>9.0</v>
      </c>
      <c r="I178" s="35">
        <v>9.0</v>
      </c>
      <c r="J178" s="35">
        <v>9.0</v>
      </c>
      <c r="K178" s="35">
        <v>9.0</v>
      </c>
      <c r="L178" s="35">
        <v>9.0</v>
      </c>
    </row>
    <row r="179">
      <c r="A179" s="35">
        <v>69.0</v>
      </c>
      <c r="B179" s="54" t="s">
        <v>3983</v>
      </c>
      <c r="C179" s="54" t="s">
        <v>3984</v>
      </c>
      <c r="D179" s="35">
        <v>33069.0</v>
      </c>
      <c r="E179" s="35">
        <v>26000.0</v>
      </c>
      <c r="F179" s="35" t="s">
        <v>3978</v>
      </c>
      <c r="G179" s="35">
        <v>39000.0</v>
      </c>
      <c r="H179" s="35"/>
      <c r="I179" s="35"/>
      <c r="J179" s="35"/>
      <c r="K179" s="35"/>
      <c r="L179" s="37"/>
    </row>
    <row r="180">
      <c r="A180" s="35">
        <v>76.0</v>
      </c>
      <c r="B180" s="54" t="s">
        <v>3985</v>
      </c>
      <c r="C180" s="54" t="s">
        <v>3986</v>
      </c>
      <c r="D180" s="35">
        <v>38581.0</v>
      </c>
      <c r="E180" s="35">
        <v>30300.0</v>
      </c>
      <c r="F180" s="35" t="s">
        <v>3975</v>
      </c>
      <c r="G180" s="35">
        <v>49000.0</v>
      </c>
      <c r="H180" s="35"/>
      <c r="I180" s="35"/>
      <c r="J180" s="35"/>
      <c r="K180" s="35"/>
      <c r="L180" s="35"/>
    </row>
    <row r="181">
      <c r="A181" s="35">
        <v>91.0</v>
      </c>
      <c r="B181" s="54" t="s">
        <v>3987</v>
      </c>
      <c r="C181" s="54" t="s">
        <v>3988</v>
      </c>
      <c r="D181" s="35">
        <v>44092.0</v>
      </c>
      <c r="E181" s="35">
        <v>33900.0</v>
      </c>
      <c r="F181" s="35" t="s">
        <v>3972</v>
      </c>
      <c r="G181" s="35">
        <v>60000.0</v>
      </c>
      <c r="H181" s="35"/>
      <c r="I181" s="35"/>
      <c r="J181" s="35"/>
      <c r="K181" s="35"/>
      <c r="L181" s="35"/>
    </row>
    <row r="182">
      <c r="A182" s="35">
        <v>101.0</v>
      </c>
      <c r="B182" s="54" t="s">
        <v>3989</v>
      </c>
      <c r="C182" s="54" t="s">
        <v>3990</v>
      </c>
      <c r="D182" s="35">
        <v>49604.0</v>
      </c>
      <c r="E182" s="35">
        <v>36600.0</v>
      </c>
      <c r="F182" s="35" t="s">
        <v>3975</v>
      </c>
      <c r="G182" s="35">
        <v>71000.0</v>
      </c>
      <c r="H182" s="35"/>
      <c r="I182" s="35"/>
      <c r="J182" s="35"/>
      <c r="K182" s="35"/>
      <c r="L182" s="35"/>
    </row>
    <row r="183">
      <c r="A183" s="35">
        <v>112.0</v>
      </c>
      <c r="B183" s="54" t="s">
        <v>3991</v>
      </c>
      <c r="C183" s="54" t="s">
        <v>3992</v>
      </c>
      <c r="D183" s="35">
        <v>55116.0</v>
      </c>
      <c r="E183" s="35">
        <v>43000.0</v>
      </c>
      <c r="F183" s="35" t="s">
        <v>3978</v>
      </c>
      <c r="G183" s="35">
        <v>85000.0</v>
      </c>
      <c r="H183" s="35"/>
      <c r="I183" s="35"/>
      <c r="J183" s="35"/>
      <c r="K183" s="35"/>
      <c r="L183" s="37"/>
      <c r="N183" s="972" t="s">
        <v>3652</v>
      </c>
    </row>
    <row r="184">
      <c r="A184" s="35">
        <v>127.0</v>
      </c>
      <c r="B184" s="54" t="s">
        <v>3993</v>
      </c>
      <c r="C184" s="54" t="s">
        <v>3994</v>
      </c>
      <c r="D184" s="35">
        <v>57638.0</v>
      </c>
      <c r="E184" s="35">
        <v>44300.0</v>
      </c>
      <c r="F184" s="35" t="s">
        <v>3978</v>
      </c>
      <c r="G184" s="35">
        <v>90000.0</v>
      </c>
      <c r="H184" s="35">
        <v>19.0</v>
      </c>
      <c r="I184" s="35">
        <v>30.0</v>
      </c>
      <c r="J184" s="35">
        <v>18.0</v>
      </c>
      <c r="K184" s="35">
        <v>29.0</v>
      </c>
      <c r="L184" s="35">
        <v>30.0</v>
      </c>
      <c r="N184" s="972" t="s">
        <v>3663</v>
      </c>
    </row>
    <row r="185">
      <c r="A185" s="35">
        <v>135.0</v>
      </c>
      <c r="B185" s="54" t="s">
        <v>3995</v>
      </c>
      <c r="C185" s="54" t="s">
        <v>3996</v>
      </c>
      <c r="D185" s="35">
        <v>61888.0</v>
      </c>
      <c r="E185" s="35">
        <v>44300.0</v>
      </c>
      <c r="F185" s="35" t="s">
        <v>3975</v>
      </c>
      <c r="G185" s="35">
        <v>100000.0</v>
      </c>
      <c r="H185" s="35"/>
      <c r="I185" s="35"/>
      <c r="J185" s="35"/>
      <c r="K185" s="35"/>
      <c r="L185" s="35"/>
    </row>
    <row r="186">
      <c r="A186" s="35">
        <v>151.0</v>
      </c>
      <c r="B186" s="988" t="s">
        <v>3997</v>
      </c>
      <c r="C186" s="54" t="s">
        <v>3711</v>
      </c>
      <c r="D186" s="35">
        <v>66139.0</v>
      </c>
      <c r="E186" s="35">
        <v>51000.0</v>
      </c>
      <c r="F186" s="35" t="s">
        <v>3972</v>
      </c>
      <c r="G186" s="35">
        <v>110000.0</v>
      </c>
      <c r="H186" s="35"/>
      <c r="I186" s="35"/>
      <c r="J186" s="35"/>
      <c r="K186" s="35"/>
      <c r="L186" s="35"/>
    </row>
    <row r="187">
      <c r="A187" s="35">
        <v>162.0</v>
      </c>
      <c r="B187" s="54" t="s">
        <v>3998</v>
      </c>
      <c r="C187" s="54" t="s">
        <v>3999</v>
      </c>
      <c r="D187" s="35">
        <v>68661.0</v>
      </c>
      <c r="E187" s="35">
        <v>52800.0</v>
      </c>
      <c r="F187" s="35" t="s">
        <v>3975</v>
      </c>
      <c r="G187" s="35">
        <v>120000.0</v>
      </c>
      <c r="H187" s="35"/>
      <c r="I187" s="35"/>
      <c r="J187" s="35"/>
      <c r="K187" s="35"/>
      <c r="L187" s="35"/>
    </row>
    <row r="188">
      <c r="A188" s="35">
        <v>165.0</v>
      </c>
      <c r="B188" s="54" t="s">
        <v>4000</v>
      </c>
      <c r="C188" s="54" t="s">
        <v>3684</v>
      </c>
      <c r="D188" s="35">
        <v>72912.0</v>
      </c>
      <c r="E188" s="35">
        <v>54900.0</v>
      </c>
      <c r="F188" s="35" t="s">
        <v>3972</v>
      </c>
      <c r="G188" s="35">
        <v>135000.0</v>
      </c>
      <c r="H188" s="35"/>
      <c r="I188" s="35"/>
      <c r="J188" s="35"/>
      <c r="K188" s="35"/>
      <c r="L188" s="35"/>
    </row>
    <row r="189">
      <c r="A189" s="35">
        <v>177.0</v>
      </c>
      <c r="B189" s="54" t="s">
        <v>4001</v>
      </c>
      <c r="C189" s="54" t="s">
        <v>4002</v>
      </c>
      <c r="D189" s="35">
        <v>77162.0</v>
      </c>
      <c r="E189" s="35">
        <v>59000.0</v>
      </c>
      <c r="F189" s="35" t="s">
        <v>3975</v>
      </c>
      <c r="G189" s="35">
        <v>150000.0</v>
      </c>
      <c r="H189" s="35"/>
      <c r="I189" s="35"/>
      <c r="J189" s="35"/>
      <c r="K189" s="35"/>
      <c r="L189" s="35"/>
    </row>
    <row r="190">
      <c r="A190" s="35">
        <v>192.0</v>
      </c>
      <c r="B190" s="54" t="s">
        <v>4003</v>
      </c>
      <c r="C190" s="54" t="s">
        <v>4004</v>
      </c>
      <c r="D190" s="35">
        <v>82674.0</v>
      </c>
      <c r="E190" s="35">
        <v>59000.0</v>
      </c>
      <c r="F190" s="35" t="s">
        <v>3978</v>
      </c>
      <c r="G190" s="35">
        <v>170000.0</v>
      </c>
      <c r="H190" s="35"/>
      <c r="I190" s="35"/>
      <c r="J190" s="35"/>
      <c r="K190" s="35"/>
      <c r="L190" s="35"/>
    </row>
    <row r="191">
      <c r="A191" s="35">
        <v>201.0</v>
      </c>
      <c r="B191" s="54" t="s">
        <v>1206</v>
      </c>
      <c r="C191" s="54" t="s">
        <v>4005</v>
      </c>
      <c r="D191" s="35">
        <v>88185.0</v>
      </c>
      <c r="E191" s="35">
        <v>61200.0</v>
      </c>
      <c r="F191" s="35" t="s">
        <v>3978</v>
      </c>
      <c r="G191" s="35">
        <v>190000.0</v>
      </c>
      <c r="H191" s="35">
        <v>19.0</v>
      </c>
      <c r="I191" s="35">
        <v>31.0</v>
      </c>
      <c r="J191" s="35">
        <v>32.0</v>
      </c>
      <c r="K191" s="35">
        <v>50.0</v>
      </c>
      <c r="L191" s="35">
        <v>34.0</v>
      </c>
      <c r="N191" s="972" t="s">
        <v>3663</v>
      </c>
    </row>
    <row r="192">
      <c r="A192" s="35">
        <v>209.0</v>
      </c>
      <c r="B192" s="54" t="s">
        <v>4006</v>
      </c>
      <c r="C192" s="54" t="s">
        <v>3678</v>
      </c>
      <c r="D192" s="35">
        <v>93697.0</v>
      </c>
      <c r="E192" s="35">
        <v>67000.0</v>
      </c>
      <c r="F192" s="35" t="s">
        <v>3972</v>
      </c>
      <c r="G192" s="35">
        <v>215000.0</v>
      </c>
      <c r="H192" s="35">
        <v>19.0</v>
      </c>
      <c r="I192" s="35">
        <v>41.0</v>
      </c>
      <c r="J192" s="35">
        <v>41.0</v>
      </c>
      <c r="K192" s="35">
        <v>53.0</v>
      </c>
      <c r="L192" s="35">
        <v>41.0</v>
      </c>
      <c r="N192" s="972" t="s">
        <v>3663</v>
      </c>
    </row>
    <row r="193">
      <c r="A193" s="35">
        <v>213.0</v>
      </c>
      <c r="B193" s="54" t="s">
        <v>4007</v>
      </c>
      <c r="C193" s="54" t="s">
        <v>4008</v>
      </c>
      <c r="D193" s="35">
        <v>99208.0</v>
      </c>
      <c r="E193" s="35">
        <v>76600.0</v>
      </c>
      <c r="F193" s="35" t="s">
        <v>3975</v>
      </c>
      <c r="G193" s="35">
        <v>235000.0</v>
      </c>
      <c r="H193" s="35">
        <v>20.0</v>
      </c>
      <c r="I193" s="35">
        <v>60.0</v>
      </c>
      <c r="J193" s="35">
        <v>47.0</v>
      </c>
      <c r="K193" s="35">
        <v>55.0</v>
      </c>
      <c r="L193" s="35">
        <v>46.0</v>
      </c>
      <c r="N193" s="972" t="s">
        <v>3663</v>
      </c>
    </row>
    <row r="194">
      <c r="A194" s="35">
        <v>221.0</v>
      </c>
      <c r="B194" s="54" t="s">
        <v>4009</v>
      </c>
      <c r="C194" s="54" t="s">
        <v>4010</v>
      </c>
      <c r="D194" s="35">
        <v>104720.0</v>
      </c>
      <c r="E194" s="35">
        <v>80900.0</v>
      </c>
      <c r="F194" s="35" t="s">
        <v>3972</v>
      </c>
      <c r="G194" s="35">
        <v>260000.0</v>
      </c>
      <c r="H194" s="35">
        <v>30.0</v>
      </c>
      <c r="I194" s="35">
        <v>60.0</v>
      </c>
      <c r="J194" s="35">
        <v>51.0</v>
      </c>
      <c r="K194" s="35">
        <v>55.0</v>
      </c>
      <c r="L194" s="35">
        <v>48.0</v>
      </c>
      <c r="N194" s="972" t="s">
        <v>3663</v>
      </c>
    </row>
    <row r="195">
      <c r="A195" s="35">
        <v>237.0</v>
      </c>
      <c r="B195" s="54" t="s">
        <v>4011</v>
      </c>
      <c r="C195" s="54" t="s">
        <v>4012</v>
      </c>
      <c r="D195" s="35">
        <v>110232.0</v>
      </c>
      <c r="E195" s="35">
        <v>88400.0</v>
      </c>
      <c r="F195" s="35" t="s">
        <v>3978</v>
      </c>
      <c r="G195" s="35">
        <v>290000.0</v>
      </c>
      <c r="H195" s="35">
        <v>53.0</v>
      </c>
      <c r="I195" s="35">
        <v>60.0</v>
      </c>
      <c r="J195" s="35">
        <v>57.0</v>
      </c>
      <c r="K195" s="35">
        <v>57.0</v>
      </c>
      <c r="L195" s="35">
        <v>54.0</v>
      </c>
      <c r="N195" s="972" t="s">
        <v>3663</v>
      </c>
    </row>
    <row r="199">
      <c r="A199" s="691" t="s">
        <v>4013</v>
      </c>
      <c r="B199" s="974"/>
      <c r="C199" s="974"/>
      <c r="D199" s="974"/>
      <c r="E199" s="974"/>
      <c r="F199" s="974"/>
      <c r="G199" s="974"/>
      <c r="H199" s="993"/>
      <c r="I199" s="993"/>
      <c r="J199" s="18"/>
      <c r="K199" s="18"/>
    </row>
    <row r="200">
      <c r="A200" s="994" t="s">
        <v>3616</v>
      </c>
      <c r="B200" s="994" t="s">
        <v>0</v>
      </c>
      <c r="C200" s="994" t="s">
        <v>3617</v>
      </c>
      <c r="D200" s="994" t="s">
        <v>4014</v>
      </c>
      <c r="E200" s="994" t="s">
        <v>4015</v>
      </c>
      <c r="F200" s="994" t="s">
        <v>4016</v>
      </c>
      <c r="G200" s="994" t="s">
        <v>3918</v>
      </c>
      <c r="H200" s="994" t="s">
        <v>3870</v>
      </c>
      <c r="I200" s="994" t="s">
        <v>4017</v>
      </c>
      <c r="J200" s="18"/>
    </row>
    <row r="201">
      <c r="A201" s="35">
        <v>11.0</v>
      </c>
      <c r="B201" s="54" t="s">
        <v>4018</v>
      </c>
      <c r="C201" s="54" t="s">
        <v>3819</v>
      </c>
      <c r="D201" s="35">
        <v>4467.0</v>
      </c>
      <c r="E201" s="35"/>
      <c r="F201" s="35"/>
      <c r="G201" s="35"/>
      <c r="H201" s="35"/>
      <c r="I201" s="35"/>
      <c r="J201" s="18"/>
    </row>
    <row r="202">
      <c r="A202" s="35">
        <v>24.0</v>
      </c>
      <c r="B202" s="54" t="s">
        <v>4019</v>
      </c>
      <c r="C202" s="54" t="s">
        <v>4020</v>
      </c>
      <c r="D202" s="35">
        <v>12814.0</v>
      </c>
      <c r="E202" s="35"/>
      <c r="F202" s="35"/>
      <c r="G202" s="35"/>
      <c r="H202" s="35"/>
      <c r="I202" s="35"/>
      <c r="J202" s="18"/>
    </row>
    <row r="203">
      <c r="A203" s="35">
        <v>32.0</v>
      </c>
      <c r="B203" s="54" t="s">
        <v>4021</v>
      </c>
      <c r="C203" s="54" t="s">
        <v>4022</v>
      </c>
      <c r="D203" s="35">
        <v>21566.0</v>
      </c>
      <c r="E203" s="35"/>
      <c r="F203" s="35"/>
      <c r="G203" s="35"/>
      <c r="H203" s="37"/>
      <c r="I203" s="37"/>
      <c r="J203" s="18"/>
    </row>
    <row r="204">
      <c r="A204" s="35">
        <v>38.0</v>
      </c>
      <c r="B204" s="54" t="s">
        <v>4023</v>
      </c>
      <c r="C204" s="54" t="s">
        <v>4024</v>
      </c>
      <c r="D204" s="35">
        <v>29449.0</v>
      </c>
      <c r="E204" s="35"/>
      <c r="F204" s="35"/>
      <c r="G204" s="35"/>
      <c r="H204" s="37"/>
      <c r="I204" s="37"/>
      <c r="J204" s="18"/>
    </row>
    <row r="205">
      <c r="A205" s="35">
        <v>58.0</v>
      </c>
      <c r="B205" s="54" t="s">
        <v>4025</v>
      </c>
      <c r="C205" s="54" t="s">
        <v>4026</v>
      </c>
      <c r="D205" s="35">
        <v>51953.0</v>
      </c>
      <c r="E205" s="35">
        <v>38689.0</v>
      </c>
      <c r="F205" s="35" t="s">
        <v>4027</v>
      </c>
      <c r="G205" s="35"/>
      <c r="H205" s="35"/>
      <c r="I205" s="35"/>
      <c r="J205" s="18"/>
    </row>
    <row r="206">
      <c r="A206" s="35">
        <v>65.0</v>
      </c>
      <c r="B206" s="54" t="s">
        <v>4028</v>
      </c>
      <c r="C206" s="54" t="s">
        <v>4029</v>
      </c>
      <c r="D206" s="35">
        <v>59927.0</v>
      </c>
      <c r="E206" s="35">
        <v>42783.0</v>
      </c>
      <c r="F206" s="35" t="s">
        <v>4027</v>
      </c>
      <c r="G206" s="35"/>
      <c r="H206" s="35"/>
      <c r="I206" s="35"/>
      <c r="J206" s="18"/>
    </row>
    <row r="207">
      <c r="A207" s="35">
        <v>80.0</v>
      </c>
      <c r="B207" s="54" t="s">
        <v>4030</v>
      </c>
      <c r="C207" s="54" t="s">
        <v>3680</v>
      </c>
      <c r="D207" s="35">
        <v>78181.0</v>
      </c>
      <c r="E207" s="35">
        <v>57955.0</v>
      </c>
      <c r="F207" s="35" t="s">
        <v>4027</v>
      </c>
      <c r="G207" s="35"/>
      <c r="H207" s="35"/>
      <c r="I207" s="35"/>
      <c r="J207" s="18"/>
    </row>
    <row r="208">
      <c r="A208" s="35">
        <v>86.0</v>
      </c>
      <c r="B208" s="54" t="s">
        <v>4031</v>
      </c>
      <c r="C208" s="54" t="s">
        <v>4032</v>
      </c>
      <c r="D208" s="35">
        <v>86901.0</v>
      </c>
      <c r="E208" s="35">
        <v>65956.0</v>
      </c>
      <c r="F208" s="35" t="s">
        <v>4027</v>
      </c>
      <c r="G208" s="35"/>
      <c r="H208" s="35"/>
      <c r="I208" s="35"/>
      <c r="J208" s="18"/>
    </row>
    <row r="209">
      <c r="A209" s="35">
        <v>102.0</v>
      </c>
      <c r="B209" s="54" t="s">
        <v>4033</v>
      </c>
      <c r="C209" s="54" t="s">
        <v>4034</v>
      </c>
      <c r="D209" s="35">
        <v>101493.0</v>
      </c>
      <c r="E209" s="35">
        <v>79077.0</v>
      </c>
      <c r="F209" s="35" t="s">
        <v>4027</v>
      </c>
      <c r="G209" s="35"/>
      <c r="H209" s="35"/>
      <c r="I209" s="35"/>
      <c r="J209" s="18"/>
    </row>
    <row r="210">
      <c r="A210" s="35">
        <v>113.0</v>
      </c>
      <c r="B210" s="54" t="s">
        <v>4035</v>
      </c>
      <c r="C210" s="54" t="s">
        <v>3772</v>
      </c>
      <c r="D210" s="35">
        <v>112896.0</v>
      </c>
      <c r="E210" s="35">
        <v>85082.0</v>
      </c>
      <c r="F210" s="35" t="s">
        <v>4027</v>
      </c>
      <c r="G210" s="35"/>
      <c r="H210" s="35"/>
      <c r="I210" s="35"/>
      <c r="J210" s="18"/>
    </row>
    <row r="211">
      <c r="A211" s="35">
        <v>126.0</v>
      </c>
      <c r="B211" s="54" t="s">
        <v>4036</v>
      </c>
      <c r="C211" s="54" t="s">
        <v>4037</v>
      </c>
      <c r="D211" s="35">
        <v>124185.0</v>
      </c>
      <c r="E211" s="35">
        <v>89739.0</v>
      </c>
      <c r="F211" s="35" t="s">
        <v>450</v>
      </c>
      <c r="G211" s="35">
        <v>22.0</v>
      </c>
      <c r="H211" s="35">
        <v>30.0</v>
      </c>
      <c r="I211" s="35">
        <v>30.0</v>
      </c>
      <c r="J211" s="972" t="s">
        <v>3652</v>
      </c>
    </row>
    <row r="212">
      <c r="A212" s="35">
        <v>132.0</v>
      </c>
      <c r="B212" s="54" t="s">
        <v>4038</v>
      </c>
      <c r="C212" s="54" t="s">
        <v>3772</v>
      </c>
      <c r="D212" s="35">
        <v>135475.0</v>
      </c>
      <c r="E212" s="35">
        <v>102910.0</v>
      </c>
      <c r="F212" s="35" t="s">
        <v>4027</v>
      </c>
      <c r="G212" s="35">
        <v>40.0</v>
      </c>
      <c r="H212" s="35">
        <v>35.0</v>
      </c>
      <c r="I212" s="35">
        <v>35.0</v>
      </c>
      <c r="J212" s="18"/>
    </row>
    <row r="213">
      <c r="A213" s="35">
        <v>138.0</v>
      </c>
      <c r="B213" s="988" t="s">
        <v>4039</v>
      </c>
      <c r="C213" s="54" t="s">
        <v>4040</v>
      </c>
      <c r="D213" s="35">
        <v>141081.0</v>
      </c>
      <c r="E213" s="35">
        <v>95000.0</v>
      </c>
      <c r="F213" s="35" t="s">
        <v>450</v>
      </c>
      <c r="G213" s="35">
        <v>35.0</v>
      </c>
      <c r="H213" s="35">
        <v>32.0</v>
      </c>
      <c r="I213" s="35">
        <v>30.0</v>
      </c>
      <c r="J213" s="972" t="s">
        <v>3663</v>
      </c>
    </row>
    <row r="214">
      <c r="A214" s="35">
        <v>148.0</v>
      </c>
      <c r="B214" s="54" t="s">
        <v>4041</v>
      </c>
      <c r="C214" s="54" t="s">
        <v>4042</v>
      </c>
      <c r="D214" s="35">
        <v>149568.0</v>
      </c>
      <c r="E214" s="35">
        <v>98458.0</v>
      </c>
      <c r="F214" s="35" t="s">
        <v>450</v>
      </c>
      <c r="G214" s="35">
        <v>37.0</v>
      </c>
      <c r="H214" s="35">
        <v>36.0</v>
      </c>
      <c r="I214" s="35">
        <v>30.0</v>
      </c>
      <c r="J214" s="972" t="s">
        <v>3663</v>
      </c>
    </row>
    <row r="215">
      <c r="A215" s="35">
        <v>164.0</v>
      </c>
      <c r="B215" s="54" t="s">
        <v>4043</v>
      </c>
      <c r="C215" s="54" t="s">
        <v>4044</v>
      </c>
      <c r="D215" s="35">
        <v>158054.0</v>
      </c>
      <c r="E215" s="35">
        <v>103926.0</v>
      </c>
      <c r="F215" s="35" t="s">
        <v>450</v>
      </c>
      <c r="G215" s="35">
        <v>43.0</v>
      </c>
      <c r="H215" s="35">
        <v>38.0</v>
      </c>
      <c r="I215" s="35">
        <v>30.0</v>
      </c>
      <c r="J215" s="972" t="s">
        <v>3663</v>
      </c>
    </row>
    <row r="216">
      <c r="A216" s="35">
        <v>179.0</v>
      </c>
      <c r="B216" s="54" t="s">
        <v>4045</v>
      </c>
      <c r="C216" s="54" t="s">
        <v>4046</v>
      </c>
      <c r="D216" s="35">
        <v>163660.0</v>
      </c>
      <c r="E216" s="35">
        <v>108000.0</v>
      </c>
      <c r="F216" s="35" t="s">
        <v>450</v>
      </c>
      <c r="G216" s="35">
        <v>46.0</v>
      </c>
      <c r="H216" s="35">
        <v>39.0</v>
      </c>
      <c r="I216" s="35">
        <v>30.0</v>
      </c>
      <c r="J216" s="972" t="s">
        <v>3663</v>
      </c>
    </row>
    <row r="217">
      <c r="A217" s="35">
        <v>191.0</v>
      </c>
      <c r="B217" s="54" t="s">
        <v>4047</v>
      </c>
      <c r="C217" s="54" t="s">
        <v>4048</v>
      </c>
      <c r="D217" s="35">
        <v>172147.0</v>
      </c>
      <c r="E217" s="35">
        <v>118000.0</v>
      </c>
      <c r="F217" s="35" t="s">
        <v>450</v>
      </c>
      <c r="G217" s="35">
        <v>48.0</v>
      </c>
      <c r="H217" s="35">
        <v>39.0</v>
      </c>
      <c r="I217" s="35">
        <v>35.0</v>
      </c>
      <c r="J217" s="972" t="s">
        <v>3663</v>
      </c>
    </row>
    <row r="218">
      <c r="A218" s="35">
        <v>202.0</v>
      </c>
      <c r="B218" s="54" t="s">
        <v>4049</v>
      </c>
      <c r="C218" s="54" t="s">
        <v>4050</v>
      </c>
      <c r="D218" s="35">
        <v>180633.0</v>
      </c>
      <c r="E218" s="35">
        <v>124926.0</v>
      </c>
      <c r="F218" s="35" t="s">
        <v>450</v>
      </c>
      <c r="G218" s="35">
        <v>52.0</v>
      </c>
      <c r="H218" s="35">
        <v>41.0</v>
      </c>
      <c r="I218" s="35">
        <v>42.0</v>
      </c>
      <c r="J218" s="972" t="s">
        <v>3663</v>
      </c>
    </row>
    <row r="219">
      <c r="A219" s="35">
        <v>212.0</v>
      </c>
      <c r="B219" s="54" t="s">
        <v>4051</v>
      </c>
      <c r="C219" s="54" t="s">
        <v>4052</v>
      </c>
      <c r="D219" s="35">
        <v>186240.0</v>
      </c>
      <c r="E219" s="35">
        <v>122714.0</v>
      </c>
      <c r="F219" s="35" t="s">
        <v>450</v>
      </c>
      <c r="G219" s="35">
        <v>51.0</v>
      </c>
      <c r="H219" s="35">
        <v>41.0</v>
      </c>
      <c r="I219" s="35">
        <v>41.0</v>
      </c>
      <c r="J219" s="972" t="s">
        <v>3663</v>
      </c>
    </row>
    <row r="220">
      <c r="A220" s="35">
        <v>220.0</v>
      </c>
      <c r="B220" s="54" t="s">
        <v>4053</v>
      </c>
      <c r="C220" s="54" t="s">
        <v>4054</v>
      </c>
      <c r="D220" s="35">
        <v>194726.0</v>
      </c>
      <c r="E220" s="35">
        <v>124926.0</v>
      </c>
      <c r="F220" s="35" t="s">
        <v>450</v>
      </c>
      <c r="G220" s="35">
        <v>52.0</v>
      </c>
      <c r="H220" s="35">
        <v>41.0</v>
      </c>
      <c r="I220" s="35">
        <v>42.0</v>
      </c>
      <c r="J220" s="972" t="s">
        <v>3663</v>
      </c>
    </row>
    <row r="221">
      <c r="A221" s="35">
        <v>227.0</v>
      </c>
      <c r="B221" s="54" t="s">
        <v>4055</v>
      </c>
      <c r="C221" s="54" t="s">
        <v>4056</v>
      </c>
      <c r="D221" s="35">
        <v>203212.0</v>
      </c>
      <c r="E221" s="35">
        <v>157083.0</v>
      </c>
      <c r="F221" s="35" t="s">
        <v>450</v>
      </c>
      <c r="G221" s="35"/>
      <c r="H221" s="35"/>
      <c r="I221" s="35"/>
      <c r="J221" s="18"/>
    </row>
    <row r="222">
      <c r="A222" s="35">
        <v>230.0</v>
      </c>
      <c r="B222" s="54" t="s">
        <v>4057</v>
      </c>
      <c r="C222" s="54" t="s">
        <v>4058</v>
      </c>
      <c r="D222" s="35">
        <v>208819.0</v>
      </c>
      <c r="E222" s="35">
        <v>144745.0</v>
      </c>
      <c r="F222" s="35" t="s">
        <v>450</v>
      </c>
      <c r="G222" s="35">
        <v>60.0</v>
      </c>
      <c r="H222" s="35">
        <v>47.0</v>
      </c>
      <c r="I222" s="35" t="s">
        <v>4059</v>
      </c>
      <c r="J222" s="972" t="s">
        <v>3663</v>
      </c>
    </row>
    <row r="223">
      <c r="A223" s="35">
        <v>232.0</v>
      </c>
      <c r="B223" s="54" t="s">
        <v>4060</v>
      </c>
      <c r="C223" s="54" t="s">
        <v>4061</v>
      </c>
      <c r="D223" s="35">
        <v>217305.0</v>
      </c>
      <c r="E223" s="35"/>
      <c r="F223" s="35" t="s">
        <v>4062</v>
      </c>
      <c r="G223" s="35">
        <v>60.0</v>
      </c>
      <c r="H223" s="35">
        <v>50.0</v>
      </c>
      <c r="I223" s="35" t="s">
        <v>4063</v>
      </c>
      <c r="J223" s="972" t="s">
        <v>3663</v>
      </c>
      <c r="K223" s="972" t="s">
        <v>4064</v>
      </c>
    </row>
  </sheetData>
  <dataValidations>
    <dataValidation type="list" allowBlank="1" showDropDown="1" showErrorMessage="1" sqref="F201:F223">
      <formula1>"Dragon,Fish,V"</formula1>
    </dataValidation>
    <dataValidation type="list" allowBlank="1" showDropDown="1" showErrorMessage="1" sqref="F174:F195">
      <formula1>"Samba,Blues,Remix"</formula1>
    </dataValidation>
    <dataValidation type="list" allowBlank="1" showDropDown="1" showErrorMessage="1" sqref="F91:F113">
      <formula1>"Earth,Water,Fire,Wind"</formula1>
    </dataValidation>
    <dataValidation type="list" allowBlank="1" showDropDown="1" showErrorMessage="1" sqref="F35:F56">
      <formula1>"Highway,Waters,Desert,Train"</formula1>
    </dataValidation>
  </dataValidations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6.09"/>
    <col customWidth="1" min="2" max="2" width="8.0"/>
    <col customWidth="1" min="3" max="3" width="8.73"/>
    <col customWidth="1" min="4" max="4" width="10.36"/>
    <col customWidth="1" min="5" max="5" width="8.91"/>
    <col customWidth="1" min="6" max="6" width="13.64"/>
    <col customWidth="1" min="7" max="7" width="6.82"/>
    <col customWidth="1" min="8" max="8" width="10.27"/>
    <col customWidth="1" min="9" max="9" width="13.55"/>
    <col customWidth="1" min="10" max="10" width="12.91"/>
    <col customWidth="1" min="11" max="11" width="12.73"/>
    <col customWidth="1" min="12" max="12" width="14.0"/>
  </cols>
  <sheetData>
    <row r="1">
      <c r="A1" s="782" t="s">
        <v>4065</v>
      </c>
      <c r="B1" s="782" t="s">
        <v>4066</v>
      </c>
      <c r="C1" s="782" t="s">
        <v>4067</v>
      </c>
      <c r="D1" s="782" t="s">
        <v>4068</v>
      </c>
      <c r="E1" s="782" t="s">
        <v>4069</v>
      </c>
      <c r="F1" s="782" t="s">
        <v>4070</v>
      </c>
      <c r="G1" s="782" t="s">
        <v>4071</v>
      </c>
      <c r="H1" s="782" t="s">
        <v>4072</v>
      </c>
      <c r="I1" s="782" t="s">
        <v>4073</v>
      </c>
      <c r="J1" s="782" t="s">
        <v>4074</v>
      </c>
      <c r="K1" s="782" t="s">
        <v>4075</v>
      </c>
      <c r="L1" s="782" t="s">
        <v>4076</v>
      </c>
    </row>
    <row r="2">
      <c r="A2" s="787" t="s">
        <v>4077</v>
      </c>
      <c r="B2" s="790">
        <v>60.0</v>
      </c>
      <c r="C2" s="789">
        <f>VLOOKUP(A2,'Drifter Stats'!$A$4:$Q$24,12,FALSE)</f>
        <v>240</v>
      </c>
      <c r="D2" s="789">
        <f>M13</f>
        <v>0.4</v>
      </c>
      <c r="E2" s="996"/>
      <c r="F2" s="789">
        <f>M16</f>
        <v>0.6</v>
      </c>
      <c r="G2" s="789">
        <f>M12</f>
        <v>0.8</v>
      </c>
      <c r="H2" s="996"/>
      <c r="I2" s="789">
        <f>M14</f>
        <v>0.6</v>
      </c>
      <c r="J2" s="789">
        <f>FLOOR(10*(C2*(1+SUM(D2:H2))*3)*(1+I2),1)/10</f>
        <v>3225.6</v>
      </c>
      <c r="K2" s="789">
        <f t="shared" ref="K2:K7" si="1">B2*FLOOR(10*(C2*(1+SUM(D2:G2))*3)*(1+I2),1)/10</f>
        <v>193536</v>
      </c>
      <c r="L2" s="789">
        <f t="shared" ref="L2:L7" si="2">B2*FLOOR(10*(C2*(1+SUM(D2:H2))*3)*(1+I2),1)/10</f>
        <v>193536</v>
      </c>
    </row>
    <row r="3">
      <c r="A3" s="787" t="s">
        <v>4078</v>
      </c>
      <c r="B3" s="790">
        <v>60.0</v>
      </c>
      <c r="C3" s="789">
        <f>VLOOKUP(A3,'Drifter Stats'!$A$4:$Q$24,12,FALSE)</f>
        <v>214</v>
      </c>
      <c r="D3" s="789">
        <f>M13</f>
        <v>0.4</v>
      </c>
      <c r="E3" s="996"/>
      <c r="F3" s="789">
        <f>M16</f>
        <v>0.6</v>
      </c>
      <c r="G3" s="996"/>
      <c r="H3" s="789">
        <f>M17</f>
        <v>1</v>
      </c>
      <c r="I3" s="996"/>
      <c r="J3" s="789">
        <f>(C3*(1+SUM(D3:H3))*3)*(1+I3)</f>
        <v>1926</v>
      </c>
      <c r="K3" s="789">
        <f t="shared" si="1"/>
        <v>77040</v>
      </c>
      <c r="L3" s="789">
        <f t="shared" si="2"/>
        <v>115560</v>
      </c>
    </row>
    <row r="4">
      <c r="A4" s="787" t="s">
        <v>3970</v>
      </c>
      <c r="B4" s="790">
        <v>48.0</v>
      </c>
      <c r="C4" s="789">
        <f>VLOOKUP(A4,'Drifter Stats'!$A$4:$Q$24,12,FALSE)</f>
        <v>165</v>
      </c>
      <c r="D4" s="789">
        <f>M13</f>
        <v>0.4</v>
      </c>
      <c r="E4" s="996"/>
      <c r="F4" s="789">
        <f>M16</f>
        <v>0.6</v>
      </c>
      <c r="G4" s="996"/>
      <c r="H4" s="996"/>
      <c r="I4" s="996"/>
      <c r="J4" s="789">
        <f t="shared" ref="J4:J7" si="3">FLOOR(10*(C4*(1+SUM(D4:H4))*3)*(1+I4),1)/10</f>
        <v>990</v>
      </c>
      <c r="K4" s="789">
        <f t="shared" si="1"/>
        <v>47520</v>
      </c>
      <c r="L4" s="789">
        <f t="shared" si="2"/>
        <v>47520</v>
      </c>
    </row>
    <row r="5">
      <c r="A5" s="787" t="s">
        <v>1730</v>
      </c>
      <c r="B5" s="790">
        <v>19.0</v>
      </c>
      <c r="C5" s="789">
        <f>VLOOKUP(A5,'Drifter Stats'!$A$4:$Q$24,12,FALSE)</f>
        <v>250</v>
      </c>
      <c r="D5" s="789">
        <f>M13</f>
        <v>0.4</v>
      </c>
      <c r="E5" s="789">
        <f>M15</f>
        <v>0.3</v>
      </c>
      <c r="F5" s="996"/>
      <c r="G5" s="996"/>
      <c r="H5" s="996"/>
      <c r="I5" s="996"/>
      <c r="J5" s="789">
        <f t="shared" si="3"/>
        <v>1275</v>
      </c>
      <c r="K5" s="789">
        <f t="shared" si="1"/>
        <v>24225</v>
      </c>
      <c r="L5" s="789">
        <f t="shared" si="2"/>
        <v>24225</v>
      </c>
    </row>
    <row r="6">
      <c r="A6" s="997" t="s">
        <v>3627</v>
      </c>
      <c r="B6" s="790">
        <v>15.0</v>
      </c>
      <c r="C6" s="789">
        <f>VLOOKUP(A6,'Drifter Stats'!$A$4:$Q$24,12,FALSE)</f>
        <v>180</v>
      </c>
      <c r="D6" s="789">
        <f>M13</f>
        <v>0.4</v>
      </c>
      <c r="E6" s="789">
        <f>M15</f>
        <v>0.3</v>
      </c>
      <c r="F6" s="789"/>
      <c r="G6" s="996"/>
      <c r="H6" s="996"/>
      <c r="I6" s="996"/>
      <c r="J6" s="789">
        <f t="shared" si="3"/>
        <v>918</v>
      </c>
      <c r="K6" s="789">
        <f t="shared" si="1"/>
        <v>13770</v>
      </c>
      <c r="L6" s="789">
        <f t="shared" si="2"/>
        <v>13770</v>
      </c>
    </row>
    <row r="7">
      <c r="A7" s="787" t="s">
        <v>3814</v>
      </c>
      <c r="B7" s="790">
        <v>60.0</v>
      </c>
      <c r="C7" s="789">
        <f>VLOOKUP(A7,'Drifter Stats'!$A$4:$Q$24,12,FALSE)</f>
        <v>173</v>
      </c>
      <c r="D7" s="789">
        <f>M13</f>
        <v>0.4</v>
      </c>
      <c r="E7" s="996"/>
      <c r="F7" s="789">
        <f>M16</f>
        <v>0.6</v>
      </c>
      <c r="G7" s="996"/>
      <c r="H7" s="996"/>
      <c r="I7" s="996"/>
      <c r="J7" s="789">
        <f t="shared" si="3"/>
        <v>1038</v>
      </c>
      <c r="K7" s="789">
        <f t="shared" si="1"/>
        <v>62280</v>
      </c>
      <c r="L7" s="789">
        <f t="shared" si="2"/>
        <v>62280</v>
      </c>
    </row>
    <row r="8">
      <c r="A8" s="781"/>
      <c r="B8" s="781"/>
      <c r="C8" s="781"/>
      <c r="D8" s="781"/>
      <c r="E8" s="781"/>
      <c r="F8" s="781"/>
      <c r="G8" s="781"/>
      <c r="H8" s="781"/>
      <c r="I8" s="781"/>
      <c r="J8" s="781"/>
      <c r="K8" s="781"/>
      <c r="L8" s="781"/>
    </row>
    <row r="9">
      <c r="A9" s="781"/>
      <c r="B9" s="781"/>
      <c r="C9" s="781"/>
      <c r="D9" s="781"/>
      <c r="E9" s="781"/>
      <c r="F9" s="781"/>
      <c r="G9" s="781"/>
      <c r="H9" s="781"/>
      <c r="I9" s="781"/>
      <c r="J9" s="781"/>
      <c r="K9" s="781"/>
      <c r="L9" s="781"/>
    </row>
    <row r="10">
      <c r="A10" s="781"/>
      <c r="B10" s="781"/>
      <c r="C10" s="781"/>
      <c r="D10" s="781"/>
      <c r="E10" s="781"/>
      <c r="F10" s="781"/>
      <c r="G10" s="781"/>
      <c r="H10" s="781"/>
      <c r="I10" s="781"/>
      <c r="J10" s="781"/>
      <c r="K10" s="781"/>
      <c r="L10" s="781"/>
    </row>
    <row r="11">
      <c r="A11" s="782" t="s">
        <v>4079</v>
      </c>
      <c r="B11" s="782" t="s">
        <v>4080</v>
      </c>
      <c r="C11" s="782" t="s">
        <v>4081</v>
      </c>
      <c r="D11" s="782" t="s">
        <v>4065</v>
      </c>
      <c r="E11" s="782" t="s">
        <v>4082</v>
      </c>
      <c r="F11" s="782" t="s">
        <v>4083</v>
      </c>
      <c r="G11" s="782" t="s">
        <v>4084</v>
      </c>
      <c r="H11" s="781"/>
      <c r="I11" s="782" t="s">
        <v>4085</v>
      </c>
      <c r="J11" s="998" t="s">
        <v>4086</v>
      </c>
      <c r="K11" s="999" t="s">
        <v>4087</v>
      </c>
      <c r="L11" s="998" t="s">
        <v>4088</v>
      </c>
      <c r="M11" s="998" t="s">
        <v>4089</v>
      </c>
    </row>
    <row r="12">
      <c r="A12" s="789">
        <v>1.0</v>
      </c>
      <c r="B12" s="789">
        <f>VLOOKUP($B$18,'Rift Anecdotes'!$B$6:$H$27,3,FALSE)</f>
        <v>193164</v>
      </c>
      <c r="C12" s="1000" t="str">
        <f>VLOOKUP($B$18,'Rift Anecdotes'!$X$6:$AC$27,2,FALSE)</f>
        <v>Male</v>
      </c>
      <c r="D12" s="1001" t="s">
        <v>4077</v>
      </c>
      <c r="E12" s="789">
        <f>FLOOR(VLOOKUP(D12,$A$2:$L$7,IF(C12="Male",11,12),false)*(1+ IF(D12="Commissioner", $M$20, 0)) + IF(D12="Dracula", $M$18*3, 0),1)</f>
        <v>193536</v>
      </c>
      <c r="F12" s="789">
        <f t="shared" ref="F12:F16" si="4">IF(AND(D12 = "Athena", C12 = "Male"), 0, (FLOOR(B12*(IF(D12="Amakusa", 1-$M$19, 1)) - 3*(IF(D12="Dracula",$M$18, 0)),1)))</f>
        <v>193164</v>
      </c>
      <c r="G12" s="789">
        <f t="shared" ref="G12:G16" si="5">IF(E12 &gt; F12, 1, 0)</f>
        <v>1</v>
      </c>
      <c r="H12" s="781"/>
      <c r="I12" s="1002" t="s">
        <v>4071</v>
      </c>
      <c r="J12" s="1003" t="s">
        <v>4077</v>
      </c>
      <c r="K12" s="449" t="str">
        <f>IF(L10 &gt;= 10, 'Drifter Priority'!D41, 'Drifter Priority'!C41)</f>
        <v>A</v>
      </c>
      <c r="L12" s="1004">
        <v>20.0</v>
      </c>
      <c r="M12" s="1005">
        <f>0.04*L12</f>
        <v>0.8</v>
      </c>
    </row>
    <row r="13">
      <c r="A13" s="789">
        <v>2.0</v>
      </c>
      <c r="B13" s="789">
        <f>VLOOKUP($B$18,'Rift Anecdotes'!$B$6:$H$27,4,FALSE)</f>
        <v>198957</v>
      </c>
      <c r="C13" s="1000" t="str">
        <f>VLOOKUP($B$18,'Rift Anecdotes'!$X$6:$AC$27,3,FALSE)</f>
        <v>Male</v>
      </c>
      <c r="D13" s="1001" t="s">
        <v>1730</v>
      </c>
      <c r="E13" s="789">
        <f>FLOOR(VLOOKUP(D13,$A$2:$L$7,IF(C13="Male",11,12),false) + IF(D13="Dracula", $M$18*3, 0) + 3*$M$21*SUM(G12),1)</f>
        <v>26025</v>
      </c>
      <c r="F13" s="789">
        <f t="shared" si="4"/>
        <v>0</v>
      </c>
      <c r="G13" s="789">
        <f t="shared" si="5"/>
        <v>1</v>
      </c>
      <c r="H13" s="781"/>
      <c r="I13" s="1002" t="s">
        <v>4068</v>
      </c>
      <c r="J13" s="1003" t="s">
        <v>4077</v>
      </c>
      <c r="K13" s="449" t="str">
        <f>IF(L11 &gt;= 10, 'Drifter Priority'!D42, 'Drifter Priority'!C42)</f>
        <v>A</v>
      </c>
      <c r="L13" s="1004">
        <v>20.0</v>
      </c>
      <c r="M13" s="1005">
        <f>0.02*L13</f>
        <v>0.4</v>
      </c>
    </row>
    <row r="14">
      <c r="A14" s="789">
        <v>3.0</v>
      </c>
      <c r="B14" s="789">
        <f>VLOOKUP($B$18,'Rift Anecdotes'!$B$6:$H$27,5,FALSE)</f>
        <v>204924</v>
      </c>
      <c r="C14" s="1000" t="str">
        <f>VLOOKUP($B$18,'Rift Anecdotes'!$X$6:$AC$27,4,FALSE)</f>
        <v>Male</v>
      </c>
      <c r="D14" s="1001" t="s">
        <v>3814</v>
      </c>
      <c r="E14" s="789">
        <f>FLOOR(VLOOKUP(D14,$A$2:$L$7,IF(C14="Male",11,12),false) + IF(D14="Dracula", $M$18*3, 0) + 3*$M$21*SUM(G12:G13),1)</f>
        <v>65880</v>
      </c>
      <c r="F14" s="789">
        <f t="shared" si="4"/>
        <v>163939</v>
      </c>
      <c r="G14" s="789">
        <f t="shared" si="5"/>
        <v>0</v>
      </c>
      <c r="H14" s="781"/>
      <c r="I14" s="1002" t="s">
        <v>4073</v>
      </c>
      <c r="J14" s="1003" t="s">
        <v>4077</v>
      </c>
      <c r="K14" s="449" t="str">
        <f>IF(L12 &gt;= 10, 'Drifter Priority'!D43, 'Drifter Priority'!C43)</f>
        <v>S</v>
      </c>
      <c r="L14" s="1004">
        <v>20.0</v>
      </c>
      <c r="M14" s="1005">
        <f t="shared" ref="M14:M16" si="6">0.03*L14</f>
        <v>0.6</v>
      </c>
    </row>
    <row r="15">
      <c r="A15" s="789">
        <v>4.0</v>
      </c>
      <c r="B15" s="789">
        <f>VLOOKUP($B$18,'Rift Anecdotes'!$B$6:$H$27,6,FALSE)</f>
        <v>80049</v>
      </c>
      <c r="C15" s="1000" t="str">
        <f>VLOOKUP($B$18,'Rift Anecdotes'!$X$6:$AC$27,5,FALSE)</f>
        <v>Male</v>
      </c>
      <c r="D15" s="1001" t="s">
        <v>3969</v>
      </c>
      <c r="E15" s="789">
        <f>FLOOR(VLOOKUP(D15,$A$2:$L$7,IF(C15="Male",11,12),false) + IF(D15="Dracula", $M$18*3, 0) + 3*$M$21*SUM(G12:G14),1)</f>
        <v>80640</v>
      </c>
      <c r="F15" s="789">
        <f t="shared" si="4"/>
        <v>80049</v>
      </c>
      <c r="G15" s="789">
        <f t="shared" si="5"/>
        <v>1</v>
      </c>
      <c r="H15" s="781"/>
      <c r="I15" s="1002" t="s">
        <v>4090</v>
      </c>
      <c r="J15" s="1003" t="s">
        <v>1730</v>
      </c>
      <c r="K15" s="449" t="str">
        <f>IF(L13 &gt;= 10, 'Drifter Priority'!D123, 'Drifter Priority'!C123)</f>
        <v>F</v>
      </c>
      <c r="L15" s="1004">
        <v>10.0</v>
      </c>
      <c r="M15" s="1005">
        <f t="shared" si="6"/>
        <v>0.3</v>
      </c>
    </row>
    <row r="16">
      <c r="A16" s="789">
        <v>5.0</v>
      </c>
      <c r="B16" s="789">
        <f>VLOOKUP($B$18,'Rift Anecdotes'!$B$6:$H$27,7,FALSE)</f>
        <v>120072</v>
      </c>
      <c r="C16" s="1000" t="str">
        <f>VLOOKUP($B$18,'Rift Anecdotes'!$X$6:$AC$27,6,FALSE)</f>
        <v>Male</v>
      </c>
      <c r="D16" s="1001" t="s">
        <v>3970</v>
      </c>
      <c r="E16" s="789">
        <f>FLOOR(VLOOKUP(D16,$A$2:$L$7,IF(C16="Male",11,12),false) + IF(D16="Dracula", $M$18*3, 0) + 3*$M$21*SUM(G12:G15),1)</f>
        <v>53070</v>
      </c>
      <c r="F16" s="789">
        <f t="shared" si="4"/>
        <v>119922</v>
      </c>
      <c r="G16" s="789">
        <f t="shared" si="5"/>
        <v>0</v>
      </c>
      <c r="H16" s="781"/>
      <c r="I16" s="1002" t="s">
        <v>4091</v>
      </c>
      <c r="J16" s="1003" t="s">
        <v>3969</v>
      </c>
      <c r="K16" s="449" t="str">
        <f>IF(L14 &gt;= 10, 'Drifter Priority'!D285, 'Drifter Priority'!C285)</f>
        <v>S</v>
      </c>
      <c r="L16" s="1004">
        <v>20.0</v>
      </c>
      <c r="M16" s="1005">
        <f t="shared" si="6"/>
        <v>0.6</v>
      </c>
    </row>
    <row r="17">
      <c r="A17" s="134"/>
      <c r="B17" s="134"/>
      <c r="C17" s="263"/>
      <c r="D17" s="263"/>
      <c r="E17" s="263"/>
      <c r="F17" s="263"/>
      <c r="G17" s="263"/>
      <c r="H17" s="781"/>
      <c r="I17" s="1002" t="s">
        <v>4092</v>
      </c>
      <c r="J17" s="1003" t="s">
        <v>3969</v>
      </c>
      <c r="K17" s="449" t="str">
        <f>IF(L15 &gt;= 10, 'Drifter Priority'!D286, 'Drifter Priority'!C286)</f>
        <v>D</v>
      </c>
      <c r="L17" s="1004">
        <v>20.0</v>
      </c>
      <c r="M17" s="1005">
        <f>0.05*L17</f>
        <v>1</v>
      </c>
    </row>
    <row r="18">
      <c r="A18" s="1006" t="s">
        <v>4093</v>
      </c>
      <c r="B18" s="1007" t="s">
        <v>3692</v>
      </c>
      <c r="C18" s="505"/>
      <c r="D18" s="263"/>
      <c r="E18" s="263"/>
      <c r="F18" s="263"/>
      <c r="G18" s="263"/>
      <c r="H18" s="781"/>
      <c r="I18" s="1002" t="s">
        <v>4094</v>
      </c>
      <c r="J18" s="1003" t="s">
        <v>3970</v>
      </c>
      <c r="K18" s="449" t="str">
        <f>IF(L16 &gt;= 10, 'Drifter Priority'!D108, 'Drifter Priority'!C108)</f>
        <v>F</v>
      </c>
      <c r="L18" s="1004">
        <v>1.0</v>
      </c>
      <c r="M18" s="1005">
        <f>50*L18</f>
        <v>50</v>
      </c>
    </row>
    <row r="19">
      <c r="A19" s="1008" t="s">
        <v>4095</v>
      </c>
      <c r="B19" s="1009" t="str">
        <f>IF(SUM(G12:G16) &gt; 2, "Win", "Lose")</f>
        <v>Win</v>
      </c>
      <c r="C19" s="505"/>
      <c r="D19" s="263"/>
      <c r="E19" s="263"/>
      <c r="F19" s="263"/>
      <c r="G19" s="263"/>
      <c r="H19" s="781"/>
      <c r="I19" s="1002" t="s">
        <v>4096</v>
      </c>
      <c r="J19" s="1003" t="s">
        <v>3814</v>
      </c>
      <c r="K19" s="449" t="str">
        <f>IF(L17 &gt;= 10, 'Drifter Priority'!D28, 'Drifter Priority'!C28)</f>
        <v>S</v>
      </c>
      <c r="L19" s="1004">
        <v>20.0</v>
      </c>
      <c r="M19" s="1005">
        <f>0.01*L19</f>
        <v>0.2</v>
      </c>
    </row>
    <row r="20">
      <c r="A20" s="263"/>
      <c r="B20" s="263"/>
      <c r="C20" s="263"/>
      <c r="D20" s="263"/>
      <c r="E20" s="263"/>
      <c r="F20" s="263"/>
      <c r="G20" s="263"/>
      <c r="H20" s="781"/>
      <c r="I20" s="1010" t="s">
        <v>4097</v>
      </c>
      <c r="J20" s="1003" t="str">
        <f>A6</f>
        <v>Commissioner</v>
      </c>
      <c r="K20" s="449" t="str">
        <f>IF(L18 &gt;= 10, 'Drifter Priority'!D267, 'Drifter Priority'!C267)</f>
        <v>D/B</v>
      </c>
      <c r="L20" s="1004">
        <v>1.0</v>
      </c>
      <c r="M20" s="1005">
        <f>0.03*L20</f>
        <v>0.03</v>
      </c>
    </row>
    <row r="21">
      <c r="A21" s="18"/>
      <c r="B21" s="18"/>
      <c r="C21" s="18"/>
      <c r="D21" s="18"/>
      <c r="E21" s="18"/>
      <c r="F21" s="18"/>
      <c r="I21" s="787" t="s">
        <v>4098</v>
      </c>
      <c r="J21" s="787" t="s">
        <v>1730</v>
      </c>
      <c r="K21" s="449" t="str">
        <f>IF(L19 &gt;= 10, 'Drifter Priority'!D122, 'Drifter Priority'!C122)</f>
        <v>C</v>
      </c>
      <c r="L21" s="790">
        <v>20.0</v>
      </c>
      <c r="M21" s="789">
        <f>30*L21</f>
        <v>600</v>
      </c>
    </row>
    <row r="22">
      <c r="A22" s="1011" t="s">
        <v>4099</v>
      </c>
      <c r="B22" s="18"/>
      <c r="C22" s="18"/>
      <c r="D22" s="18"/>
      <c r="E22" s="18"/>
      <c r="F22" s="18"/>
    </row>
    <row r="23">
      <c r="A23" s="18"/>
      <c r="B23" s="18"/>
      <c r="C23" s="18"/>
      <c r="D23" s="18"/>
      <c r="E23" s="18"/>
      <c r="F23" s="18"/>
    </row>
  </sheetData>
  <mergeCells count="2">
    <mergeCell ref="B18:C18"/>
    <mergeCell ref="B19:C19"/>
  </mergeCells>
  <conditionalFormatting sqref="B19">
    <cfRule type="cellIs" dxfId="32" priority="1" operator="equal">
      <formula>"Win"</formula>
    </cfRule>
  </conditionalFormatting>
  <conditionalFormatting sqref="B19">
    <cfRule type="cellIs" dxfId="33" priority="2" operator="equal">
      <formula>"Lose"</formula>
    </cfRule>
  </conditionalFormatting>
  <dataValidations>
    <dataValidation type="list" allowBlank="1" showErrorMessage="1" sqref="K12:K21">
      <formula1>"S,A,B/A,B,C/B,C,D/B,D/C,D,F,TBD,Variable"</formula1>
    </dataValidation>
    <dataValidation type="list" allowBlank="1" showErrorMessage="1" sqref="B18">
      <formula1>"Feather Garment Dance,Versailles Palace Ball,Ball of Buckingham Palace,Swan Lake,Queen Charlotte's Ball,Broadway,Ball of Winter Palace,Liberation Rite,Great Dionysia,Sun Deity Festival,Romeo &amp; Juliet,Socialite Ball,Seven Devils,Dance World Cup,Carnival of"&amp;" Venice,Red Mill's Ball,Blackpool Dance Festival,General Xiang's Swordplay,The Dance Plague,Prix de Lausanne,Congress of Vienna,Six Dynasty Ritual Dance"</formula1>
    </dataValidation>
    <dataValidation type="list" allowBlank="1" showDropDown="1" showErrorMessage="1" sqref="C12:C16">
      <formula1>"Female,Male"</formula1>
    </dataValidation>
    <dataValidation type="list" allowBlank="1" showErrorMessage="1" sqref="D12:D16">
      <formula1>"Amakusa,Athena,Dracula,Excalibra,Idol Boy,Commissioner"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9.73"/>
    <col customWidth="1" min="2" max="2" width="18.09"/>
    <col customWidth="1" min="3" max="3" width="8.55"/>
    <col customWidth="1" min="4" max="4" width="7.91"/>
    <col customWidth="1" min="5" max="5" width="12.18"/>
    <col customWidth="1" min="6" max="6" width="9.18"/>
    <col customWidth="1" min="7" max="7" width="7.27"/>
    <col customWidth="1" min="8" max="8" width="9.09"/>
    <col customWidth="1" min="9" max="9" width="9.64"/>
    <col customWidth="1" min="10" max="10" width="4.36"/>
    <col customWidth="1" min="11" max="11" width="4.73"/>
    <col customWidth="1" min="12" max="12" width="3.91"/>
    <col customWidth="1" min="13" max="13" width="9.27"/>
    <col customWidth="1" min="14" max="14" width="14.09"/>
    <col customWidth="1" min="15" max="15" width="11.82"/>
    <col customWidth="1" min="17" max="17" width="3.27"/>
    <col customWidth="1" min="18" max="18" width="2.55"/>
  </cols>
  <sheetData>
    <row r="1">
      <c r="A1" s="1012" t="s">
        <v>4065</v>
      </c>
      <c r="B1" s="1012" t="s">
        <v>4066</v>
      </c>
      <c r="C1" s="782" t="s">
        <v>4067</v>
      </c>
      <c r="D1" s="1013" t="s">
        <v>4100</v>
      </c>
      <c r="E1" s="1013" t="s">
        <v>4101</v>
      </c>
      <c r="F1" s="1013" t="s">
        <v>4102</v>
      </c>
      <c r="G1" s="1013" t="s">
        <v>4103</v>
      </c>
      <c r="H1" s="1013" t="s">
        <v>4104</v>
      </c>
      <c r="I1" s="1013" t="s">
        <v>4105</v>
      </c>
      <c r="J1" s="1012" t="s">
        <v>3978</v>
      </c>
      <c r="K1" s="1012" t="s">
        <v>3972</v>
      </c>
      <c r="L1" s="1012" t="s">
        <v>3975</v>
      </c>
      <c r="M1" s="1013" t="s">
        <v>4106</v>
      </c>
      <c r="N1" s="1012" t="s">
        <v>4107</v>
      </c>
      <c r="O1" s="1014" t="s">
        <v>4108</v>
      </c>
      <c r="P1" s="1015"/>
      <c r="Q1" s="1015"/>
      <c r="R1" s="1015"/>
      <c r="S1" s="18"/>
      <c r="T1" s="18"/>
    </row>
    <row r="2">
      <c r="A2" s="1016" t="s">
        <v>3970</v>
      </c>
      <c r="B2" s="1017">
        <v>53.0</v>
      </c>
      <c r="C2" s="1018">
        <f>VLOOKUP(A2,'Drifter Stats'!$A$4:$Q$24,2,FALSE)</f>
        <v>250</v>
      </c>
      <c r="D2" s="1018">
        <f t="shared" ref="D2:D6" si="1">$I$11</f>
        <v>0.4</v>
      </c>
      <c r="E2" s="1018">
        <f>$I$12</f>
        <v>0.8</v>
      </c>
      <c r="F2" s="1018">
        <f t="shared" ref="F2:F3" si="2">$I$13</f>
        <v>0.8</v>
      </c>
      <c r="G2" s="1019"/>
      <c r="H2" s="1019"/>
      <c r="I2" s="1019"/>
      <c r="J2" s="1018">
        <f>$I$16*IF($B$10 = J1, 1, 0)</f>
        <v>1</v>
      </c>
      <c r="K2" s="1019"/>
      <c r="L2" s="1019"/>
      <c r="M2" s="1018">
        <f t="shared" ref="M2:M6" si="3">$I$9</f>
        <v>0.4</v>
      </c>
      <c r="N2" s="1018">
        <f t="shared" ref="N2:N6" si="4">ROUND(10*C2*(SUM(D2:L2)+1)*(SUM(1+M2)),0)/10</f>
        <v>1400</v>
      </c>
      <c r="O2" s="444">
        <f t="shared" ref="O2:O6" si="5">FLOOR(B2*N2,1)</f>
        <v>74200</v>
      </c>
      <c r="P2" s="1015"/>
      <c r="Q2" s="1020"/>
      <c r="R2" s="1020"/>
      <c r="S2" s="18"/>
      <c r="T2" s="18"/>
    </row>
    <row r="3">
      <c r="A3" s="1016" t="s">
        <v>3969</v>
      </c>
      <c r="B3" s="1017">
        <v>39.0</v>
      </c>
      <c r="C3" s="1018">
        <f>VLOOKUP(A3,'Drifter Stats'!$A$4:$Q$24,2,FALSE)</f>
        <v>208</v>
      </c>
      <c r="D3" s="1018">
        <f t="shared" si="1"/>
        <v>0.4</v>
      </c>
      <c r="E3" s="1019"/>
      <c r="F3" s="1018">
        <f t="shared" si="2"/>
        <v>0.8</v>
      </c>
      <c r="G3" s="1019"/>
      <c r="H3" s="1019"/>
      <c r="I3" s="1019"/>
      <c r="J3" s="1019"/>
      <c r="K3" s="1018">
        <f>$I$17*IF($B$10 = K1, 1, 0)</f>
        <v>0</v>
      </c>
      <c r="L3" s="1019"/>
      <c r="M3" s="1018">
        <f t="shared" si="3"/>
        <v>0.4</v>
      </c>
      <c r="N3" s="1018">
        <f t="shared" si="4"/>
        <v>640.6</v>
      </c>
      <c r="O3" s="444">
        <f t="shared" si="5"/>
        <v>24983</v>
      </c>
      <c r="P3" s="1015"/>
      <c r="Q3" s="1020"/>
      <c r="R3" s="1020"/>
      <c r="S3" s="18"/>
      <c r="T3" s="18"/>
    </row>
    <row r="4">
      <c r="A4" s="1016" t="s">
        <v>4109</v>
      </c>
      <c r="B4" s="1017">
        <v>41.0</v>
      </c>
      <c r="C4" s="1018">
        <f>VLOOKUP(A4,'Drifter Stats'!$A$4:$Q$24,2,FALSE)</f>
        <v>204</v>
      </c>
      <c r="D4" s="1018">
        <f t="shared" si="1"/>
        <v>0.4</v>
      </c>
      <c r="E4" s="1019"/>
      <c r="F4" s="1019"/>
      <c r="G4" s="1018">
        <f t="shared" ref="G4:G6" si="6">$I$10</f>
        <v>0.6</v>
      </c>
      <c r="H4" s="1018">
        <f t="shared" ref="H4:H6" si="7">$I$15</f>
        <v>0.6</v>
      </c>
      <c r="I4" s="1019"/>
      <c r="J4" s="1019"/>
      <c r="K4" s="1019"/>
      <c r="L4" s="1019"/>
      <c r="M4" s="1018">
        <f t="shared" si="3"/>
        <v>0.4</v>
      </c>
      <c r="N4" s="1018">
        <f t="shared" si="4"/>
        <v>742.6</v>
      </c>
      <c r="O4" s="444">
        <f t="shared" si="5"/>
        <v>30446</v>
      </c>
      <c r="P4" s="1015"/>
      <c r="Q4" s="1020"/>
      <c r="R4" s="1020"/>
      <c r="S4" s="18"/>
      <c r="T4" s="18"/>
    </row>
    <row r="5">
      <c r="A5" s="1016" t="s">
        <v>1730</v>
      </c>
      <c r="B5" s="1017">
        <v>19.0</v>
      </c>
      <c r="C5" s="1018">
        <f>VLOOKUP(A5,'Drifter Stats'!$A$4:$Q$24,2,FALSE)</f>
        <v>176</v>
      </c>
      <c r="D5" s="1018">
        <f t="shared" si="1"/>
        <v>0.4</v>
      </c>
      <c r="E5" s="1019"/>
      <c r="F5" s="1019"/>
      <c r="G5" s="1018">
        <f t="shared" si="6"/>
        <v>0.6</v>
      </c>
      <c r="H5" s="1018">
        <f t="shared" si="7"/>
        <v>0.6</v>
      </c>
      <c r="I5" s="1019"/>
      <c r="J5" s="1019"/>
      <c r="K5" s="1019"/>
      <c r="L5" s="1018">
        <f>$I$18*IF($B$10 = L1, 1, 0)</f>
        <v>0</v>
      </c>
      <c r="M5" s="1018">
        <f t="shared" si="3"/>
        <v>0.4</v>
      </c>
      <c r="N5" s="1018">
        <f t="shared" si="4"/>
        <v>640.6</v>
      </c>
      <c r="O5" s="444">
        <f t="shared" si="5"/>
        <v>12171</v>
      </c>
      <c r="P5" s="1015"/>
      <c r="Q5" s="1020"/>
      <c r="R5" s="1020"/>
      <c r="S5" s="18"/>
      <c r="T5" s="18"/>
    </row>
    <row r="6">
      <c r="A6" s="1016" t="s">
        <v>3627</v>
      </c>
      <c r="B6" s="1017">
        <v>41.0</v>
      </c>
      <c r="C6" s="1018">
        <f>VLOOKUP(A6,'Drifter Stats'!$A$4:$Q$24,2,FALSE)</f>
        <v>213</v>
      </c>
      <c r="D6" s="1018">
        <f t="shared" si="1"/>
        <v>0.4</v>
      </c>
      <c r="E6" s="1019"/>
      <c r="F6" s="1019"/>
      <c r="G6" s="1018">
        <f t="shared" si="6"/>
        <v>0.6</v>
      </c>
      <c r="H6" s="1018">
        <f t="shared" si="7"/>
        <v>0.6</v>
      </c>
      <c r="I6" s="1018">
        <f>$I$14</f>
        <v>0.8</v>
      </c>
      <c r="J6" s="1019"/>
      <c r="K6" s="1019"/>
      <c r="L6" s="1019"/>
      <c r="M6" s="1018">
        <f t="shared" si="3"/>
        <v>0.4</v>
      </c>
      <c r="N6" s="1018">
        <f t="shared" si="4"/>
        <v>1013.9</v>
      </c>
      <c r="O6" s="444">
        <f t="shared" si="5"/>
        <v>41569</v>
      </c>
      <c r="P6" s="1015"/>
      <c r="Q6" s="1020"/>
      <c r="R6" s="1020"/>
      <c r="S6" s="18"/>
      <c r="T6" s="18"/>
    </row>
    <row r="7">
      <c r="A7" s="1015"/>
      <c r="B7" s="1015"/>
      <c r="C7" s="1015"/>
      <c r="D7" s="1015"/>
      <c r="E7" s="1015"/>
      <c r="F7" s="1015"/>
      <c r="G7" s="1015"/>
      <c r="H7" s="1015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8"/>
      <c r="T7" s="18"/>
    </row>
    <row r="8">
      <c r="A8" s="1015"/>
      <c r="B8" s="1015"/>
      <c r="C8" s="1015"/>
      <c r="D8" s="1015"/>
      <c r="E8" s="1012" t="s">
        <v>4085</v>
      </c>
      <c r="F8" s="1012" t="s">
        <v>4086</v>
      </c>
      <c r="G8" s="1013" t="s">
        <v>4087</v>
      </c>
      <c r="H8" s="1012" t="s">
        <v>4088</v>
      </c>
      <c r="I8" s="1012" t="s">
        <v>4089</v>
      </c>
      <c r="J8" s="1021" t="s">
        <v>4110</v>
      </c>
      <c r="K8" s="1015"/>
      <c r="L8" s="1015"/>
      <c r="M8" s="1015"/>
      <c r="N8" s="1015"/>
      <c r="O8" s="1015"/>
      <c r="P8" s="1015"/>
      <c r="Q8" s="1015"/>
      <c r="R8" s="1015"/>
      <c r="S8" s="18"/>
      <c r="T8" s="18"/>
    </row>
    <row r="9">
      <c r="A9" s="1006" t="s">
        <v>4093</v>
      </c>
      <c r="B9" s="1022" t="s">
        <v>4011</v>
      </c>
      <c r="C9" s="1015"/>
      <c r="D9" s="1015"/>
      <c r="E9" s="1016" t="s">
        <v>4111</v>
      </c>
      <c r="F9" s="1016" t="s">
        <v>3869</v>
      </c>
      <c r="G9" s="449" t="str">
        <f>IF(H7 &gt;= 10, 'Drifter Priority'!D237, 'Drifter Priority'!C237)</f>
        <v>S</v>
      </c>
      <c r="H9" s="1023">
        <v>20.0</v>
      </c>
      <c r="I9" s="1018">
        <f>0.02*H9</f>
        <v>0.4</v>
      </c>
      <c r="J9" s="1024">
        <f>IF(H9&lt;20, 1, 0)*(SUM(O2:O6)/(1+I9)*0.02)</f>
        <v>0</v>
      </c>
      <c r="K9" s="1015"/>
      <c r="L9" s="1015"/>
      <c r="M9" s="1015"/>
      <c r="N9" s="1015"/>
      <c r="O9" s="1015"/>
      <c r="P9" s="1015"/>
      <c r="Q9" s="1015"/>
      <c r="R9" s="1015"/>
      <c r="S9" s="18"/>
      <c r="T9" s="18"/>
    </row>
    <row r="10">
      <c r="A10" s="1012" t="s">
        <v>4112</v>
      </c>
      <c r="B10" s="1025" t="str">
        <f>VLOOKUP(B9,'Rift Anecdotes'!B174:G195,5,FALSE)</f>
        <v>Remix</v>
      </c>
      <c r="C10" s="1015"/>
      <c r="D10" s="1015"/>
      <c r="E10" s="1016" t="s">
        <v>4113</v>
      </c>
      <c r="F10" s="1016" t="s">
        <v>3869</v>
      </c>
      <c r="G10" s="449" t="str">
        <f>IF(H8 &gt;= 10, 'Drifter Priority'!D236, 'Drifter Priority'!C236)</f>
        <v>B</v>
      </c>
      <c r="H10" s="1023">
        <v>20.0</v>
      </c>
      <c r="I10" s="1018">
        <f>0.03*H10</f>
        <v>0.6</v>
      </c>
      <c r="J10" s="1026">
        <f>IF(H10&lt;20, 1, 0)*((FLOOR(B4*C4,1)+FLOOR(B5*C5,1)+FLOOR(B6*C6,1))*0.03*SUM(1, I9))</f>
        <v>0</v>
      </c>
      <c r="K10" s="1015"/>
      <c r="L10" s="1015"/>
      <c r="M10" s="1015"/>
      <c r="N10" s="1015"/>
      <c r="O10" s="1015"/>
      <c r="P10" s="1015"/>
      <c r="Q10" s="1015"/>
      <c r="R10" s="1015"/>
      <c r="S10" s="18"/>
      <c r="T10" s="18"/>
    </row>
    <row r="11">
      <c r="A11" s="1013" t="s">
        <v>4114</v>
      </c>
      <c r="B11" s="1027">
        <f>VLOOKUP(B9,'Rift Anecdotes'!B174:G195,6,FALSE)</f>
        <v>290000</v>
      </c>
      <c r="C11" s="1015"/>
      <c r="D11" s="1015"/>
      <c r="E11" s="1016" t="s">
        <v>4115</v>
      </c>
      <c r="F11" s="1016" t="s">
        <v>3970</v>
      </c>
      <c r="G11" s="449" t="str">
        <f>IF(H9 &gt;= 10, 'Drifter Priority'!D107, 'Drifter Priority'!C107)</f>
        <v>B</v>
      </c>
      <c r="H11" s="1023">
        <v>20.0</v>
      </c>
      <c r="I11" s="1018">
        <f>0.02*H11</f>
        <v>0.4</v>
      </c>
      <c r="J11" s="1026">
        <f>IF(H11&lt;20, 1, 0)*((FLOOR(B2*C2,1)+FLOOR(B3*C3,1)+FLOOR(B4*C4,1)+FLOOR(B5*C5,1)+FLOOR(B6*C6,1))*0.02*SUM(1, I9))</f>
        <v>0</v>
      </c>
      <c r="K11" s="1015"/>
      <c r="L11" s="1015"/>
      <c r="M11" s="1015"/>
      <c r="N11" s="1015"/>
      <c r="O11" s="1015"/>
      <c r="P11" s="1015"/>
      <c r="Q11" s="1015"/>
      <c r="R11" s="1015"/>
      <c r="S11" s="18"/>
      <c r="T11" s="18"/>
    </row>
    <row r="12">
      <c r="A12" s="1028" t="s">
        <v>4116</v>
      </c>
      <c r="B12" s="505"/>
      <c r="C12" s="1015"/>
      <c r="D12" s="1015"/>
      <c r="E12" s="1016" t="s">
        <v>4117</v>
      </c>
      <c r="F12" s="1016" t="s">
        <v>3970</v>
      </c>
      <c r="G12" s="449" t="str">
        <f>IF(H10 &gt;= 10, 'Drifter Priority'!D105, 'Drifter Priority'!C105)</f>
        <v>C</v>
      </c>
      <c r="H12" s="1023">
        <v>20.0</v>
      </c>
      <c r="I12" s="1018">
        <f t="shared" ref="I12:I14" si="8">0.04*H12</f>
        <v>0.8</v>
      </c>
      <c r="J12" s="1026">
        <f>IF(H12&lt;20, 1, 0)*((FLOOR(B2*C2,1))*0.04*SUM(1, I9))</f>
        <v>0</v>
      </c>
      <c r="K12" s="1015"/>
      <c r="L12" s="1015"/>
      <c r="M12" s="1015"/>
      <c r="N12" s="1015"/>
      <c r="O12" s="1015"/>
      <c r="P12" s="1015"/>
      <c r="Q12" s="1015"/>
      <c r="R12" s="1015"/>
      <c r="S12" s="18"/>
      <c r="T12" s="18"/>
    </row>
    <row r="13">
      <c r="A13" s="1012" t="s">
        <v>4118</v>
      </c>
      <c r="B13" s="1029">
        <f>SUM(O2:O6)+I19+I20</f>
        <v>203369</v>
      </c>
      <c r="C13" s="1015"/>
      <c r="D13" s="1015"/>
      <c r="E13" s="1016" t="s">
        <v>4119</v>
      </c>
      <c r="F13" s="1016" t="s">
        <v>3969</v>
      </c>
      <c r="G13" s="449" t="str">
        <f>IF(H11 &gt;= 10, 'Drifter Priority'!D283, 'Drifter Priority'!C283)</f>
        <v>B</v>
      </c>
      <c r="H13" s="1023">
        <v>20.0</v>
      </c>
      <c r="I13" s="1018">
        <f t="shared" si="8"/>
        <v>0.8</v>
      </c>
      <c r="J13" s="1026">
        <f>IF(H13&lt;20, 1, 0)*((FLOOR(B2*C2,1)+FLOOR(B3*C3,1))*0.04*SUM(1, I9))</f>
        <v>0</v>
      </c>
      <c r="K13" s="1015"/>
      <c r="L13" s="1015"/>
      <c r="M13" s="1015"/>
      <c r="N13" s="1015"/>
      <c r="O13" s="1015"/>
      <c r="P13" s="1015"/>
      <c r="Q13" s="1015"/>
      <c r="R13" s="1015"/>
      <c r="S13" s="18"/>
      <c r="T13" s="18"/>
    </row>
    <row r="14">
      <c r="A14" s="1013" t="s">
        <v>4120</v>
      </c>
      <c r="B14" s="1024">
        <f>B11-B13</f>
        <v>86631</v>
      </c>
      <c r="C14" s="284"/>
      <c r="D14" s="1015"/>
      <c r="E14" s="1016" t="s">
        <v>4121</v>
      </c>
      <c r="F14" s="1016" t="s">
        <v>3627</v>
      </c>
      <c r="G14" s="449" t="str">
        <f>IF(H12 &gt;= 10, 'Drifter Priority'!D266, 'Drifter Priority'!C266)</f>
        <v>C</v>
      </c>
      <c r="H14" s="1023">
        <v>20.0</v>
      </c>
      <c r="I14" s="1018">
        <f t="shared" si="8"/>
        <v>0.8</v>
      </c>
      <c r="J14" s="1026">
        <f>IF(H14&lt;20, 1, 0)*((FLOOR(B6*C6,1))*0.04*SUM(1, I9))</f>
        <v>0</v>
      </c>
      <c r="K14" s="1015"/>
      <c r="L14" s="1015"/>
      <c r="M14" s="1015"/>
      <c r="N14" s="1015"/>
      <c r="O14" s="1015"/>
      <c r="P14" s="1015"/>
      <c r="Q14" s="1015"/>
      <c r="R14" s="1015"/>
      <c r="S14" s="18"/>
      <c r="T14" s="18"/>
    </row>
    <row r="15">
      <c r="A15" s="782" t="s">
        <v>4095</v>
      </c>
      <c r="B15" s="1030" t="str">
        <f>IF(B13&gt;B11, "Win", "Lose")</f>
        <v>Lose</v>
      </c>
      <c r="C15" s="1015"/>
      <c r="D15" s="1015"/>
      <c r="E15" s="1016" t="s">
        <v>4122</v>
      </c>
      <c r="F15" s="1016" t="s">
        <v>3627</v>
      </c>
      <c r="G15" s="449" t="str">
        <f>IF(H13 &gt;= 10, 'Drifter Priority'!D268, 'Drifter Priority'!C268)</f>
        <v>B</v>
      </c>
      <c r="H15" s="1023">
        <v>20.0</v>
      </c>
      <c r="I15" s="1018">
        <f>0.03*H15</f>
        <v>0.6</v>
      </c>
      <c r="J15" s="1026">
        <f>IF(H15&lt;20, 1, 0)*(FLOOR(B4*C4,1)+FLOOR(B5*C5,1)+FLOOR(B6*C6,1))*0.03*SUM(1, I9)</f>
        <v>0</v>
      </c>
      <c r="K15" s="1015"/>
      <c r="L15" s="1015"/>
      <c r="M15" s="1015"/>
      <c r="N15" s="1015"/>
      <c r="O15" s="1015"/>
      <c r="P15" s="1015"/>
      <c r="Q15" s="1015"/>
      <c r="R15" s="1015"/>
      <c r="S15" s="18"/>
      <c r="T15" s="18"/>
    </row>
    <row r="16">
      <c r="A16" s="1028" t="s">
        <v>4123</v>
      </c>
      <c r="B16" s="505"/>
      <c r="C16" s="1015"/>
      <c r="D16" s="1015"/>
      <c r="E16" s="1016" t="s">
        <v>4124</v>
      </c>
      <c r="F16" s="1016" t="s">
        <v>3970</v>
      </c>
      <c r="G16" s="449" t="str">
        <f>IF(H14 &gt;= 10, 'Drifter Priority'!D106, 'Drifter Priority'!C106)</f>
        <v>C/B</v>
      </c>
      <c r="H16" s="1023">
        <v>20.0</v>
      </c>
      <c r="I16" s="1018">
        <f t="shared" ref="I16:I18" si="9">0.05*H16</f>
        <v>1</v>
      </c>
      <c r="J16" s="1026">
        <f>IF(H16&lt;20, 1, 0)*((FLOOR(B2*C2,1))*0.05*SUM(1, I9))</f>
        <v>0</v>
      </c>
      <c r="K16" s="1015"/>
      <c r="L16" s="1015"/>
      <c r="M16" s="1015"/>
      <c r="N16" s="1015"/>
      <c r="O16" s="1015"/>
      <c r="P16" s="1015"/>
      <c r="Q16" s="1015"/>
      <c r="R16" s="1015"/>
      <c r="S16" s="18"/>
      <c r="T16" s="18"/>
    </row>
    <row r="17">
      <c r="A17" s="1012" t="s">
        <v>4118</v>
      </c>
      <c r="B17" s="1029">
        <f>B13+15000</f>
        <v>218369</v>
      </c>
      <c r="C17" s="1015"/>
      <c r="D17" s="1015"/>
      <c r="E17" s="1016" t="s">
        <v>4125</v>
      </c>
      <c r="F17" s="1016" t="s">
        <v>3969</v>
      </c>
      <c r="G17" s="449" t="str">
        <f>IF(H15 &gt;= 10, 'Drifter Priority'!D284, 'Drifter Priority'!C284)</f>
        <v>C/B</v>
      </c>
      <c r="H17" s="1023">
        <v>20.0</v>
      </c>
      <c r="I17" s="1018">
        <f t="shared" si="9"/>
        <v>1</v>
      </c>
      <c r="J17" s="1026">
        <f>IF(H17&lt;20, 1, 0)*((FLOOR(B3*C3,1))*0.05*SUM(1, I9))</f>
        <v>0</v>
      </c>
      <c r="K17" s="1015"/>
      <c r="L17" s="1015"/>
      <c r="M17" s="1015"/>
      <c r="N17" s="1015"/>
      <c r="O17" s="1015"/>
      <c r="P17" s="1015"/>
      <c r="Q17" s="1015"/>
      <c r="R17" s="1015"/>
      <c r="S17" s="18"/>
      <c r="T17" s="18"/>
    </row>
    <row r="18">
      <c r="A18" s="1013" t="s">
        <v>4120</v>
      </c>
      <c r="B18" s="1024">
        <f>B11-B17</f>
        <v>71631</v>
      </c>
      <c r="C18" s="1015"/>
      <c r="D18" s="1015"/>
      <c r="E18" s="1016" t="s">
        <v>4126</v>
      </c>
      <c r="F18" s="1016" t="s">
        <v>1730</v>
      </c>
      <c r="G18" s="449" t="str">
        <f>IF(H16 &gt;= 10, 'Drifter Priority'!D125, 'Drifter Priority'!C125)</f>
        <v>F</v>
      </c>
      <c r="H18" s="1023">
        <v>10.0</v>
      </c>
      <c r="I18" s="1018">
        <f t="shared" si="9"/>
        <v>0.5</v>
      </c>
      <c r="J18" s="1026">
        <f>IF(H18&lt;20, 1, 0)*((FLOOR(B5*C5,1))*0.05*SUM(1, I9))</f>
        <v>234.08</v>
      </c>
      <c r="K18" s="1015"/>
      <c r="L18" s="1015"/>
      <c r="M18" s="1015"/>
      <c r="N18" s="1015"/>
      <c r="O18" s="1015"/>
      <c r="P18" s="1015"/>
      <c r="Q18" s="1015"/>
      <c r="R18" s="1015"/>
      <c r="S18" s="18"/>
      <c r="T18" s="18"/>
    </row>
    <row r="19">
      <c r="A19" s="782" t="s">
        <v>4095</v>
      </c>
      <c r="B19" s="1030" t="str">
        <f>IF(B17&gt;B11, "Win", "Lose")</f>
        <v>Lose</v>
      </c>
      <c r="C19" s="1015"/>
      <c r="D19" s="1015"/>
      <c r="E19" s="1016" t="s">
        <v>4127</v>
      </c>
      <c r="F19" s="1016" t="s">
        <v>3969</v>
      </c>
      <c r="G19" s="449" t="str">
        <f>IF(H17 &gt;= 10, 'Drifter Priority'!D282, 'Drifter Priority'!C282)</f>
        <v>A</v>
      </c>
      <c r="H19" s="1023">
        <v>20.0</v>
      </c>
      <c r="I19" s="1018">
        <f>500*H19</f>
        <v>10000</v>
      </c>
      <c r="J19" s="1031">
        <f>IF(H19&gt;=0,1,0)*IF(H19&lt;20,1,0)*500</f>
        <v>0</v>
      </c>
      <c r="K19" s="1015"/>
      <c r="L19" s="1015"/>
      <c r="M19" s="1015"/>
      <c r="N19" s="1015"/>
      <c r="O19" s="1015"/>
      <c r="P19" s="1015"/>
      <c r="Q19" s="1015"/>
      <c r="R19" s="1015"/>
      <c r="S19" s="18"/>
      <c r="T19" s="18"/>
    </row>
    <row r="20">
      <c r="A20" s="1011" t="s">
        <v>4099</v>
      </c>
      <c r="B20" s="1015"/>
      <c r="C20" s="1015"/>
      <c r="D20" s="1015"/>
      <c r="E20" s="1032" t="s">
        <v>4128</v>
      </c>
      <c r="F20" s="1032" t="s">
        <v>1730</v>
      </c>
      <c r="G20" s="449" t="str">
        <f>IF(H18 &gt;= 10, 'Drifter Priority'!D124, 'Drifter Priority'!C124)</f>
        <v>S</v>
      </c>
      <c r="H20" s="1033">
        <v>20.0</v>
      </c>
      <c r="I20" s="1018">
        <f>IF(H20&gt;10,1,0)*(H20-10)*1000</f>
        <v>10000</v>
      </c>
      <c r="J20" s="1018">
        <f>IF(H20&gt;=10,1,0)*IF(H20&lt;20,1,0)*1000</f>
        <v>0</v>
      </c>
      <c r="K20" s="1015"/>
      <c r="L20" s="1015"/>
      <c r="M20" s="1015"/>
      <c r="N20" s="1015"/>
      <c r="O20" s="1015"/>
      <c r="P20" s="1015"/>
      <c r="Q20" s="1015"/>
      <c r="R20" s="1015"/>
      <c r="S20" s="18"/>
      <c r="T20" s="18"/>
    </row>
    <row r="21">
      <c r="A21" s="1015"/>
      <c r="B21" s="1015"/>
      <c r="C21" s="1015"/>
      <c r="D21" s="1015"/>
      <c r="E21" s="1034"/>
      <c r="F21" s="1034"/>
      <c r="G21" s="1034"/>
      <c r="H21" s="1034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8"/>
      <c r="T21" s="18"/>
    </row>
    <row r="22">
      <c r="A22" s="1015"/>
      <c r="B22" s="1015"/>
      <c r="C22" s="1015"/>
      <c r="D22" s="1015"/>
      <c r="G22" s="1015"/>
      <c r="H22" s="1015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8"/>
      <c r="T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</sheetData>
  <mergeCells count="2">
    <mergeCell ref="A12:B12"/>
    <mergeCell ref="A16:B16"/>
  </mergeCells>
  <conditionalFormatting sqref="B15 B19">
    <cfRule type="cellIs" dxfId="32" priority="1" operator="equal">
      <formula>"Win"</formula>
    </cfRule>
  </conditionalFormatting>
  <conditionalFormatting sqref="B15 B19">
    <cfRule type="cellIs" dxfId="33" priority="2" operator="equal">
      <formula>"Lose"</formula>
    </cfRule>
  </conditionalFormatting>
  <dataValidations>
    <dataValidation type="list" allowBlank="1" showErrorMessage="1" sqref="G9:G20">
      <formula1>"S,A,B/A,B,C/B,C,D/B,D/C,D,F,TBD,Variable"</formula1>
    </dataValidation>
    <dataValidation type="list" allowBlank="1" showErrorMessage="1" sqref="B9">
      <formula1>"Live in Bucharest,Pairs Opera House,Theatre of Epidaurus,Theatre of Dionysus,Theatre of Merida,Shakespeare's Globe,Musikverein,The Grimmys,La Scala,Empty Fort Strat,The Peatles Concert,Nomad Flute Songs,Woodstock,Bolshoi Theatre,Sydney Opera House,Lucerne"&amp;" Festival,Hungarian Rhapsodie,Beowulf,Salzburg Festival,The Nine Songs,Waldbuehne Berlin,Canticle"</formula1>
    </dataValidation>
    <dataValidation type="list" allowBlank="1" showDropDown="1" showErrorMessage="1" sqref="B10">
      <formula1>"Blues,Remix,Samba"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4.45"/>
    <col customWidth="1" min="2" max="2" width="14.09"/>
    <col customWidth="1" min="3" max="3" width="10.0"/>
    <col customWidth="1" min="4" max="4" width="11.27"/>
    <col customWidth="1" min="5" max="5" width="14.0"/>
    <col customWidth="1" min="6" max="6" width="10.73"/>
    <col customWidth="1" min="7" max="7" width="7.0"/>
    <col customWidth="1" min="8" max="8" width="14.18"/>
    <col customWidth="1" min="9" max="9" width="11.91"/>
  </cols>
  <sheetData>
    <row r="1">
      <c r="A1" s="782" t="s">
        <v>4065</v>
      </c>
      <c r="B1" s="782" t="s">
        <v>4066</v>
      </c>
      <c r="C1" s="782" t="s">
        <v>4067</v>
      </c>
      <c r="D1" s="782" t="str">
        <f>E22</f>
        <v>All Drifter Talent</v>
      </c>
      <c r="E1" s="782" t="str">
        <f>E14</f>
        <v>Ally Firepower</v>
      </c>
      <c r="F1" s="782" t="str">
        <f>E17</f>
        <v>Firepower Bonus</v>
      </c>
      <c r="G1" s="782" t="str">
        <f>E13</f>
        <v>Ally Armor</v>
      </c>
      <c r="H1" s="782" t="s">
        <v>4129</v>
      </c>
      <c r="I1" s="782" t="s">
        <v>4130</v>
      </c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</row>
    <row r="2">
      <c r="A2" s="787" t="s">
        <v>3759</v>
      </c>
      <c r="B2" s="790">
        <v>35.0</v>
      </c>
      <c r="C2" s="789">
        <f>VLOOKUP(A2,'Drifter Stats'!$A$4:$Q$24,4,FALSE)</f>
        <v>250</v>
      </c>
      <c r="D2" s="789">
        <f t="shared" ref="D2:D6" si="1">$I$22*IF(COUNTIF($A$11:$A$14, $F$22)&gt;0, 1, 0)</f>
        <v>0</v>
      </c>
      <c r="E2" s="789">
        <f t="shared" ref="E2:E6" si="2">$I$14*IF(COUNTIF($A$11:$A$14, $F$14)&gt;0, 1, 0)</f>
        <v>3000</v>
      </c>
      <c r="F2" s="1035"/>
      <c r="G2" s="789">
        <f t="shared" ref="G2:G6" si="3">$I$13*IF(COUNTIF($A$11:$A$14, $F$13)&gt;0, 1, 0)</f>
        <v>30000</v>
      </c>
      <c r="H2" s="789">
        <f t="shared" ref="H2:H6" si="4">B2*C2*(1+D2)+E2+F2</f>
        <v>11750</v>
      </c>
      <c r="I2" s="789">
        <f t="shared" ref="I2:I6" si="5">B2*C2*(1+D2)*10+G2</f>
        <v>117500</v>
      </c>
      <c r="J2" s="263"/>
      <c r="K2" s="263"/>
      <c r="L2" s="263"/>
      <c r="M2" s="263"/>
      <c r="N2" s="263"/>
      <c r="O2" s="263"/>
      <c r="P2" s="263"/>
      <c r="Q2" s="263"/>
      <c r="R2" s="263"/>
      <c r="S2" s="263" t="s">
        <v>1161</v>
      </c>
      <c r="T2" s="263" t="s">
        <v>3785</v>
      </c>
      <c r="U2" s="263"/>
      <c r="V2" s="263" t="s">
        <v>4093</v>
      </c>
      <c r="W2" s="263" t="s">
        <v>4131</v>
      </c>
      <c r="X2" s="263" t="s">
        <v>4132</v>
      </c>
      <c r="Y2" s="263" t="s">
        <v>4133</v>
      </c>
      <c r="Z2" s="263"/>
    </row>
    <row r="3">
      <c r="A3" s="787" t="s">
        <v>3756</v>
      </c>
      <c r="B3" s="790">
        <v>53.0</v>
      </c>
      <c r="C3" s="789">
        <f>VLOOKUP(A3,'Drifter Stats'!$A$4:$Q$24,4,FALSE)</f>
        <v>240</v>
      </c>
      <c r="D3" s="789">
        <f t="shared" si="1"/>
        <v>0</v>
      </c>
      <c r="E3" s="789">
        <f t="shared" si="2"/>
        <v>3000</v>
      </c>
      <c r="F3" s="1035"/>
      <c r="G3" s="789">
        <f t="shared" si="3"/>
        <v>30000</v>
      </c>
      <c r="H3" s="789">
        <f t="shared" si="4"/>
        <v>15720</v>
      </c>
      <c r="I3" s="789">
        <f t="shared" si="5"/>
        <v>157200</v>
      </c>
      <c r="J3" s="263"/>
      <c r="K3" s="263"/>
      <c r="L3" s="263"/>
      <c r="M3" s="263"/>
      <c r="N3" s="263"/>
      <c r="O3" s="263"/>
      <c r="P3" s="263"/>
      <c r="Q3" s="263"/>
      <c r="R3" s="263"/>
      <c r="S3" s="1036">
        <v>32235.0</v>
      </c>
      <c r="T3" s="1036">
        <v>34643.0</v>
      </c>
      <c r="U3" s="263"/>
      <c r="V3" s="263" t="s">
        <v>1161</v>
      </c>
      <c r="W3" s="1036">
        <v>58595.0</v>
      </c>
      <c r="X3" s="1036">
        <f>S46</f>
        <v>30735.94444</v>
      </c>
      <c r="Y3" s="1036">
        <f t="shared" ref="Y3:Y4" si="6">X3/W3</f>
        <v>0.5245489281</v>
      </c>
      <c r="Z3" s="263"/>
    </row>
    <row r="4">
      <c r="A4" s="787" t="s">
        <v>3757</v>
      </c>
      <c r="B4" s="790">
        <v>52.0</v>
      </c>
      <c r="C4" s="789">
        <f>VLOOKUP(A4,'Drifter Stats'!$A$4:$Q$24,4,FALSE)</f>
        <v>217</v>
      </c>
      <c r="D4" s="789">
        <f t="shared" si="1"/>
        <v>0</v>
      </c>
      <c r="E4" s="789">
        <f t="shared" si="2"/>
        <v>3000</v>
      </c>
      <c r="F4" s="789">
        <f>I17*IF(COUNTIF($A$11:$A$14, $F$17)&gt;0, 1, 0)*IF(COUNTIF($A$11:$A$14, $F$14)&gt;0, 1, 0)</f>
        <v>6000</v>
      </c>
      <c r="G4" s="789">
        <f t="shared" si="3"/>
        <v>30000</v>
      </c>
      <c r="H4" s="789">
        <f t="shared" si="4"/>
        <v>20284</v>
      </c>
      <c r="I4" s="789">
        <f t="shared" si="5"/>
        <v>142840</v>
      </c>
      <c r="J4" s="263"/>
      <c r="K4" s="263"/>
      <c r="L4" s="263"/>
      <c r="M4" s="263"/>
      <c r="N4" s="263"/>
      <c r="O4" s="263"/>
      <c r="P4" s="263"/>
      <c r="Q4" s="263"/>
      <c r="R4" s="263"/>
      <c r="S4" s="1036">
        <v>30031.0</v>
      </c>
      <c r="T4" s="1036">
        <v>35599.0</v>
      </c>
      <c r="U4" s="263"/>
      <c r="V4" s="263" t="s">
        <v>3785</v>
      </c>
      <c r="W4" s="1036">
        <v>69249.0</v>
      </c>
      <c r="X4" s="1036">
        <f>T46</f>
        <v>35449.68571</v>
      </c>
      <c r="Y4" s="1036">
        <f t="shared" si="6"/>
        <v>0.5119162113</v>
      </c>
      <c r="Z4" s="263"/>
    </row>
    <row r="5">
      <c r="A5" s="787" t="s">
        <v>3758</v>
      </c>
      <c r="B5" s="790">
        <v>49.0</v>
      </c>
      <c r="C5" s="789">
        <f>VLOOKUP(A5,'Drifter Stats'!$A$4:$Q$24,4,FALSE)</f>
        <v>210</v>
      </c>
      <c r="D5" s="789">
        <f t="shared" si="1"/>
        <v>0</v>
      </c>
      <c r="E5" s="789">
        <f t="shared" si="2"/>
        <v>3000</v>
      </c>
      <c r="F5" s="1035"/>
      <c r="G5" s="789">
        <f t="shared" si="3"/>
        <v>30000</v>
      </c>
      <c r="H5" s="789">
        <f t="shared" si="4"/>
        <v>13290</v>
      </c>
      <c r="I5" s="789">
        <f t="shared" si="5"/>
        <v>132900</v>
      </c>
      <c r="J5" s="263"/>
      <c r="K5" s="263"/>
      <c r="L5" s="263"/>
      <c r="M5" s="263"/>
      <c r="N5" s="263"/>
      <c r="O5" s="263"/>
      <c r="P5" s="263"/>
      <c r="Q5" s="263"/>
      <c r="R5" s="263"/>
      <c r="S5" s="1036">
        <v>30137.0</v>
      </c>
      <c r="T5" s="1036">
        <v>34103.0</v>
      </c>
      <c r="U5" s="263"/>
      <c r="V5" s="263"/>
      <c r="W5" s="263"/>
      <c r="X5" s="263"/>
      <c r="Y5" s="263"/>
      <c r="Z5" s="263"/>
    </row>
    <row r="6">
      <c r="A6" s="787" t="s">
        <v>3699</v>
      </c>
      <c r="B6" s="790">
        <v>42.0</v>
      </c>
      <c r="C6" s="789">
        <f>VLOOKUP(A6,'Drifter Stats'!$A$4:$Q$24,4,FALSE)</f>
        <v>180</v>
      </c>
      <c r="D6" s="789">
        <f t="shared" si="1"/>
        <v>0</v>
      </c>
      <c r="E6" s="789">
        <f t="shared" si="2"/>
        <v>3000</v>
      </c>
      <c r="F6" s="1035"/>
      <c r="G6" s="789">
        <f t="shared" si="3"/>
        <v>30000</v>
      </c>
      <c r="H6" s="789">
        <f t="shared" si="4"/>
        <v>10560</v>
      </c>
      <c r="I6" s="789">
        <f t="shared" si="5"/>
        <v>105600</v>
      </c>
      <c r="J6" s="263"/>
      <c r="K6" s="263"/>
      <c r="L6" s="263"/>
      <c r="M6" s="263"/>
      <c r="N6" s="263"/>
      <c r="O6" s="263"/>
      <c r="P6" s="263"/>
      <c r="Q6" s="263"/>
      <c r="R6" s="263"/>
      <c r="S6" s="1036">
        <v>29961.0</v>
      </c>
      <c r="T6" s="1036">
        <v>35570.0</v>
      </c>
      <c r="U6" s="263"/>
      <c r="V6" s="263"/>
      <c r="W6" s="263"/>
      <c r="X6" s="263"/>
      <c r="Y6" s="263"/>
      <c r="Z6" s="263"/>
    </row>
    <row r="7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1036">
        <v>31164.0</v>
      </c>
      <c r="T7" s="1036">
        <v>35620.0</v>
      </c>
      <c r="U7" s="263"/>
      <c r="V7" s="263"/>
      <c r="W7" s="263"/>
      <c r="X7" s="263"/>
      <c r="Y7" s="263"/>
      <c r="Z7" s="263"/>
    </row>
    <row r="8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1036">
        <v>29630.0</v>
      </c>
      <c r="T8" s="1036">
        <v>34072.0</v>
      </c>
      <c r="U8" s="263"/>
      <c r="V8" s="263"/>
      <c r="W8" s="263"/>
      <c r="X8" s="263"/>
      <c r="Y8" s="263"/>
      <c r="Z8" s="263"/>
    </row>
    <row r="9">
      <c r="A9" s="263"/>
      <c r="B9" s="263"/>
      <c r="C9" s="263"/>
      <c r="D9" s="263"/>
      <c r="E9" s="263"/>
      <c r="F9" s="263"/>
      <c r="G9" s="263"/>
      <c r="H9" s="263"/>
      <c r="I9" s="1037"/>
      <c r="J9" s="263"/>
      <c r="K9" s="263"/>
      <c r="L9" s="263"/>
      <c r="M9" s="263"/>
      <c r="N9" s="263"/>
      <c r="O9" s="263"/>
      <c r="P9" s="263"/>
      <c r="Q9" s="263"/>
      <c r="R9" s="263"/>
      <c r="S9" s="1036">
        <v>30670.0</v>
      </c>
      <c r="T9" s="1036">
        <v>35750.0</v>
      </c>
      <c r="U9" s="263"/>
      <c r="V9" s="263"/>
      <c r="W9" s="263"/>
      <c r="X9" s="263"/>
      <c r="Y9" s="263"/>
      <c r="Z9" s="263"/>
    </row>
    <row r="10">
      <c r="A10" s="1038" t="s">
        <v>4065</v>
      </c>
      <c r="B10" s="782" t="s">
        <v>4134</v>
      </c>
      <c r="C10" s="782" t="s">
        <v>4135</v>
      </c>
      <c r="D10" s="263"/>
      <c r="E10" s="782" t="s">
        <v>4085</v>
      </c>
      <c r="F10" s="998" t="s">
        <v>4086</v>
      </c>
      <c r="G10" s="999" t="s">
        <v>4087</v>
      </c>
      <c r="H10" s="998" t="s">
        <v>4088</v>
      </c>
      <c r="I10" s="998" t="s">
        <v>4089</v>
      </c>
      <c r="J10" s="782" t="s">
        <v>4136</v>
      </c>
      <c r="K10" s="263"/>
      <c r="L10" s="263"/>
      <c r="M10" s="263"/>
      <c r="N10" s="263"/>
      <c r="O10" s="263"/>
      <c r="P10" s="263"/>
      <c r="Q10" s="263"/>
      <c r="R10" s="263"/>
      <c r="S10" s="1036">
        <v>29684.0</v>
      </c>
      <c r="T10" s="1036">
        <v>35299.0</v>
      </c>
      <c r="U10" s="263"/>
      <c r="V10" s="263"/>
      <c r="W10" s="263"/>
      <c r="X10" s="263"/>
      <c r="Y10" s="263"/>
      <c r="Z10" s="263"/>
    </row>
    <row r="11">
      <c r="A11" s="248" t="s">
        <v>3756</v>
      </c>
      <c r="B11" s="789">
        <f t="shared" ref="B11:B14" si="7">VLOOKUP(A11,$A$1:$I$6,8,FALSE)</f>
        <v>15720</v>
      </c>
      <c r="C11" s="789">
        <f t="shared" ref="C11:C14" si="8">VLOOKUP(A11,$A$1:$I$6,9,FALSE)</f>
        <v>157200</v>
      </c>
      <c r="D11" s="263"/>
      <c r="E11" s="1002" t="s">
        <v>4137</v>
      </c>
      <c r="F11" s="1003" t="s">
        <v>3759</v>
      </c>
      <c r="G11" s="449" t="str">
        <f>IF(H9 &gt;= 10, 'Drifter Priority'!D299, 'Drifter Priority'!C299)</f>
        <v>A</v>
      </c>
      <c r="H11" s="790">
        <v>20.0</v>
      </c>
      <c r="I11" s="1005">
        <f>0.01*H11</f>
        <v>0.2</v>
      </c>
      <c r="J11" s="1039">
        <v>0.15233017483146316</v>
      </c>
      <c r="K11" s="1040"/>
      <c r="L11" s="1041"/>
      <c r="M11" s="1041"/>
      <c r="N11" s="263"/>
      <c r="O11" s="263"/>
      <c r="P11" s="263"/>
      <c r="Q11" s="263"/>
      <c r="R11" s="263"/>
      <c r="S11" s="1036">
        <v>30022.0</v>
      </c>
      <c r="T11" s="1036">
        <v>35590.0</v>
      </c>
      <c r="U11" s="263"/>
      <c r="V11" s="263"/>
      <c r="W11" s="263"/>
      <c r="X11" s="263"/>
      <c r="Y11" s="263"/>
      <c r="Z11" s="263"/>
    </row>
    <row r="12">
      <c r="A12" s="248" t="s">
        <v>3757</v>
      </c>
      <c r="B12" s="789">
        <f t="shared" si="7"/>
        <v>20284</v>
      </c>
      <c r="C12" s="789">
        <f t="shared" si="8"/>
        <v>142840</v>
      </c>
      <c r="D12" s="263"/>
      <c r="E12" s="1002" t="s">
        <v>4138</v>
      </c>
      <c r="F12" s="1003" t="s">
        <v>3759</v>
      </c>
      <c r="G12" s="449" t="str">
        <f>IF(H10 &gt;= 10, 'Drifter Priority'!D298, 'Drifter Priority'!C298)</f>
        <v>C</v>
      </c>
      <c r="H12" s="790">
        <v>20.0</v>
      </c>
      <c r="I12" s="1005">
        <f>150*H12</f>
        <v>3000</v>
      </c>
      <c r="J12" s="1039">
        <v>0.05964885964834887</v>
      </c>
      <c r="K12" s="1040"/>
      <c r="L12" s="1041"/>
      <c r="M12" s="1041"/>
      <c r="N12" s="263"/>
      <c r="O12" s="263"/>
      <c r="P12" s="263"/>
      <c r="Q12" s="263"/>
      <c r="R12" s="263"/>
      <c r="S12" s="1036">
        <v>29671.0</v>
      </c>
      <c r="T12" s="1036">
        <v>35660.0</v>
      </c>
      <c r="U12" s="263"/>
      <c r="V12" s="263"/>
      <c r="W12" s="263"/>
      <c r="X12" s="263"/>
      <c r="Y12" s="263"/>
      <c r="Z12" s="263"/>
    </row>
    <row r="13">
      <c r="A13" s="248" t="s">
        <v>3758</v>
      </c>
      <c r="B13" s="789">
        <f t="shared" si="7"/>
        <v>13290</v>
      </c>
      <c r="C13" s="789">
        <f t="shared" si="8"/>
        <v>132900</v>
      </c>
      <c r="D13" s="263"/>
      <c r="E13" s="1002" t="s">
        <v>4139</v>
      </c>
      <c r="F13" s="1003" t="s">
        <v>3759</v>
      </c>
      <c r="G13" s="449" t="str">
        <f>IF(H11 &gt;= 10, 'Drifter Priority'!D300, 'Drifter Priority'!C300)</f>
        <v>S</v>
      </c>
      <c r="H13" s="790">
        <v>20.0</v>
      </c>
      <c r="I13" s="1005">
        <f>1500*H13</f>
        <v>30000</v>
      </c>
      <c r="J13" s="1039">
        <v>0.151039109851707</v>
      </c>
      <c r="K13" s="1040"/>
      <c r="L13" s="1041"/>
      <c r="M13" s="1041"/>
      <c r="N13" s="263"/>
      <c r="O13" s="263"/>
      <c r="P13" s="263"/>
      <c r="Q13" s="263"/>
      <c r="R13" s="263"/>
      <c r="S13" s="1036">
        <v>31854.0</v>
      </c>
      <c r="T13" s="1036">
        <v>35192.0</v>
      </c>
      <c r="U13" s="263"/>
      <c r="V13" s="263"/>
      <c r="W13" s="263"/>
      <c r="X13" s="263"/>
      <c r="Y13" s="263"/>
      <c r="Z13" s="263"/>
    </row>
    <row r="14">
      <c r="A14" s="248" t="s">
        <v>3759</v>
      </c>
      <c r="B14" s="789">
        <f t="shared" si="7"/>
        <v>11750</v>
      </c>
      <c r="C14" s="789">
        <f t="shared" si="8"/>
        <v>117500</v>
      </c>
      <c r="D14" s="263"/>
      <c r="E14" s="1002" t="s">
        <v>4140</v>
      </c>
      <c r="F14" s="1003" t="s">
        <v>3756</v>
      </c>
      <c r="G14" s="449" t="str">
        <f>IF(H12 &gt;= 10, 'Drifter Priority'!D314, 'Drifter Priority'!C314)</f>
        <v>B</v>
      </c>
      <c r="H14" s="790">
        <v>20.0</v>
      </c>
      <c r="I14" s="1005">
        <f>150*H14</f>
        <v>3000</v>
      </c>
      <c r="J14" s="1039">
        <v>0.11494275569769785</v>
      </c>
      <c r="K14" s="1040"/>
      <c r="L14" s="1041"/>
      <c r="M14" s="1041"/>
      <c r="N14" s="263"/>
      <c r="O14" s="263"/>
      <c r="P14" s="263"/>
      <c r="Q14" s="263"/>
      <c r="R14" s="263"/>
      <c r="S14" s="1036">
        <v>30475.0</v>
      </c>
      <c r="T14" s="1036">
        <v>36908.0</v>
      </c>
      <c r="U14" s="263"/>
      <c r="V14" s="263"/>
      <c r="W14" s="263"/>
      <c r="X14" s="263"/>
      <c r="Y14" s="263"/>
      <c r="Z14" s="263"/>
    </row>
    <row r="15">
      <c r="A15" s="263"/>
      <c r="B15" s="263"/>
      <c r="C15" s="263"/>
      <c r="D15" s="263"/>
      <c r="E15" s="1002" t="s">
        <v>4141</v>
      </c>
      <c r="F15" s="1003" t="s">
        <v>3756</v>
      </c>
      <c r="G15" s="449" t="str">
        <f>IF(H13 &gt;= 10, 'Drifter Priority'!D315, 'Drifter Priority'!C315)</f>
        <v>C</v>
      </c>
      <c r="H15" s="790">
        <v>20.0</v>
      </c>
      <c r="I15" s="1005">
        <f>100*H15</f>
        <v>2000</v>
      </c>
      <c r="J15" s="1039">
        <v>0.07617283380561002</v>
      </c>
      <c r="K15" s="1040"/>
      <c r="L15" s="1041"/>
      <c r="M15" s="1041"/>
      <c r="N15" s="263"/>
      <c r="O15" s="263"/>
      <c r="P15" s="263"/>
      <c r="Q15" s="263"/>
      <c r="R15" s="263"/>
      <c r="S15" s="1036">
        <v>30284.0</v>
      </c>
      <c r="T15" s="1036">
        <v>35621.0</v>
      </c>
      <c r="U15" s="263"/>
      <c r="V15" s="263"/>
      <c r="W15" s="263"/>
      <c r="X15" s="263"/>
      <c r="Y15" s="263"/>
      <c r="Z15" s="263"/>
    </row>
    <row r="16">
      <c r="A16" s="782" t="s">
        <v>4093</v>
      </c>
      <c r="B16" s="1042" t="s">
        <v>3805</v>
      </c>
      <c r="C16" s="263"/>
      <c r="D16" s="263"/>
      <c r="E16" s="1002" t="s">
        <v>4142</v>
      </c>
      <c r="F16" s="1003" t="s">
        <v>3756</v>
      </c>
      <c r="G16" s="449" t="str">
        <f>IF(H14 &gt;= 10, 'Drifter Priority'!D316, 'Drifter Priority'!C316)</f>
        <v>C</v>
      </c>
      <c r="H16" s="790">
        <v>20.0</v>
      </c>
      <c r="I16" s="1005">
        <f>70*H16</f>
        <v>1400</v>
      </c>
      <c r="J16" s="1039">
        <v>0.07049214789468317</v>
      </c>
      <c r="K16" s="1040"/>
      <c r="L16" s="1041"/>
      <c r="M16" s="1041"/>
      <c r="N16" s="263"/>
      <c r="O16" s="263"/>
      <c r="P16" s="263"/>
      <c r="Q16" s="263"/>
      <c r="R16" s="263"/>
      <c r="S16" s="1036">
        <v>31885.0</v>
      </c>
      <c r="T16" s="1036">
        <v>35873.0</v>
      </c>
      <c r="U16" s="263"/>
      <c r="V16" s="263"/>
      <c r="W16" s="263"/>
      <c r="X16" s="263"/>
      <c r="Y16" s="263"/>
      <c r="Z16" s="263"/>
    </row>
    <row r="17">
      <c r="A17" s="1043" t="s">
        <v>4143</v>
      </c>
      <c r="B17" s="783" t="s">
        <v>4144</v>
      </c>
      <c r="C17" s="263"/>
      <c r="D17" s="263"/>
      <c r="E17" s="1002" t="s">
        <v>4145</v>
      </c>
      <c r="F17" s="1003" t="s">
        <v>3757</v>
      </c>
      <c r="G17" s="449" t="str">
        <f>IF(H15 &gt;= 10, 'Drifter Priority'!D330, 'Drifter Priority'!C330)</f>
        <v>C</v>
      </c>
      <c r="H17" s="790">
        <v>20.0</v>
      </c>
      <c r="I17" s="1005">
        <f>300*H17</f>
        <v>6000</v>
      </c>
      <c r="J17" s="1039">
        <v>0.057471377848848704</v>
      </c>
      <c r="K17" s="1040"/>
      <c r="L17" s="1041"/>
      <c r="M17" s="1041"/>
      <c r="N17" s="263"/>
      <c r="O17" s="263"/>
      <c r="P17" s="263"/>
      <c r="Q17" s="263"/>
      <c r="R17" s="263"/>
      <c r="S17" s="1036">
        <v>32203.0</v>
      </c>
      <c r="T17" s="1036">
        <v>34317.0</v>
      </c>
      <c r="U17" s="263"/>
      <c r="V17" s="263"/>
      <c r="W17" s="263"/>
      <c r="X17" s="263"/>
      <c r="Y17" s="263"/>
      <c r="Z17" s="263"/>
    </row>
    <row r="18">
      <c r="A18" s="782" t="s">
        <v>4146</v>
      </c>
      <c r="B18" s="787">
        <f>sum(B11:B14)</f>
        <v>61044</v>
      </c>
      <c r="C18" s="263"/>
      <c r="D18" s="263"/>
      <c r="E18" s="1002" t="s">
        <v>4147</v>
      </c>
      <c r="F18" s="1003" t="s">
        <v>3757</v>
      </c>
      <c r="G18" s="449" t="str">
        <f>IF(H16 &gt;= 10, 'Drifter Priority'!D331, 'Drifter Priority'!C331)</f>
        <v>S</v>
      </c>
      <c r="H18" s="790">
        <v>20.0</v>
      </c>
      <c r="I18" s="1005">
        <f>0.04*H18</f>
        <v>0.8</v>
      </c>
      <c r="J18" s="1039">
        <v>0.23672238396819356</v>
      </c>
      <c r="K18" s="1040"/>
      <c r="L18" s="263"/>
      <c r="M18" s="263"/>
      <c r="N18" s="263"/>
      <c r="O18" s="263"/>
      <c r="P18" s="263"/>
      <c r="Q18" s="263"/>
      <c r="R18" s="263"/>
      <c r="S18" s="1036">
        <v>30291.0</v>
      </c>
      <c r="T18" s="1036">
        <v>34548.0</v>
      </c>
      <c r="U18" s="263"/>
      <c r="V18" s="263"/>
      <c r="W18" s="263"/>
      <c r="X18" s="263"/>
      <c r="Y18" s="263"/>
      <c r="Z18" s="263"/>
    </row>
    <row r="19">
      <c r="A19" s="782" t="s">
        <v>4148</v>
      </c>
      <c r="B19" s="787">
        <f>sum(C11:C14)</f>
        <v>550440</v>
      </c>
      <c r="C19" s="263"/>
      <c r="D19" s="263"/>
      <c r="E19" s="787" t="s">
        <v>4149</v>
      </c>
      <c r="F19" s="787" t="s">
        <v>3757</v>
      </c>
      <c r="G19" s="449" t="str">
        <f>IF(H17 &gt;= 10, 'Drifter Priority'!D332, 'Drifter Priority'!C332)</f>
        <v>B</v>
      </c>
      <c r="H19" s="790">
        <v>20.0</v>
      </c>
      <c r="I19" s="789">
        <f>0.25*H19</f>
        <v>5</v>
      </c>
      <c r="J19" s="1039">
        <v>0.10571543834238195</v>
      </c>
      <c r="K19" s="1040"/>
      <c r="L19" s="1041"/>
      <c r="M19" s="1041"/>
      <c r="N19" s="263"/>
      <c r="O19" s="263"/>
      <c r="P19" s="263"/>
      <c r="Q19" s="263"/>
      <c r="R19" s="263"/>
      <c r="S19" s="1036">
        <v>30050.0</v>
      </c>
      <c r="T19" s="1036">
        <v>36612.0</v>
      </c>
      <c r="U19" s="263"/>
      <c r="V19" s="263"/>
      <c r="W19" s="263"/>
      <c r="X19" s="263"/>
      <c r="Y19" s="263"/>
      <c r="Z19" s="263"/>
    </row>
    <row r="20">
      <c r="A20" s="782" t="s">
        <v>4131</v>
      </c>
      <c r="B20" s="787">
        <f>VLOOKUP($B$16,'Rift Anecdotes'!$B$63:$G$85,5,FALSE)</f>
        <v>106538</v>
      </c>
      <c r="C20" s="263"/>
      <c r="D20" s="263"/>
      <c r="E20" s="1002" t="s">
        <v>4150</v>
      </c>
      <c r="F20" s="1003" t="s">
        <v>3758</v>
      </c>
      <c r="G20" s="449" t="str">
        <f>IF(H18 &gt;= 10, 'Drifter Priority'!D188, 'Drifter Priority'!C188)</f>
        <v>A</v>
      </c>
      <c r="H20" s="790">
        <v>20.0</v>
      </c>
      <c r="I20" s="1005">
        <f>-50*H20</f>
        <v>-1000</v>
      </c>
      <c r="J20" s="1039">
        <v>0.07700427965257295</v>
      </c>
      <c r="K20" s="1040"/>
      <c r="L20" s="263"/>
      <c r="M20" s="263"/>
      <c r="N20" s="263"/>
      <c r="O20" s="263"/>
      <c r="P20" s="263"/>
      <c r="Q20" s="263"/>
      <c r="R20" s="263"/>
      <c r="S20" s="1036">
        <v>32274.0</v>
      </c>
      <c r="T20" s="1036">
        <v>36194.0</v>
      </c>
      <c r="U20" s="263"/>
      <c r="V20" s="263"/>
      <c r="W20" s="263"/>
      <c r="X20" s="263"/>
      <c r="Y20" s="263"/>
      <c r="Z20" s="263"/>
    </row>
    <row r="21">
      <c r="A21" s="782" t="s">
        <v>4132</v>
      </c>
      <c r="B21" s="787">
        <f>IF(VLOOKUP($B$16,'Rift Anecdotes'!$B$63:$G$85,6,FALSE) &gt; 0,VLOOKUP($B$16,'Rift Anecdotes'!$B$63:$G$85,6,FALSE), FLOOR(B20*0.52,1))</f>
        <v>55399</v>
      </c>
      <c r="C21" s="263"/>
      <c r="D21" s="263"/>
      <c r="E21" s="1002" t="s">
        <v>2454</v>
      </c>
      <c r="F21" s="1003" t="s">
        <v>3758</v>
      </c>
      <c r="G21" s="449" t="str">
        <f>IF(H19 &gt;= 10, 'Drifter Priority'!D189, 'Drifter Priority'!C189)</f>
        <v>A</v>
      </c>
      <c r="H21" s="790">
        <v>20.0</v>
      </c>
      <c r="I21" s="1005">
        <f>0.04*H21</f>
        <v>0.8</v>
      </c>
      <c r="J21" s="1044">
        <v>0.1045</v>
      </c>
      <c r="K21" s="1040"/>
      <c r="L21" s="1041"/>
      <c r="M21" s="263"/>
      <c r="N21" s="263"/>
      <c r="O21" s="263"/>
      <c r="P21" s="263"/>
      <c r="Q21" s="263"/>
      <c r="R21" s="263"/>
      <c r="S21" s="1036">
        <v>31357.0</v>
      </c>
      <c r="T21" s="1036">
        <v>35521.0</v>
      </c>
      <c r="U21" s="263"/>
      <c r="V21" s="263"/>
      <c r="W21" s="263"/>
      <c r="X21" s="263"/>
      <c r="Y21" s="263"/>
      <c r="Z21" s="263"/>
    </row>
    <row r="22">
      <c r="A22" s="1006" t="s">
        <v>4144</v>
      </c>
      <c r="B22" s="787">
        <f>I11*IF(COUNTIF($A$11:$A$14, $F$11)&gt;0, 1, 0)+IF($B$17=A22, 0.05, 0)</f>
        <v>0.25</v>
      </c>
      <c r="C22" s="263"/>
      <c r="D22" s="263"/>
      <c r="E22" s="1002" t="s">
        <v>4068</v>
      </c>
      <c r="F22" s="1003" t="s">
        <v>3699</v>
      </c>
      <c r="G22" s="449" t="str">
        <f>IF(H20 &gt;= 10, 'Drifter Priority'!D77, 'Drifter Priority'!C77)</f>
        <v>B</v>
      </c>
      <c r="H22" s="790">
        <v>10.0</v>
      </c>
      <c r="I22" s="1005">
        <f>0.01*H22</f>
        <v>0.1</v>
      </c>
      <c r="J22" s="1039">
        <v>0.1484976470579633</v>
      </c>
      <c r="K22" s="1040"/>
      <c r="L22" s="263"/>
      <c r="M22" s="263"/>
      <c r="N22" s="263"/>
      <c r="O22" s="263"/>
      <c r="P22" s="263"/>
      <c r="Q22" s="263"/>
      <c r="R22" s="263"/>
      <c r="S22" s="1036">
        <v>29519.0</v>
      </c>
      <c r="T22" s="1036">
        <v>34726.0</v>
      </c>
      <c r="U22" s="263"/>
      <c r="V22" s="263"/>
      <c r="W22" s="263"/>
      <c r="X22" s="263"/>
      <c r="Y22" s="263"/>
      <c r="Z22" s="263"/>
    </row>
    <row r="23">
      <c r="A23" s="782" t="s">
        <v>4151</v>
      </c>
      <c r="B23" s="787">
        <f>I12*IF(COUNTIF($A$11:$A$14, $F$11)&gt;0, 1, 0)</f>
        <v>3000</v>
      </c>
      <c r="C23" s="263"/>
      <c r="D23" s="263"/>
      <c r="E23" s="787" t="s">
        <v>4149</v>
      </c>
      <c r="F23" s="787" t="s">
        <v>3699</v>
      </c>
      <c r="G23" s="449" t="str">
        <f>IF(H21 &gt;= 10, 'Drifter Priority'!D76, 'Drifter Priority'!C76)</f>
        <v>B</v>
      </c>
      <c r="H23" s="790">
        <v>10.0</v>
      </c>
      <c r="I23" s="789">
        <f>0.25*H23</f>
        <v>2.5</v>
      </c>
      <c r="J23" s="1039">
        <v>0.12021418021219232</v>
      </c>
      <c r="K23" s="1040"/>
      <c r="L23" s="263"/>
      <c r="M23" s="263"/>
      <c r="N23" s="263"/>
      <c r="O23" s="263"/>
      <c r="P23" s="263"/>
      <c r="Q23" s="263"/>
      <c r="R23" s="263"/>
      <c r="S23" s="1036">
        <v>30937.0</v>
      </c>
      <c r="T23" s="1036">
        <v>36540.0</v>
      </c>
      <c r="U23" s="263"/>
      <c r="V23" s="263"/>
      <c r="W23" s="263"/>
      <c r="X23" s="263"/>
      <c r="Y23" s="263"/>
      <c r="Z23" s="263"/>
    </row>
    <row r="24">
      <c r="A24" s="782" t="s">
        <v>4152</v>
      </c>
      <c r="B24" s="787">
        <f>I16*IF(COUNTIF($A$11:$A$14, $F$16)&gt;0, 1, 0)</f>
        <v>1400</v>
      </c>
      <c r="C24" s="263"/>
      <c r="D24" s="263"/>
      <c r="E24" s="263"/>
      <c r="F24" s="263"/>
      <c r="H24" s="263"/>
      <c r="I24" s="263"/>
      <c r="J24" s="1037" t="s">
        <v>4153</v>
      </c>
      <c r="K24" s="263"/>
      <c r="L24" s="263"/>
      <c r="M24" s="263"/>
      <c r="N24" s="263"/>
      <c r="O24" s="263"/>
      <c r="P24" s="263"/>
      <c r="Q24" s="263"/>
      <c r="R24" s="263"/>
      <c r="S24" s="1036">
        <v>29904.0</v>
      </c>
      <c r="T24" s="1036">
        <v>35757.0</v>
      </c>
      <c r="U24" s="263"/>
      <c r="V24" s="263"/>
      <c r="W24" s="263"/>
      <c r="X24" s="263"/>
      <c r="Y24" s="263"/>
      <c r="Z24" s="263"/>
    </row>
    <row r="25">
      <c r="A25" s="782" t="str">
        <f>E18</f>
        <v>CRIT Rate</v>
      </c>
      <c r="B25" s="787">
        <f>I18*IF(COUNTIF($A$11:$A$14, $F$18)&gt;0, 1, 0)+IF($B$17=A25, 0.05, 0)</f>
        <v>0.8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1036">
        <v>31749.0</v>
      </c>
      <c r="T25" s="1036">
        <v>36072.0</v>
      </c>
      <c r="U25" s="263"/>
      <c r="V25" s="263"/>
      <c r="W25" s="263"/>
      <c r="X25" s="263"/>
      <c r="Y25" s="263"/>
      <c r="Z25" s="263"/>
    </row>
    <row r="26">
      <c r="A26" s="782" t="s">
        <v>4154</v>
      </c>
      <c r="B26" s="787">
        <f>I21*IF(COUNTIF($A$11:$A$14, $F$21)&gt;0, 1, 0)</f>
        <v>0.8</v>
      </c>
      <c r="C26" s="263"/>
      <c r="D26" s="263"/>
      <c r="E26" s="263"/>
      <c r="F26" s="263"/>
      <c r="G26" s="1045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1036">
        <v>30941.0</v>
      </c>
      <c r="T26" s="1036">
        <v>36243.0</v>
      </c>
      <c r="U26" s="263"/>
      <c r="V26" s="263"/>
      <c r="W26" s="263"/>
      <c r="X26" s="263"/>
      <c r="Y26" s="263"/>
      <c r="Z26" s="263"/>
    </row>
    <row r="27">
      <c r="A27" s="782" t="str">
        <f>E15</f>
        <v>Armor Lost Bonus</v>
      </c>
      <c r="B27" s="787">
        <f>I15*IF(COUNTIF($A$11:$A$14, $F$15)&gt;0, 1, 0)</f>
        <v>2000</v>
      </c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1036">
        <v>30258.0</v>
      </c>
      <c r="T27" s="1036">
        <v>36452.0</v>
      </c>
      <c r="U27" s="263"/>
      <c r="V27" s="263"/>
      <c r="W27" s="263"/>
      <c r="X27" s="263"/>
      <c r="Y27" s="263"/>
      <c r="Z27" s="263"/>
    </row>
    <row r="28">
      <c r="A28" s="782" t="str">
        <f t="shared" ref="A28:A29" si="9">E20</f>
        <v>Firepower Reduction</v>
      </c>
      <c r="B28" s="787">
        <f>I20*IF(COUNTIF($A$11:$A$14, $F$21)&gt;0, 1, 0)</f>
        <v>-1000</v>
      </c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1036">
        <v>30974.0</v>
      </c>
      <c r="T28" s="1036">
        <v>34093.0</v>
      </c>
      <c r="U28" s="263"/>
      <c r="V28" s="263"/>
      <c r="W28" s="263"/>
      <c r="X28" s="263"/>
      <c r="Y28" s="263"/>
      <c r="Z28" s="263"/>
    </row>
    <row r="29">
      <c r="A29" s="782" t="str">
        <f t="shared" si="9"/>
        <v>CRIT DMG</v>
      </c>
      <c r="B29" s="787">
        <f>B18*(1.5+B26)</f>
        <v>140401.2</v>
      </c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1036">
        <v>31870.0</v>
      </c>
      <c r="T29" s="1036">
        <v>36168.0</v>
      </c>
      <c r="U29" s="263"/>
      <c r="V29" s="263"/>
      <c r="W29" s="263"/>
      <c r="X29" s="263"/>
      <c r="Y29" s="263"/>
      <c r="Z29" s="263"/>
    </row>
    <row r="30">
      <c r="A30" s="782" t="s">
        <v>4155</v>
      </c>
      <c r="B30" s="787">
        <f>B18*B25*(1.5+B26)+B18*(1-B25)</f>
        <v>124529.76</v>
      </c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1036">
        <v>31233.0</v>
      </c>
      <c r="T30" s="1036">
        <v>34295.0</v>
      </c>
      <c r="U30" s="263"/>
      <c r="V30" s="263"/>
      <c r="W30" s="263"/>
      <c r="X30" s="263"/>
      <c r="Y30" s="263"/>
      <c r="Z30" s="263"/>
    </row>
    <row r="31">
      <c r="A31" s="782" t="s">
        <v>4156</v>
      </c>
      <c r="B31" s="787">
        <f>B18*I19*IF(COUNTIF($A$11:$A$14, $F$19)&gt;0, 1, 0) + B18*I23*IF(COUNTIF($A$11:$A$14, $F$23)&gt;0, 1, 0)</f>
        <v>305220</v>
      </c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1036">
        <v>29242.0</v>
      </c>
      <c r="T31" s="1036">
        <v>33945.0</v>
      </c>
      <c r="U31" s="263"/>
      <c r="V31" s="263"/>
      <c r="W31" s="263"/>
      <c r="X31" s="263"/>
      <c r="Y31" s="263"/>
      <c r="Z31" s="263"/>
    </row>
    <row r="32">
      <c r="A32" s="263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1036">
        <v>31764.0</v>
      </c>
      <c r="T32" s="1036">
        <v>36868.0</v>
      </c>
      <c r="U32" s="263"/>
      <c r="V32" s="263"/>
      <c r="W32" s="263"/>
      <c r="X32" s="263"/>
      <c r="Y32" s="263"/>
      <c r="Z32" s="263"/>
    </row>
    <row r="33">
      <c r="A33" s="284"/>
      <c r="B33" s="782" t="s">
        <v>4157</v>
      </c>
      <c r="C33" s="782" t="s">
        <v>4158</v>
      </c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1036">
        <v>29904.0</v>
      </c>
      <c r="T33" s="1036">
        <v>35568.0</v>
      </c>
      <c r="U33" s="263"/>
      <c r="V33" s="263"/>
      <c r="W33" s="263"/>
      <c r="X33" s="263"/>
      <c r="Y33" s="263"/>
      <c r="Z33" s="263"/>
    </row>
    <row r="34">
      <c r="A34" s="782" t="s">
        <v>4159</v>
      </c>
      <c r="B34" s="799">
        <f t="array" ref="B34">IFERROR(INDEX(A47:A67, MATCH(0, F47:F67,FALSE)),"All")</f>
        <v>17</v>
      </c>
      <c r="C34" s="1042">
        <v>17.0</v>
      </c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1036">
        <v>30526.0</v>
      </c>
      <c r="T34" s="1036">
        <v>36672.0</v>
      </c>
      <c r="U34" s="263"/>
      <c r="V34" s="263"/>
      <c r="W34" s="263"/>
      <c r="X34" s="263"/>
      <c r="Y34" s="263"/>
      <c r="Z34" s="263"/>
    </row>
    <row r="35">
      <c r="A35" s="782" t="s">
        <v>4160</v>
      </c>
      <c r="B35" s="1046">
        <f>sum(D47:D67)</f>
        <v>3128881.92</v>
      </c>
      <c r="C35" s="1047">
        <v>2765816.0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1036">
        <v>29418.0</v>
      </c>
      <c r="T35" s="1036">
        <v>33522.0</v>
      </c>
      <c r="U35" s="263"/>
      <c r="V35" s="263"/>
      <c r="W35" s="263"/>
      <c r="X35" s="263"/>
      <c r="Y35" s="263"/>
      <c r="Z35" s="263"/>
    </row>
    <row r="36">
      <c r="A36" s="284"/>
      <c r="B36" s="263"/>
      <c r="C36" s="285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1036">
        <v>30964.0</v>
      </c>
      <c r="T36" s="1036">
        <v>35308.0</v>
      </c>
      <c r="U36" s="263"/>
      <c r="V36" s="263"/>
      <c r="W36" s="263"/>
      <c r="X36" s="263"/>
      <c r="Y36" s="263"/>
      <c r="Z36" s="263"/>
    </row>
    <row r="37">
      <c r="A37" s="1008" t="s">
        <v>4120</v>
      </c>
      <c r="B37" s="1048">
        <f>B35-C35</f>
        <v>363065.92</v>
      </c>
      <c r="C37" s="1049"/>
      <c r="D37" s="1045"/>
      <c r="E37" s="1045"/>
      <c r="F37" s="1045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1036">
        <v>30922.0</v>
      </c>
      <c r="T37" s="1036">
        <v>36400.0</v>
      </c>
      <c r="U37" s="263"/>
      <c r="V37" s="263"/>
      <c r="W37" s="263"/>
      <c r="X37" s="263"/>
      <c r="Y37" s="263"/>
      <c r="Z37" s="263"/>
    </row>
    <row r="38">
      <c r="A38" s="1008" t="s">
        <v>4161</v>
      </c>
      <c r="B38" s="1050">
        <f>(B35/C35)-1</f>
        <v>0.131269007</v>
      </c>
      <c r="C38" s="1051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1036">
        <v>32043.0</v>
      </c>
      <c r="T38" s="1036">
        <v>36591.0</v>
      </c>
      <c r="U38" s="263"/>
      <c r="V38" s="263"/>
      <c r="W38" s="263"/>
      <c r="X38" s="263"/>
      <c r="Y38" s="263"/>
      <c r="Z38" s="263"/>
    </row>
    <row r="39">
      <c r="A39" s="263"/>
      <c r="B39" s="263"/>
      <c r="C39" s="263"/>
      <c r="D39" s="1040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1036">
        <v>30196.0</v>
      </c>
      <c r="T39" s="1036">
        <v>35005.0</v>
      </c>
      <c r="U39" s="263"/>
      <c r="V39" s="263"/>
      <c r="W39" s="263"/>
      <c r="X39" s="263"/>
      <c r="Y39" s="263"/>
      <c r="Z39" s="263"/>
    </row>
    <row r="40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1036">
        <v>31515.0</v>
      </c>
      <c r="T40" s="1036">
        <v>34131.0</v>
      </c>
      <c r="U40" s="263"/>
      <c r="V40" s="263"/>
      <c r="W40" s="263"/>
      <c r="X40" s="263"/>
      <c r="Y40" s="263"/>
      <c r="Z40" s="263"/>
    </row>
    <row r="41">
      <c r="A41" s="263"/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1036">
        <v>31421.0</v>
      </c>
      <c r="T41" s="1036">
        <v>33606.0</v>
      </c>
      <c r="U41" s="263"/>
      <c r="V41" s="263"/>
      <c r="W41" s="263"/>
      <c r="X41" s="263"/>
      <c r="Y41" s="263"/>
      <c r="Z41" s="263"/>
    </row>
    <row r="42">
      <c r="A42" s="263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1036">
        <v>29680.0</v>
      </c>
      <c r="T42" s="263"/>
      <c r="U42" s="263"/>
      <c r="V42" s="263"/>
      <c r="W42" s="263"/>
      <c r="X42" s="263"/>
      <c r="Y42" s="263"/>
      <c r="Z42" s="263"/>
    </row>
    <row r="43">
      <c r="A43" s="263"/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</row>
    <row r="44">
      <c r="A44" s="263"/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</row>
    <row r="45">
      <c r="A45" s="1052" t="s">
        <v>1931</v>
      </c>
      <c r="B45" s="1053"/>
      <c r="C45" s="1053"/>
      <c r="D45" s="1053"/>
      <c r="E45" s="1053"/>
      <c r="F45" s="1054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</row>
    <row r="46">
      <c r="A46" s="1008" t="s">
        <v>4162</v>
      </c>
      <c r="B46" s="1008" t="s">
        <v>4135</v>
      </c>
      <c r="C46" s="1008" t="s">
        <v>4146</v>
      </c>
      <c r="D46" s="1008" t="s">
        <v>4163</v>
      </c>
      <c r="E46" s="1008" t="s">
        <v>4132</v>
      </c>
      <c r="F46" s="1008" t="s">
        <v>4164</v>
      </c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 t="s">
        <v>4165</v>
      </c>
      <c r="S46" s="1036">
        <f t="shared" ref="S46:T46" si="10">AVERAGE(S7:S45)</f>
        <v>30735.94444</v>
      </c>
      <c r="T46" s="1036">
        <f t="shared" si="10"/>
        <v>35449.68571</v>
      </c>
      <c r="U46" s="263"/>
      <c r="V46" s="263"/>
      <c r="W46" s="263"/>
      <c r="X46" s="263"/>
      <c r="Y46" s="263"/>
      <c r="Z46" s="263"/>
    </row>
    <row r="47">
      <c r="A47" s="789">
        <v>0.0</v>
      </c>
      <c r="B47" s="789">
        <f>B19</f>
        <v>550440</v>
      </c>
      <c r="C47" s="789">
        <f>B18</f>
        <v>61044</v>
      </c>
      <c r="D47" s="789">
        <f>B31</f>
        <v>305220</v>
      </c>
      <c r="E47" s="789">
        <f>B21</f>
        <v>55399</v>
      </c>
      <c r="F47" s="789">
        <f>B47</f>
        <v>550440</v>
      </c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</row>
    <row r="48">
      <c r="A48" s="789">
        <v>1.0</v>
      </c>
      <c r="B48" s="789">
        <f t="shared" ref="B48:C48" si="11">B47</f>
        <v>550440</v>
      </c>
      <c r="C48" s="789">
        <f t="shared" si="11"/>
        <v>61044</v>
      </c>
      <c r="D48" s="789">
        <f t="shared" ref="D48:D67" si="12">(C48*$B$25*(1.5+$B$26)+C48*(1-$B$25))*IF(B48&gt;0, 1, 0)</f>
        <v>124529.76</v>
      </c>
      <c r="E48" s="789">
        <f>E47</f>
        <v>55399</v>
      </c>
      <c r="F48" s="789">
        <f t="shared" ref="F48:F67" si="13">MAX((B48-E48*(1-$B$22)), 0)</f>
        <v>508890.75</v>
      </c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</row>
    <row r="49">
      <c r="A49" s="789">
        <v>2.0</v>
      </c>
      <c r="B49" s="789">
        <f t="shared" ref="B49:B67" si="14">(F48+$B$23)*IF(F48&gt;0, 1, 0)</f>
        <v>511890.75</v>
      </c>
      <c r="C49" s="789">
        <f t="shared" ref="C49:C67" si="15">($B$18+(A49-1)*$B$24+FLOOR((1-B49/$B$19)*10,1)*$B$27)*IF(B49&gt;0, 1, 0)</f>
        <v>62444</v>
      </c>
      <c r="D49" s="789">
        <f t="shared" si="12"/>
        <v>127385.76</v>
      </c>
      <c r="E49" s="789">
        <f t="shared" ref="E49:E67" si="16">(E48+$B$28)*IF(B49&gt;0, 1, 0)</f>
        <v>54399</v>
      </c>
      <c r="F49" s="789">
        <f t="shared" si="13"/>
        <v>471091.5</v>
      </c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</row>
    <row r="50">
      <c r="A50" s="789">
        <v>3.0</v>
      </c>
      <c r="B50" s="789">
        <f t="shared" si="14"/>
        <v>474091.5</v>
      </c>
      <c r="C50" s="789">
        <f t="shared" si="15"/>
        <v>65844</v>
      </c>
      <c r="D50" s="789">
        <f t="shared" si="12"/>
        <v>134321.76</v>
      </c>
      <c r="E50" s="789">
        <f t="shared" si="16"/>
        <v>53399</v>
      </c>
      <c r="F50" s="789">
        <f t="shared" si="13"/>
        <v>434042.25</v>
      </c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</row>
    <row r="51">
      <c r="A51" s="789">
        <v>4.0</v>
      </c>
      <c r="B51" s="789">
        <f t="shared" si="14"/>
        <v>437042.25</v>
      </c>
      <c r="C51" s="789">
        <f t="shared" si="15"/>
        <v>69244</v>
      </c>
      <c r="D51" s="789">
        <f t="shared" si="12"/>
        <v>141257.76</v>
      </c>
      <c r="E51" s="789">
        <f t="shared" si="16"/>
        <v>52399</v>
      </c>
      <c r="F51" s="789">
        <f t="shared" si="13"/>
        <v>397743</v>
      </c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</row>
    <row r="52">
      <c r="A52" s="789">
        <v>5.0</v>
      </c>
      <c r="B52" s="789">
        <f t="shared" si="14"/>
        <v>400743</v>
      </c>
      <c r="C52" s="789">
        <f t="shared" si="15"/>
        <v>70644</v>
      </c>
      <c r="D52" s="789">
        <f t="shared" si="12"/>
        <v>144113.76</v>
      </c>
      <c r="E52" s="789">
        <f t="shared" si="16"/>
        <v>51399</v>
      </c>
      <c r="F52" s="789">
        <f t="shared" si="13"/>
        <v>362193.75</v>
      </c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</row>
    <row r="53">
      <c r="A53" s="789">
        <v>6.0</v>
      </c>
      <c r="B53" s="789">
        <f t="shared" si="14"/>
        <v>365193.75</v>
      </c>
      <c r="C53" s="789">
        <f t="shared" si="15"/>
        <v>74044</v>
      </c>
      <c r="D53" s="789">
        <f t="shared" si="12"/>
        <v>151049.76</v>
      </c>
      <c r="E53" s="789">
        <f t="shared" si="16"/>
        <v>50399</v>
      </c>
      <c r="F53" s="789">
        <f t="shared" si="13"/>
        <v>327394.5</v>
      </c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</row>
    <row r="54">
      <c r="A54" s="789">
        <v>7.0</v>
      </c>
      <c r="B54" s="789">
        <f t="shared" si="14"/>
        <v>330394.5</v>
      </c>
      <c r="C54" s="789">
        <f t="shared" si="15"/>
        <v>75444</v>
      </c>
      <c r="D54" s="789">
        <f t="shared" si="12"/>
        <v>153905.76</v>
      </c>
      <c r="E54" s="789">
        <f t="shared" si="16"/>
        <v>49399</v>
      </c>
      <c r="F54" s="789">
        <f t="shared" si="13"/>
        <v>293345.25</v>
      </c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</row>
    <row r="55">
      <c r="A55" s="789">
        <v>8.0</v>
      </c>
      <c r="B55" s="789">
        <f t="shared" si="14"/>
        <v>296345.25</v>
      </c>
      <c r="C55" s="789">
        <f t="shared" si="15"/>
        <v>78844</v>
      </c>
      <c r="D55" s="789">
        <f t="shared" si="12"/>
        <v>160841.76</v>
      </c>
      <c r="E55" s="789">
        <f t="shared" si="16"/>
        <v>48399</v>
      </c>
      <c r="F55" s="789">
        <f t="shared" si="13"/>
        <v>260046</v>
      </c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</row>
    <row r="56">
      <c r="A56" s="789">
        <v>9.0</v>
      </c>
      <c r="B56" s="789">
        <f t="shared" si="14"/>
        <v>263046</v>
      </c>
      <c r="C56" s="789">
        <f t="shared" si="15"/>
        <v>82244</v>
      </c>
      <c r="D56" s="789">
        <f t="shared" si="12"/>
        <v>167777.76</v>
      </c>
      <c r="E56" s="789">
        <f t="shared" si="16"/>
        <v>47399</v>
      </c>
      <c r="F56" s="789">
        <f t="shared" si="13"/>
        <v>227496.75</v>
      </c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</row>
    <row r="57">
      <c r="A57" s="789">
        <v>10.0</v>
      </c>
      <c r="B57" s="789">
        <f t="shared" si="14"/>
        <v>230496.75</v>
      </c>
      <c r="C57" s="789">
        <f t="shared" si="15"/>
        <v>83644</v>
      </c>
      <c r="D57" s="789">
        <f t="shared" si="12"/>
        <v>170633.76</v>
      </c>
      <c r="E57" s="789">
        <f t="shared" si="16"/>
        <v>46399</v>
      </c>
      <c r="F57" s="789">
        <f t="shared" si="13"/>
        <v>195697.5</v>
      </c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</row>
    <row r="58">
      <c r="A58" s="789">
        <v>11.0</v>
      </c>
      <c r="B58" s="789">
        <f t="shared" si="14"/>
        <v>198697.5</v>
      </c>
      <c r="C58" s="789">
        <f t="shared" si="15"/>
        <v>87044</v>
      </c>
      <c r="D58" s="789">
        <f t="shared" si="12"/>
        <v>177569.76</v>
      </c>
      <c r="E58" s="789">
        <f t="shared" si="16"/>
        <v>45399</v>
      </c>
      <c r="F58" s="789">
        <f t="shared" si="13"/>
        <v>164648.25</v>
      </c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</row>
    <row r="59">
      <c r="A59" s="789">
        <v>12.0</v>
      </c>
      <c r="B59" s="789">
        <f t="shared" si="14"/>
        <v>167648.25</v>
      </c>
      <c r="C59" s="789">
        <f t="shared" si="15"/>
        <v>88444</v>
      </c>
      <c r="D59" s="789">
        <f t="shared" si="12"/>
        <v>180425.76</v>
      </c>
      <c r="E59" s="789">
        <f t="shared" si="16"/>
        <v>44399</v>
      </c>
      <c r="F59" s="789">
        <f t="shared" si="13"/>
        <v>134349</v>
      </c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</row>
    <row r="60">
      <c r="A60" s="789">
        <v>13.0</v>
      </c>
      <c r="B60" s="789">
        <f t="shared" si="14"/>
        <v>137349</v>
      </c>
      <c r="C60" s="789">
        <f t="shared" si="15"/>
        <v>91844</v>
      </c>
      <c r="D60" s="789">
        <f t="shared" si="12"/>
        <v>187361.76</v>
      </c>
      <c r="E60" s="789">
        <f t="shared" si="16"/>
        <v>43399</v>
      </c>
      <c r="F60" s="789">
        <f t="shared" si="13"/>
        <v>104799.75</v>
      </c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</row>
    <row r="61">
      <c r="A61" s="789">
        <v>14.0</v>
      </c>
      <c r="B61" s="789">
        <f t="shared" si="14"/>
        <v>107799.75</v>
      </c>
      <c r="C61" s="789">
        <f t="shared" si="15"/>
        <v>95244</v>
      </c>
      <c r="D61" s="789">
        <f t="shared" si="12"/>
        <v>194297.76</v>
      </c>
      <c r="E61" s="789">
        <f t="shared" si="16"/>
        <v>42399</v>
      </c>
      <c r="F61" s="789">
        <f t="shared" si="13"/>
        <v>76000.5</v>
      </c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</row>
    <row r="62">
      <c r="A62" s="789">
        <v>15.0</v>
      </c>
      <c r="B62" s="789">
        <f t="shared" si="14"/>
        <v>79000.5</v>
      </c>
      <c r="C62" s="789">
        <f t="shared" si="15"/>
        <v>96644</v>
      </c>
      <c r="D62" s="789">
        <f t="shared" si="12"/>
        <v>197153.76</v>
      </c>
      <c r="E62" s="789">
        <f t="shared" si="16"/>
        <v>41399</v>
      </c>
      <c r="F62" s="789">
        <f t="shared" si="13"/>
        <v>47951.25</v>
      </c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</row>
    <row r="63">
      <c r="A63" s="789">
        <v>16.0</v>
      </c>
      <c r="B63" s="789">
        <f t="shared" si="14"/>
        <v>50951.25</v>
      </c>
      <c r="C63" s="789">
        <f t="shared" si="15"/>
        <v>100044</v>
      </c>
      <c r="D63" s="789">
        <f t="shared" si="12"/>
        <v>204089.76</v>
      </c>
      <c r="E63" s="789">
        <f t="shared" si="16"/>
        <v>40399</v>
      </c>
      <c r="F63" s="789">
        <f t="shared" si="13"/>
        <v>20652</v>
      </c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</row>
    <row r="64">
      <c r="A64" s="789">
        <v>17.0</v>
      </c>
      <c r="B64" s="789">
        <f t="shared" si="14"/>
        <v>23652</v>
      </c>
      <c r="C64" s="789">
        <f t="shared" si="15"/>
        <v>101444</v>
      </c>
      <c r="D64" s="789">
        <f t="shared" si="12"/>
        <v>206945.76</v>
      </c>
      <c r="E64" s="789">
        <f t="shared" si="16"/>
        <v>39399</v>
      </c>
      <c r="F64" s="789">
        <f t="shared" si="13"/>
        <v>0</v>
      </c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</row>
    <row r="65">
      <c r="A65" s="789">
        <v>18.0</v>
      </c>
      <c r="B65" s="789">
        <f t="shared" si="14"/>
        <v>0</v>
      </c>
      <c r="C65" s="789">
        <f t="shared" si="15"/>
        <v>0</v>
      </c>
      <c r="D65" s="789">
        <f t="shared" si="12"/>
        <v>0</v>
      </c>
      <c r="E65" s="789">
        <f t="shared" si="16"/>
        <v>0</v>
      </c>
      <c r="F65" s="789">
        <f t="shared" si="13"/>
        <v>0</v>
      </c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</row>
    <row r="66">
      <c r="A66" s="789">
        <v>19.0</v>
      </c>
      <c r="B66" s="789">
        <f t="shared" si="14"/>
        <v>0</v>
      </c>
      <c r="C66" s="789">
        <f t="shared" si="15"/>
        <v>0</v>
      </c>
      <c r="D66" s="789">
        <f t="shared" si="12"/>
        <v>0</v>
      </c>
      <c r="E66" s="789">
        <f t="shared" si="16"/>
        <v>0</v>
      </c>
      <c r="F66" s="789">
        <f t="shared" si="13"/>
        <v>0</v>
      </c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</row>
    <row r="67">
      <c r="A67" s="789">
        <v>20.0</v>
      </c>
      <c r="B67" s="789">
        <f t="shared" si="14"/>
        <v>0</v>
      </c>
      <c r="C67" s="789">
        <f t="shared" si="15"/>
        <v>0</v>
      </c>
      <c r="D67" s="789">
        <f t="shared" si="12"/>
        <v>0</v>
      </c>
      <c r="E67" s="789">
        <f t="shared" si="16"/>
        <v>0</v>
      </c>
      <c r="F67" s="789">
        <f t="shared" si="13"/>
        <v>0</v>
      </c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</sheetData>
  <dataValidations>
    <dataValidation type="list" allowBlank="1" showErrorMessage="1" sqref="G11:G23">
      <formula1>"S,A,B/A,B,C/B,C,D/B,D/C,D,F,TBD,Variable"</formula1>
    </dataValidation>
    <dataValidation type="list" allowBlank="1" showErrorMessage="1" sqref="A11:A14">
      <formula1>"St. Trinidad,Soleil Royal,Dragon Horse,Peacekeeper,Tridentman"</formula1>
    </dataValidation>
    <dataValidation type="list" allowBlank="1" showErrorMessage="1" sqref="B16">
      <formula1>"Battle of Baekgang,Battle of Actium,Battle of Noryang,Summit War,Battle of Trafalgar,Battle of Jutland,Carribean Battle,Battle of Leyte Gulf,Battle of Luermen,Battle of Gravelines,Treasure Battle,Battle of Diu,Battle of Sinop,Battle of Tangdao,Vikings,Bat"&amp;"tle of Lepanto,Battle of Gallipoli,Battle of Lissa,Philippine Sea Battle,Battle of Tsushima,Battle of Chesma,Battle of Navarino,Battle of Midway"</formula1>
    </dataValidation>
    <dataValidation type="list" allowBlank="1" showErrorMessage="1" sqref="B17">
      <formula1>"DMG REDUC,CRIT Rate,Armor Recovery"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9.82"/>
    <col customWidth="1" min="2" max="2" width="3.73"/>
    <col customWidth="1" min="3" max="3" width="3.09"/>
    <col customWidth="1" min="4" max="4" width="4.55"/>
    <col customWidth="1" min="5" max="5" width="2.73"/>
    <col customWidth="1" min="6" max="6" width="4.36"/>
    <col customWidth="1" min="7" max="7" width="2.73"/>
    <col customWidth="1" min="8" max="8" width="4.45"/>
    <col customWidth="1" min="9" max="9" width="2.73"/>
    <col customWidth="1" min="10" max="10" width="3.82"/>
    <col customWidth="1" min="11" max="11" width="2.73"/>
    <col customWidth="1" min="12" max="12" width="4.45"/>
    <col customWidth="1" min="13" max="13" width="2.73"/>
    <col customWidth="1" min="14" max="14" width="4.0"/>
    <col customWidth="1" min="15" max="15" width="2.73"/>
    <col customWidth="1" min="16" max="16" width="4.36"/>
    <col customWidth="1" min="17" max="17" width="2.73"/>
    <col customWidth="1" min="18" max="18" width="3.55"/>
    <col customWidth="1" min="19" max="19" width="5.27"/>
    <col customWidth="1" min="31" max="31" width="4.18"/>
    <col customWidth="1" min="32" max="32" width="4.09"/>
    <col customWidth="1" min="33" max="33" width="2.36"/>
    <col customWidth="1" min="34" max="34" width="6.91"/>
    <col customWidth="1" min="35" max="35" width="2.36"/>
    <col customWidth="1" min="36" max="36" width="6.0"/>
    <col customWidth="1" min="37" max="37" width="2.36"/>
    <col customWidth="1" min="38" max="38" width="6.18"/>
    <col customWidth="1" min="39" max="39" width="2.36"/>
    <col customWidth="1" min="40" max="40" width="4.73"/>
    <col customWidth="1" min="41" max="41" width="2.36"/>
    <col customWidth="1" min="42" max="42" width="4.91"/>
    <col customWidth="1" min="43" max="43" width="2.36"/>
    <col customWidth="1" min="44" max="44" width="4.82"/>
    <col customWidth="1" min="45" max="45" width="2.36"/>
    <col customWidth="1" min="47" max="48" width="2.36"/>
  </cols>
  <sheetData>
    <row r="1">
      <c r="A1" s="666" t="s">
        <v>4166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</row>
    <row r="2">
      <c r="S2" s="263"/>
      <c r="T2" s="263"/>
      <c r="U2" s="263"/>
      <c r="V2" s="263"/>
      <c r="W2" s="263"/>
      <c r="X2" s="134"/>
      <c r="Y2" s="134"/>
      <c r="Z2" s="134"/>
      <c r="AA2" s="134"/>
      <c r="AB2" s="134"/>
      <c r="AC2" s="134"/>
      <c r="AD2" s="134"/>
      <c r="AE2" s="1035" t="s">
        <v>4088</v>
      </c>
      <c r="AF2" s="1035" t="s">
        <v>4167</v>
      </c>
      <c r="AG2" s="1035"/>
      <c r="AH2" s="1035" t="s">
        <v>4168</v>
      </c>
      <c r="AI2" s="1035"/>
      <c r="AJ2" s="1035" t="s">
        <v>4169</v>
      </c>
      <c r="AK2" s="1035"/>
      <c r="AL2" s="1035" t="s">
        <v>4170</v>
      </c>
      <c r="AM2" s="1035"/>
      <c r="AN2" s="1035" t="s">
        <v>4171</v>
      </c>
      <c r="AO2" s="1035"/>
      <c r="AP2" s="1035" t="s">
        <v>4172</v>
      </c>
      <c r="AQ2" s="1035"/>
      <c r="AR2" s="1035" t="s">
        <v>4173</v>
      </c>
      <c r="AS2" s="1035"/>
      <c r="AT2" s="1035" t="s">
        <v>4174</v>
      </c>
      <c r="AU2" s="1035"/>
      <c r="AV2" s="263"/>
    </row>
    <row r="3">
      <c r="A3" s="1055" t="s">
        <v>4065</v>
      </c>
      <c r="B3" s="1055" t="s">
        <v>4167</v>
      </c>
      <c r="C3" s="1056"/>
      <c r="D3" s="1057" t="s">
        <v>4168</v>
      </c>
      <c r="E3" s="1058"/>
      <c r="F3" s="1055" t="s">
        <v>4169</v>
      </c>
      <c r="G3" s="1056"/>
      <c r="H3" s="1057" t="s">
        <v>4170</v>
      </c>
      <c r="I3" s="1058"/>
      <c r="J3" s="1055" t="s">
        <v>4171</v>
      </c>
      <c r="K3" s="1056"/>
      <c r="L3" s="1057" t="s">
        <v>4172</v>
      </c>
      <c r="M3" s="1058"/>
      <c r="N3" s="1055" t="s">
        <v>4173</v>
      </c>
      <c r="O3" s="1056"/>
      <c r="P3" s="1057" t="s">
        <v>4174</v>
      </c>
      <c r="Q3" s="1058"/>
      <c r="R3" s="782"/>
      <c r="S3" s="1059" t="s">
        <v>2518</v>
      </c>
      <c r="T3" s="1006" t="s">
        <v>4175</v>
      </c>
      <c r="U3" s="263"/>
      <c r="V3" s="263"/>
      <c r="W3" s="263"/>
      <c r="X3" s="263"/>
      <c r="Y3" s="134"/>
      <c r="Z3" s="134"/>
      <c r="AA3" s="134"/>
      <c r="AB3" s="134"/>
      <c r="AC3" s="134"/>
      <c r="AD3" s="134"/>
      <c r="AE3" s="134"/>
      <c r="AF3" s="789">
        <v>37.0</v>
      </c>
      <c r="AG3" s="789">
        <v>1480.0</v>
      </c>
      <c r="AH3" s="1035"/>
      <c r="AI3" s="789">
        <v>3552.0</v>
      </c>
      <c r="AJ3" s="1035"/>
      <c r="AK3" s="789">
        <v>11520.0</v>
      </c>
      <c r="AL3" s="789">
        <v>22.0</v>
      </c>
      <c r="AM3" s="789">
        <v>12496.0</v>
      </c>
      <c r="AN3" s="789">
        <v>40.0</v>
      </c>
      <c r="AO3" s="789">
        <v>2146.0</v>
      </c>
      <c r="AP3" s="1035"/>
      <c r="AQ3" s="789">
        <v>1813.0</v>
      </c>
      <c r="AR3" s="1035"/>
      <c r="AS3" s="789">
        <v>4440.0</v>
      </c>
      <c r="AT3" s="1035"/>
      <c r="AU3" s="789">
        <v>3071.0</v>
      </c>
      <c r="AV3" s="1035"/>
    </row>
    <row r="4">
      <c r="A4" s="1060" t="s">
        <v>3811</v>
      </c>
      <c r="B4" s="1060">
        <f t="shared" ref="B4:B24" si="1">(AG3-AH3*120)/$AF3</f>
        <v>40</v>
      </c>
      <c r="C4" s="1061" t="s">
        <v>4176</v>
      </c>
      <c r="D4" s="1062">
        <f t="shared" ref="D4:D24" si="2">(AI3-AJ3*120)/$AF3</f>
        <v>96</v>
      </c>
      <c r="E4" s="1062" t="s">
        <v>4177</v>
      </c>
      <c r="F4" s="1060">
        <f t="shared" ref="F4:F24" si="3">(AK3-AL3*120)/$AF3</f>
        <v>240</v>
      </c>
      <c r="G4" s="1061" t="s">
        <v>8</v>
      </c>
      <c r="H4" s="1062">
        <f t="shared" ref="H4:H24" si="4">(AM3-AN3*120)/$AF3</f>
        <v>208</v>
      </c>
      <c r="I4" s="1062" t="s">
        <v>54</v>
      </c>
      <c r="J4" s="1060">
        <f t="shared" ref="J4:J24" si="5">(AO3-AP3*120)/$AF3</f>
        <v>58</v>
      </c>
      <c r="K4" s="1061" t="s">
        <v>4176</v>
      </c>
      <c r="L4" s="1062">
        <f t="shared" ref="L4:L24" si="6">(AQ3-AR3*120)/$AF3</f>
        <v>49</v>
      </c>
      <c r="M4" s="1062" t="s">
        <v>4176</v>
      </c>
      <c r="N4" s="1060">
        <f t="shared" ref="N4:N24" si="7">(AS3-AT3*120)/$AF3</f>
        <v>120</v>
      </c>
      <c r="O4" s="1061" t="s">
        <v>417</v>
      </c>
      <c r="P4" s="1062">
        <f t="shared" ref="P4:P24" si="8">(AU3-AV3*120)/$AF3</f>
        <v>83</v>
      </c>
      <c r="Q4" s="1062" t="s">
        <v>4177</v>
      </c>
      <c r="R4" s="1063"/>
      <c r="S4" s="1061">
        <f t="shared" ref="S4:S24" si="9">B4+D4+F4+H4+J4+L4+N4+P4</f>
        <v>894</v>
      </c>
      <c r="T4" s="787">
        <f>F4+H4</f>
        <v>448</v>
      </c>
      <c r="U4" s="263"/>
      <c r="V4" s="263"/>
      <c r="W4" s="263"/>
      <c r="X4" s="263"/>
      <c r="Y4" s="134"/>
      <c r="Z4" s="134"/>
      <c r="AA4" s="134"/>
      <c r="AB4" s="134"/>
      <c r="AC4" s="134"/>
      <c r="AD4" s="134"/>
      <c r="AE4" s="134"/>
      <c r="AF4" s="789">
        <v>28.0</v>
      </c>
      <c r="AG4" s="789">
        <v>2352.0</v>
      </c>
      <c r="AH4" s="1035"/>
      <c r="AI4" s="789">
        <v>3388.0</v>
      </c>
      <c r="AJ4" s="1035"/>
      <c r="AK4" s="789">
        <v>9640.0</v>
      </c>
      <c r="AL4" s="789">
        <v>22.0</v>
      </c>
      <c r="AM4" s="789">
        <v>1232.0</v>
      </c>
      <c r="AN4" s="1035"/>
      <c r="AO4" s="789">
        <v>1716.0</v>
      </c>
      <c r="AP4" s="789">
        <v>1.0</v>
      </c>
      <c r="AQ4" s="789">
        <v>6524.0</v>
      </c>
      <c r="AR4" s="789">
        <v>14.0</v>
      </c>
      <c r="AS4" s="789">
        <v>1652.0</v>
      </c>
      <c r="AT4" s="1035"/>
      <c r="AU4" s="789">
        <v>2324.0</v>
      </c>
      <c r="AV4" s="1035"/>
    </row>
    <row r="5">
      <c r="A5" s="1064" t="s">
        <v>3814</v>
      </c>
      <c r="B5" s="1064">
        <f t="shared" si="1"/>
        <v>84</v>
      </c>
      <c r="C5" s="1065" t="s">
        <v>4177</v>
      </c>
      <c r="D5" s="1066">
        <f t="shared" si="2"/>
        <v>121</v>
      </c>
      <c r="E5" s="1066" t="s">
        <v>417</v>
      </c>
      <c r="F5" s="1064">
        <f t="shared" si="3"/>
        <v>250</v>
      </c>
      <c r="G5" s="1065" t="s">
        <v>8</v>
      </c>
      <c r="H5" s="1066">
        <f t="shared" si="4"/>
        <v>44</v>
      </c>
      <c r="I5" s="1066" t="s">
        <v>4176</v>
      </c>
      <c r="J5" s="1064">
        <f t="shared" si="5"/>
        <v>57</v>
      </c>
      <c r="K5" s="1065" t="s">
        <v>4176</v>
      </c>
      <c r="L5" s="1066">
        <f t="shared" si="6"/>
        <v>173</v>
      </c>
      <c r="M5" s="1066" t="s">
        <v>96</v>
      </c>
      <c r="N5" s="1064">
        <f t="shared" si="7"/>
        <v>59</v>
      </c>
      <c r="O5" s="1065" t="s">
        <v>4176</v>
      </c>
      <c r="P5" s="1066">
        <f t="shared" si="8"/>
        <v>83</v>
      </c>
      <c r="Q5" s="1066" t="s">
        <v>4177</v>
      </c>
      <c r="R5" s="1063"/>
      <c r="S5" s="1065">
        <f t="shared" si="9"/>
        <v>871</v>
      </c>
      <c r="T5" s="787">
        <f>F5+L5</f>
        <v>423</v>
      </c>
      <c r="U5" s="263"/>
      <c r="V5" s="263"/>
      <c r="W5" s="263"/>
      <c r="X5" s="263"/>
      <c r="Y5" s="134"/>
      <c r="Z5" s="134"/>
      <c r="AA5" s="134"/>
      <c r="AB5" s="134"/>
      <c r="AC5" s="134"/>
      <c r="AD5" s="134"/>
      <c r="AE5" s="134"/>
      <c r="AF5" s="789">
        <v>24.0</v>
      </c>
      <c r="AG5" s="789">
        <v>1176.0</v>
      </c>
      <c r="AH5" s="1035"/>
      <c r="AI5" s="789">
        <v>1128.0</v>
      </c>
      <c r="AJ5" s="1035"/>
      <c r="AK5" s="789">
        <v>2232.0</v>
      </c>
      <c r="AL5" s="789">
        <v>1.0</v>
      </c>
      <c r="AM5" s="789">
        <v>2952.0</v>
      </c>
      <c r="AN5" s="1035"/>
      <c r="AO5" s="789">
        <v>2136.0</v>
      </c>
      <c r="AP5" s="1035"/>
      <c r="AQ5" s="789">
        <v>8880.0</v>
      </c>
      <c r="AR5" s="789">
        <v>26.0</v>
      </c>
      <c r="AS5" s="789">
        <v>1344.0</v>
      </c>
      <c r="AT5" s="1035"/>
      <c r="AU5" s="789">
        <v>4416.0</v>
      </c>
      <c r="AV5" s="789">
        <v>1.0</v>
      </c>
    </row>
    <row r="6">
      <c r="A6" s="1060" t="s">
        <v>4077</v>
      </c>
      <c r="B6" s="1060">
        <f t="shared" si="1"/>
        <v>49</v>
      </c>
      <c r="C6" s="1061" t="s">
        <v>4176</v>
      </c>
      <c r="D6" s="1062">
        <f t="shared" si="2"/>
        <v>47</v>
      </c>
      <c r="E6" s="1062" t="s">
        <v>4176</v>
      </c>
      <c r="F6" s="1060">
        <f t="shared" si="3"/>
        <v>88</v>
      </c>
      <c r="G6" s="1061" t="s">
        <v>4177</v>
      </c>
      <c r="H6" s="1062">
        <f t="shared" si="4"/>
        <v>123</v>
      </c>
      <c r="I6" s="1062" t="s">
        <v>417</v>
      </c>
      <c r="J6" s="1060">
        <f t="shared" si="5"/>
        <v>89</v>
      </c>
      <c r="K6" s="1061" t="s">
        <v>4177</v>
      </c>
      <c r="L6" s="1062">
        <f t="shared" si="6"/>
        <v>240</v>
      </c>
      <c r="M6" s="1062" t="s">
        <v>8</v>
      </c>
      <c r="N6" s="1060">
        <f t="shared" si="7"/>
        <v>56</v>
      </c>
      <c r="O6" s="1061" t="s">
        <v>4176</v>
      </c>
      <c r="P6" s="1062">
        <f t="shared" si="8"/>
        <v>179</v>
      </c>
      <c r="Q6" s="1062" t="s">
        <v>96</v>
      </c>
      <c r="R6" s="1063"/>
      <c r="S6" s="1061">
        <f t="shared" si="9"/>
        <v>871</v>
      </c>
      <c r="T6" s="787">
        <f>L6+P6</f>
        <v>419</v>
      </c>
      <c r="U6" s="263"/>
      <c r="V6" s="263"/>
      <c r="W6" s="263"/>
      <c r="X6" s="263"/>
      <c r="Y6" s="134"/>
      <c r="Z6" s="134"/>
      <c r="AA6" s="134"/>
      <c r="AB6" s="134"/>
      <c r="AC6" s="134"/>
      <c r="AD6" s="134"/>
      <c r="AE6" s="134"/>
      <c r="AF6" s="789">
        <v>36.0</v>
      </c>
      <c r="AG6" s="789">
        <v>4968.0</v>
      </c>
      <c r="AH6" s="1035"/>
      <c r="AI6" s="789">
        <v>684.0</v>
      </c>
      <c r="AJ6" s="1035"/>
      <c r="AK6" s="789">
        <v>8640.0</v>
      </c>
      <c r="AL6" s="789">
        <v>12.0</v>
      </c>
      <c r="AM6" s="789">
        <v>3348.0</v>
      </c>
      <c r="AN6" s="1035"/>
      <c r="AO6" s="789">
        <v>2664.0</v>
      </c>
      <c r="AP6" s="789">
        <v>9.0</v>
      </c>
      <c r="AQ6" s="789">
        <v>3600.0</v>
      </c>
      <c r="AR6" s="1035"/>
      <c r="AS6" s="789">
        <v>10068.0</v>
      </c>
      <c r="AT6" s="789">
        <v>20.0</v>
      </c>
      <c r="AU6" s="789">
        <v>1836.0</v>
      </c>
      <c r="AV6" s="1035"/>
    </row>
    <row r="7">
      <c r="A7" s="1064" t="s">
        <v>4178</v>
      </c>
      <c r="B7" s="1064">
        <f t="shared" si="1"/>
        <v>138</v>
      </c>
      <c r="C7" s="1065" t="s">
        <v>417</v>
      </c>
      <c r="D7" s="1066">
        <f t="shared" si="2"/>
        <v>19</v>
      </c>
      <c r="E7" s="1066" t="s">
        <v>4179</v>
      </c>
      <c r="F7" s="1064">
        <f t="shared" si="3"/>
        <v>200</v>
      </c>
      <c r="G7" s="1065" t="s">
        <v>54</v>
      </c>
      <c r="H7" s="1066">
        <f t="shared" si="4"/>
        <v>93</v>
      </c>
      <c r="I7" s="1066" t="s">
        <v>4177</v>
      </c>
      <c r="J7" s="1064">
        <f t="shared" si="5"/>
        <v>44</v>
      </c>
      <c r="K7" s="1065" t="s">
        <v>4176</v>
      </c>
      <c r="L7" s="1066">
        <f t="shared" si="6"/>
        <v>100</v>
      </c>
      <c r="M7" s="1066" t="s">
        <v>4177</v>
      </c>
      <c r="N7" s="1064">
        <f t="shared" si="7"/>
        <v>213</v>
      </c>
      <c r="O7" s="1065" t="s">
        <v>54</v>
      </c>
      <c r="P7" s="1066">
        <f t="shared" si="8"/>
        <v>51</v>
      </c>
      <c r="Q7" s="1066" t="s">
        <v>4176</v>
      </c>
      <c r="R7" s="1063"/>
      <c r="S7" s="1065">
        <f t="shared" si="9"/>
        <v>858</v>
      </c>
      <c r="T7" s="787">
        <f>F7+N7</f>
        <v>413</v>
      </c>
      <c r="U7" s="263"/>
      <c r="V7" s="263"/>
      <c r="W7" s="263"/>
      <c r="X7" s="263"/>
      <c r="Y7" s="134"/>
      <c r="Z7" s="134"/>
      <c r="AA7" s="134"/>
      <c r="AB7" s="134"/>
      <c r="AC7" s="134"/>
      <c r="AD7" s="134"/>
      <c r="AE7" s="134"/>
      <c r="AF7" s="789">
        <v>34.0</v>
      </c>
      <c r="AG7" s="789">
        <v>1768.0</v>
      </c>
      <c r="AH7" s="1035"/>
      <c r="AI7" s="789">
        <v>7080.0</v>
      </c>
      <c r="AJ7" s="789">
        <v>8.0</v>
      </c>
      <c r="AK7" s="789">
        <v>3298.0</v>
      </c>
      <c r="AL7" s="1035"/>
      <c r="AM7" s="789">
        <v>3162.0</v>
      </c>
      <c r="AN7" s="1035"/>
      <c r="AO7" s="789">
        <v>1854.0</v>
      </c>
      <c r="AP7" s="789">
        <v>1.0</v>
      </c>
      <c r="AQ7" s="789">
        <v>1360.0</v>
      </c>
      <c r="AR7" s="1035"/>
      <c r="AS7" s="789">
        <v>8992.0</v>
      </c>
      <c r="AT7" s="789">
        <v>16.0</v>
      </c>
      <c r="AU7" s="789">
        <v>4726.0</v>
      </c>
      <c r="AV7" s="1035"/>
    </row>
    <row r="8">
      <c r="A8" s="1060" t="s">
        <v>3699</v>
      </c>
      <c r="B8" s="1060">
        <f t="shared" si="1"/>
        <v>52</v>
      </c>
      <c r="C8" s="1061" t="s">
        <v>4176</v>
      </c>
      <c r="D8" s="1062">
        <f t="shared" si="2"/>
        <v>180</v>
      </c>
      <c r="E8" s="1062" t="s">
        <v>96</v>
      </c>
      <c r="F8" s="1060">
        <f t="shared" si="3"/>
        <v>97</v>
      </c>
      <c r="G8" s="1061" t="s">
        <v>4177</v>
      </c>
      <c r="H8" s="1062">
        <f t="shared" si="4"/>
        <v>93</v>
      </c>
      <c r="I8" s="1062" t="s">
        <v>4177</v>
      </c>
      <c r="J8" s="1060">
        <f t="shared" si="5"/>
        <v>51</v>
      </c>
      <c r="K8" s="1061" t="s">
        <v>4176</v>
      </c>
      <c r="L8" s="1062">
        <f t="shared" si="6"/>
        <v>40</v>
      </c>
      <c r="M8" s="1062" t="s">
        <v>4176</v>
      </c>
      <c r="N8" s="1060">
        <f t="shared" si="7"/>
        <v>208</v>
      </c>
      <c r="O8" s="1061" t="s">
        <v>54</v>
      </c>
      <c r="P8" s="1062">
        <f t="shared" si="8"/>
        <v>139</v>
      </c>
      <c r="Q8" s="1062" t="s">
        <v>417</v>
      </c>
      <c r="R8" s="1063"/>
      <c r="S8" s="1061">
        <f t="shared" si="9"/>
        <v>860</v>
      </c>
      <c r="T8" s="787">
        <f>D8+N8</f>
        <v>388</v>
      </c>
      <c r="U8" s="263"/>
      <c r="V8" s="263"/>
      <c r="W8" s="263"/>
      <c r="X8" s="263"/>
      <c r="Y8" s="134"/>
      <c r="Z8" s="134"/>
      <c r="AA8" s="134"/>
      <c r="AB8" s="134"/>
      <c r="AC8" s="134"/>
      <c r="AD8" s="134"/>
      <c r="AE8" s="134"/>
      <c r="AF8" s="789">
        <v>24.0</v>
      </c>
      <c r="AG8" s="789">
        <v>1416.0</v>
      </c>
      <c r="AH8" s="1035"/>
      <c r="AI8" s="789">
        <v>1008.0</v>
      </c>
      <c r="AJ8" s="1035"/>
      <c r="AK8" s="789">
        <v>1320.0</v>
      </c>
      <c r="AL8" s="1035"/>
      <c r="AM8" s="789">
        <v>2016.0</v>
      </c>
      <c r="AN8" s="1035"/>
      <c r="AO8" s="789">
        <v>10560.0</v>
      </c>
      <c r="AP8" s="789">
        <v>40.0</v>
      </c>
      <c r="AQ8" s="789">
        <v>2112.0</v>
      </c>
      <c r="AR8" s="1035"/>
      <c r="AS8" s="789">
        <v>2904.0</v>
      </c>
      <c r="AT8" s="1035"/>
      <c r="AU8" s="789">
        <v>4488.0</v>
      </c>
      <c r="AV8" s="789">
        <v>2.0</v>
      </c>
    </row>
    <row r="9">
      <c r="A9" s="1064" t="s">
        <v>3918</v>
      </c>
      <c r="B9" s="1064">
        <f t="shared" si="1"/>
        <v>59</v>
      </c>
      <c r="C9" s="1065" t="s">
        <v>4176</v>
      </c>
      <c r="D9" s="1066">
        <f t="shared" si="2"/>
        <v>42</v>
      </c>
      <c r="E9" s="1066" t="s">
        <v>4176</v>
      </c>
      <c r="F9" s="1064">
        <f t="shared" si="3"/>
        <v>55</v>
      </c>
      <c r="G9" s="1065" t="s">
        <v>4176</v>
      </c>
      <c r="H9" s="1066">
        <f t="shared" si="4"/>
        <v>84</v>
      </c>
      <c r="I9" s="1066" t="s">
        <v>4177</v>
      </c>
      <c r="J9" s="1064">
        <f t="shared" si="5"/>
        <v>240</v>
      </c>
      <c r="K9" s="1065" t="s">
        <v>8</v>
      </c>
      <c r="L9" s="1066">
        <f t="shared" si="6"/>
        <v>88</v>
      </c>
      <c r="M9" s="1066" t="s">
        <v>4177</v>
      </c>
      <c r="N9" s="1064">
        <f t="shared" si="7"/>
        <v>121</v>
      </c>
      <c r="O9" s="1065" t="s">
        <v>417</v>
      </c>
      <c r="P9" s="1066">
        <f t="shared" si="8"/>
        <v>177</v>
      </c>
      <c r="Q9" s="1066" t="s">
        <v>96</v>
      </c>
      <c r="R9" s="1063"/>
      <c r="S9" s="1065">
        <f t="shared" si="9"/>
        <v>866</v>
      </c>
      <c r="T9" s="787">
        <f>J9+P9</f>
        <v>417</v>
      </c>
      <c r="U9" s="263"/>
      <c r="V9" s="263"/>
      <c r="W9" s="263"/>
      <c r="X9" s="263"/>
      <c r="Y9" s="134"/>
      <c r="Z9" s="134"/>
      <c r="AA9" s="134"/>
      <c r="AB9" s="134"/>
      <c r="AC9" s="134"/>
      <c r="AD9" s="134"/>
      <c r="AE9" s="134"/>
      <c r="AF9" s="789">
        <v>23.0</v>
      </c>
      <c r="AG9" s="789">
        <v>9950.0</v>
      </c>
      <c r="AH9" s="789">
        <v>35.0</v>
      </c>
      <c r="AI9" s="789">
        <v>1242.0</v>
      </c>
      <c r="AJ9" s="1035"/>
      <c r="AK9" s="789">
        <v>1265.0</v>
      </c>
      <c r="AL9" s="1035"/>
      <c r="AM9" s="789">
        <v>1104.0</v>
      </c>
      <c r="AN9" s="1035"/>
      <c r="AO9" s="789">
        <v>3498.0</v>
      </c>
      <c r="AP9" s="789">
        <v>5.0</v>
      </c>
      <c r="AQ9" s="789">
        <v>3915.0</v>
      </c>
      <c r="AR9" s="789">
        <v>1.0</v>
      </c>
      <c r="AS9" s="789">
        <v>2024.0</v>
      </c>
      <c r="AT9" s="1035"/>
      <c r="AU9" s="789">
        <v>2024.0</v>
      </c>
      <c r="AV9" s="1035"/>
    </row>
    <row r="10">
      <c r="A10" s="1060" t="s">
        <v>3970</v>
      </c>
      <c r="B10" s="1060">
        <f t="shared" si="1"/>
        <v>250</v>
      </c>
      <c r="C10" s="1061" t="s">
        <v>8</v>
      </c>
      <c r="D10" s="1062">
        <f t="shared" si="2"/>
        <v>54</v>
      </c>
      <c r="E10" s="1062" t="s">
        <v>4176</v>
      </c>
      <c r="F10" s="1060">
        <f t="shared" si="3"/>
        <v>55</v>
      </c>
      <c r="G10" s="1061" t="s">
        <v>4176</v>
      </c>
      <c r="H10" s="1062">
        <f t="shared" si="4"/>
        <v>48</v>
      </c>
      <c r="I10" s="1062" t="s">
        <v>4176</v>
      </c>
      <c r="J10" s="1060">
        <f t="shared" si="5"/>
        <v>126</v>
      </c>
      <c r="K10" s="1061" t="s">
        <v>417</v>
      </c>
      <c r="L10" s="1062">
        <f t="shared" si="6"/>
        <v>165</v>
      </c>
      <c r="M10" s="1062" t="s">
        <v>96</v>
      </c>
      <c r="N10" s="1060">
        <f t="shared" si="7"/>
        <v>88</v>
      </c>
      <c r="O10" s="1061" t="s">
        <v>4177</v>
      </c>
      <c r="P10" s="1062">
        <f t="shared" si="8"/>
        <v>88</v>
      </c>
      <c r="Q10" s="1062" t="s">
        <v>4177</v>
      </c>
      <c r="R10" s="1063"/>
      <c r="S10" s="1061">
        <f t="shared" si="9"/>
        <v>874</v>
      </c>
      <c r="T10" s="787">
        <f t="shared" ref="T10:T11" si="10">B10+L10</f>
        <v>415</v>
      </c>
      <c r="U10" s="263"/>
      <c r="V10" s="263"/>
      <c r="W10" s="263"/>
      <c r="X10" s="263"/>
      <c r="Y10" s="134"/>
      <c r="Z10" s="134"/>
      <c r="AA10" s="134"/>
      <c r="AB10" s="134"/>
      <c r="AC10" s="134"/>
      <c r="AD10" s="134"/>
      <c r="AE10" s="134"/>
      <c r="AF10" s="789">
        <v>19.0</v>
      </c>
      <c r="AG10" s="789">
        <v>6944.0</v>
      </c>
      <c r="AH10" s="789">
        <v>30.0</v>
      </c>
      <c r="AI10" s="789">
        <v>760.0</v>
      </c>
      <c r="AJ10" s="1035"/>
      <c r="AK10" s="789">
        <v>798.0</v>
      </c>
      <c r="AL10" s="1035"/>
      <c r="AM10" s="789">
        <v>1900.0</v>
      </c>
      <c r="AN10" s="1035"/>
      <c r="AO10" s="789">
        <v>1140.0</v>
      </c>
      <c r="AP10" s="1035"/>
      <c r="AQ10" s="789">
        <v>8350.0</v>
      </c>
      <c r="AR10" s="789">
        <v>30.0</v>
      </c>
      <c r="AS10" s="789">
        <v>1653.0</v>
      </c>
      <c r="AT10" s="1035"/>
      <c r="AU10" s="789">
        <v>2622.0</v>
      </c>
      <c r="AV10" s="1035"/>
    </row>
    <row r="11">
      <c r="A11" s="1064" t="s">
        <v>1730</v>
      </c>
      <c r="B11" s="1064">
        <f t="shared" si="1"/>
        <v>176</v>
      </c>
      <c r="C11" s="1065" t="s">
        <v>96</v>
      </c>
      <c r="D11" s="1066">
        <f t="shared" si="2"/>
        <v>40</v>
      </c>
      <c r="E11" s="1066" t="s">
        <v>4176</v>
      </c>
      <c r="F11" s="1064">
        <f t="shared" si="3"/>
        <v>42</v>
      </c>
      <c r="G11" s="1065" t="s">
        <v>4176</v>
      </c>
      <c r="H11" s="1066">
        <f t="shared" si="4"/>
        <v>100</v>
      </c>
      <c r="I11" s="1066" t="s">
        <v>4177</v>
      </c>
      <c r="J11" s="1064">
        <f t="shared" si="5"/>
        <v>60</v>
      </c>
      <c r="K11" s="1065" t="s">
        <v>4176</v>
      </c>
      <c r="L11" s="1066">
        <f t="shared" si="6"/>
        <v>250</v>
      </c>
      <c r="M11" s="1066" t="s">
        <v>8</v>
      </c>
      <c r="N11" s="1064">
        <f t="shared" si="7"/>
        <v>87</v>
      </c>
      <c r="O11" s="1065" t="s">
        <v>4177</v>
      </c>
      <c r="P11" s="1066">
        <f t="shared" si="8"/>
        <v>138</v>
      </c>
      <c r="Q11" s="1066" t="s">
        <v>417</v>
      </c>
      <c r="R11" s="1063"/>
      <c r="S11" s="1065">
        <f t="shared" si="9"/>
        <v>893</v>
      </c>
      <c r="T11" s="787">
        <f t="shared" si="10"/>
        <v>426</v>
      </c>
      <c r="U11" s="263"/>
      <c r="V11" s="263"/>
      <c r="W11" s="263"/>
      <c r="X11" s="263"/>
      <c r="Y11" s="134"/>
      <c r="Z11" s="134"/>
      <c r="AA11" s="134"/>
      <c r="AB11" s="134"/>
      <c r="AC11" s="134"/>
      <c r="AD11" s="134"/>
      <c r="AE11" s="134"/>
      <c r="AF11" s="789">
        <v>30.0</v>
      </c>
      <c r="AG11" s="789">
        <v>1800.0</v>
      </c>
      <c r="AH11" s="1035"/>
      <c r="AI11" s="789">
        <v>4200.0</v>
      </c>
      <c r="AJ11" s="1035"/>
      <c r="AK11" s="789">
        <v>3000.0</v>
      </c>
      <c r="AL11" s="1035"/>
      <c r="AM11" s="789">
        <v>11940.0</v>
      </c>
      <c r="AN11" s="789">
        <v>37.0</v>
      </c>
      <c r="AO11" s="789">
        <v>7560.0</v>
      </c>
      <c r="AP11" s="789">
        <v>18.0</v>
      </c>
      <c r="AQ11" s="789">
        <v>2940.0</v>
      </c>
      <c r="AR11" s="1035"/>
      <c r="AS11" s="789">
        <v>210.0</v>
      </c>
      <c r="AT11" s="1035"/>
      <c r="AU11" s="789">
        <v>1410.0</v>
      </c>
      <c r="AV11" s="1035"/>
    </row>
    <row r="12">
      <c r="A12" s="1060" t="s">
        <v>4180</v>
      </c>
      <c r="B12" s="1060">
        <f t="shared" si="1"/>
        <v>60</v>
      </c>
      <c r="C12" s="1061" t="s">
        <v>4176</v>
      </c>
      <c r="D12" s="1062">
        <f t="shared" si="2"/>
        <v>140</v>
      </c>
      <c r="E12" s="1062" t="s">
        <v>417</v>
      </c>
      <c r="F12" s="1060">
        <f t="shared" si="3"/>
        <v>100</v>
      </c>
      <c r="G12" s="1061" t="s">
        <v>4177</v>
      </c>
      <c r="H12" s="1062">
        <f t="shared" si="4"/>
        <v>250</v>
      </c>
      <c r="I12" s="1062" t="s">
        <v>8</v>
      </c>
      <c r="J12" s="1060">
        <f t="shared" si="5"/>
        <v>180</v>
      </c>
      <c r="K12" s="1061" t="s">
        <v>96</v>
      </c>
      <c r="L12" s="1062">
        <f t="shared" si="6"/>
        <v>98</v>
      </c>
      <c r="M12" s="1062" t="s">
        <v>4177</v>
      </c>
      <c r="N12" s="1060">
        <f t="shared" si="7"/>
        <v>7</v>
      </c>
      <c r="O12" s="1061" t="s">
        <v>4179</v>
      </c>
      <c r="P12" s="1062">
        <f t="shared" si="8"/>
        <v>47</v>
      </c>
      <c r="Q12" s="1062" t="s">
        <v>4176</v>
      </c>
      <c r="R12" s="1063"/>
      <c r="S12" s="1061">
        <f t="shared" si="9"/>
        <v>882</v>
      </c>
      <c r="T12" s="787">
        <f t="shared" ref="T12:T13" si="11">H12+J12</f>
        <v>430</v>
      </c>
      <c r="U12" s="263"/>
      <c r="V12" s="263"/>
      <c r="W12" s="263"/>
      <c r="X12" s="263"/>
      <c r="Y12" s="134"/>
      <c r="Z12" s="134"/>
      <c r="AA12" s="134"/>
      <c r="AB12" s="134"/>
      <c r="AC12" s="134"/>
      <c r="AD12" s="134"/>
      <c r="AE12" s="134"/>
      <c r="AF12" s="789">
        <v>30.0</v>
      </c>
      <c r="AG12" s="789">
        <v>1740.0</v>
      </c>
      <c r="AH12" s="1035"/>
      <c r="AI12" s="789">
        <v>3000.0</v>
      </c>
      <c r="AJ12" s="1035"/>
      <c r="AK12" s="789">
        <v>1800.0</v>
      </c>
      <c r="AL12" s="1035"/>
      <c r="AM12" s="789">
        <v>5640.0</v>
      </c>
      <c r="AN12" s="789">
        <v>2.0</v>
      </c>
      <c r="AO12" s="789">
        <v>11100.0</v>
      </c>
      <c r="AP12" s="789">
        <v>30.0</v>
      </c>
      <c r="AQ12" s="789">
        <v>4200.0</v>
      </c>
      <c r="AR12" s="1035"/>
      <c r="AS12" s="789">
        <v>150.0</v>
      </c>
      <c r="AT12" s="1035"/>
      <c r="AU12" s="789">
        <v>1800.0</v>
      </c>
      <c r="AV12" s="1035"/>
    </row>
    <row r="13">
      <c r="A13" s="1064" t="s">
        <v>4181</v>
      </c>
      <c r="B13" s="1064">
        <f t="shared" si="1"/>
        <v>58</v>
      </c>
      <c r="C13" s="1065" t="s">
        <v>4176</v>
      </c>
      <c r="D13" s="1066">
        <f t="shared" si="2"/>
        <v>100</v>
      </c>
      <c r="E13" s="1066" t="s">
        <v>4177</v>
      </c>
      <c r="F13" s="1064">
        <f t="shared" si="3"/>
        <v>60</v>
      </c>
      <c r="G13" s="1065" t="s">
        <v>4176</v>
      </c>
      <c r="H13" s="1066">
        <f t="shared" si="4"/>
        <v>180</v>
      </c>
      <c r="I13" s="1066" t="s">
        <v>96</v>
      </c>
      <c r="J13" s="1064">
        <f t="shared" si="5"/>
        <v>250</v>
      </c>
      <c r="K13" s="1065" t="s">
        <v>8</v>
      </c>
      <c r="L13" s="1066">
        <f t="shared" si="6"/>
        <v>140</v>
      </c>
      <c r="M13" s="1066" t="s">
        <v>417</v>
      </c>
      <c r="N13" s="1064">
        <f t="shared" si="7"/>
        <v>5</v>
      </c>
      <c r="O13" s="1065" t="s">
        <v>4179</v>
      </c>
      <c r="P13" s="1066">
        <f t="shared" si="8"/>
        <v>60</v>
      </c>
      <c r="Q13" s="1066" t="s">
        <v>4176</v>
      </c>
      <c r="R13" s="1063"/>
      <c r="S13" s="1065">
        <f t="shared" si="9"/>
        <v>853</v>
      </c>
      <c r="T13" s="787">
        <f t="shared" si="11"/>
        <v>430</v>
      </c>
      <c r="U13" s="263"/>
      <c r="V13" s="263"/>
      <c r="W13" s="263"/>
      <c r="X13" s="1037"/>
      <c r="Y13" s="134"/>
      <c r="Z13" s="134"/>
      <c r="AA13" s="134"/>
      <c r="AB13" s="134"/>
      <c r="AC13" s="134"/>
      <c r="AD13" s="134"/>
      <c r="AE13" s="134"/>
      <c r="AF13" s="789">
        <v>32.0</v>
      </c>
      <c r="AG13" s="789">
        <v>4448.0</v>
      </c>
      <c r="AH13" s="1035"/>
      <c r="AI13" s="789">
        <v>2848.0</v>
      </c>
      <c r="AJ13" s="1035"/>
      <c r="AK13" s="789">
        <v>3072.0</v>
      </c>
      <c r="AL13" s="1035"/>
      <c r="AM13" s="789">
        <v>1696.0</v>
      </c>
      <c r="AN13" s="1035"/>
      <c r="AO13" s="789">
        <v>2000.0</v>
      </c>
      <c r="AP13" s="789">
        <v>6.0</v>
      </c>
      <c r="AQ13" s="789">
        <v>1600.0</v>
      </c>
      <c r="AR13" s="1035"/>
      <c r="AS13" s="789">
        <v>5656.0</v>
      </c>
      <c r="AT13" s="789">
        <v>1.0</v>
      </c>
      <c r="AU13" s="789">
        <v>11720.0</v>
      </c>
      <c r="AV13" s="789">
        <v>31.0</v>
      </c>
    </row>
    <row r="14">
      <c r="A14" s="1060" t="s">
        <v>3917</v>
      </c>
      <c r="B14" s="1060">
        <f t="shared" si="1"/>
        <v>139</v>
      </c>
      <c r="C14" s="1061" t="s">
        <v>417</v>
      </c>
      <c r="D14" s="1062">
        <f t="shared" si="2"/>
        <v>89</v>
      </c>
      <c r="E14" s="1062" t="s">
        <v>4177</v>
      </c>
      <c r="F14" s="1060">
        <f t="shared" si="3"/>
        <v>96</v>
      </c>
      <c r="G14" s="1061" t="s">
        <v>4177</v>
      </c>
      <c r="H14" s="1062">
        <f t="shared" si="4"/>
        <v>53</v>
      </c>
      <c r="I14" s="1062" t="s">
        <v>4176</v>
      </c>
      <c r="J14" s="1060">
        <f t="shared" si="5"/>
        <v>40</v>
      </c>
      <c r="K14" s="1061" t="s">
        <v>4176</v>
      </c>
      <c r="L14" s="1062">
        <f t="shared" si="6"/>
        <v>50</v>
      </c>
      <c r="M14" s="1062" t="s">
        <v>4176</v>
      </c>
      <c r="N14" s="1060">
        <f t="shared" si="7"/>
        <v>173</v>
      </c>
      <c r="O14" s="1061" t="s">
        <v>96</v>
      </c>
      <c r="P14" s="1062">
        <f t="shared" si="8"/>
        <v>250</v>
      </c>
      <c r="Q14" s="1062" t="s">
        <v>8</v>
      </c>
      <c r="R14" s="1063"/>
      <c r="S14" s="1061">
        <f t="shared" si="9"/>
        <v>890</v>
      </c>
      <c r="T14" s="787">
        <f>N14+P14</f>
        <v>423</v>
      </c>
      <c r="U14" s="263"/>
      <c r="V14" s="263"/>
      <c r="W14" s="263"/>
      <c r="X14" s="263"/>
      <c r="Y14" s="134"/>
      <c r="Z14" s="134"/>
      <c r="AA14" s="134"/>
      <c r="AB14" s="134"/>
      <c r="AC14" s="134"/>
      <c r="AD14" s="134"/>
      <c r="AE14" s="134"/>
      <c r="AF14" s="789">
        <v>33.0</v>
      </c>
      <c r="AG14" s="789">
        <v>1881.0</v>
      </c>
      <c r="AH14" s="1035"/>
      <c r="AI14" s="789">
        <v>9330.0</v>
      </c>
      <c r="AJ14" s="789">
        <v>20.0</v>
      </c>
      <c r="AK14" s="789">
        <v>2871.0</v>
      </c>
      <c r="AL14" s="1035"/>
      <c r="AM14" s="789">
        <v>3102.0</v>
      </c>
      <c r="AN14" s="1035"/>
      <c r="AO14" s="789">
        <v>1452.0</v>
      </c>
      <c r="AP14" s="1035"/>
      <c r="AQ14" s="789">
        <v>4224.0</v>
      </c>
      <c r="AR14" s="1035"/>
      <c r="AS14" s="789">
        <v>1551.0</v>
      </c>
      <c r="AT14" s="1035"/>
      <c r="AU14" s="789">
        <v>9384.0</v>
      </c>
      <c r="AV14" s="789">
        <v>21.0</v>
      </c>
    </row>
    <row r="15">
      <c r="A15" s="1064" t="s">
        <v>3758</v>
      </c>
      <c r="B15" s="1064">
        <f t="shared" si="1"/>
        <v>57</v>
      </c>
      <c r="C15" s="1065" t="s">
        <v>4176</v>
      </c>
      <c r="D15" s="1066">
        <f t="shared" si="2"/>
        <v>210</v>
      </c>
      <c r="E15" s="1066" t="s">
        <v>54</v>
      </c>
      <c r="F15" s="1064">
        <f t="shared" si="3"/>
        <v>87</v>
      </c>
      <c r="G15" s="1065" t="s">
        <v>4177</v>
      </c>
      <c r="H15" s="1066">
        <f t="shared" si="4"/>
        <v>94</v>
      </c>
      <c r="I15" s="1066" t="s">
        <v>4177</v>
      </c>
      <c r="J15" s="1064">
        <f t="shared" si="5"/>
        <v>44</v>
      </c>
      <c r="K15" s="1065" t="s">
        <v>4176</v>
      </c>
      <c r="L15" s="1066">
        <f t="shared" si="6"/>
        <v>128</v>
      </c>
      <c r="M15" s="1066" t="s">
        <v>417</v>
      </c>
      <c r="N15" s="1064">
        <f t="shared" si="7"/>
        <v>47</v>
      </c>
      <c r="O15" s="1065" t="s">
        <v>4176</v>
      </c>
      <c r="P15" s="1066">
        <f t="shared" si="8"/>
        <v>208</v>
      </c>
      <c r="Q15" s="1066" t="s">
        <v>54</v>
      </c>
      <c r="R15" s="1063"/>
      <c r="S15" s="1065">
        <f t="shared" si="9"/>
        <v>875</v>
      </c>
      <c r="T15" s="787">
        <f>D15+P15</f>
        <v>418</v>
      </c>
      <c r="U15" s="263"/>
      <c r="V15" s="263"/>
      <c r="W15" s="263"/>
      <c r="X15" s="263"/>
      <c r="Y15" s="134"/>
      <c r="Z15" s="134"/>
      <c r="AA15" s="134"/>
      <c r="AB15" s="134"/>
      <c r="AC15" s="134"/>
      <c r="AD15" s="134"/>
      <c r="AE15" s="134"/>
      <c r="AF15" s="789">
        <v>30.0</v>
      </c>
      <c r="AG15" s="789">
        <v>2490.0</v>
      </c>
      <c r="AH15" s="1035"/>
      <c r="AI15" s="789">
        <v>1200.0</v>
      </c>
      <c r="AJ15" s="1035"/>
      <c r="AK15" s="789">
        <v>1290.0</v>
      </c>
      <c r="AL15" s="1035"/>
      <c r="AM15" s="789">
        <v>5220.0</v>
      </c>
      <c r="AN15" s="789">
        <v>3.0</v>
      </c>
      <c r="AO15" s="789">
        <v>7350.0</v>
      </c>
      <c r="AP15" s="789">
        <v>20.0</v>
      </c>
      <c r="AQ15" s="789">
        <v>2520.0</v>
      </c>
      <c r="AR15" s="1035"/>
      <c r="AS15" s="789">
        <v>13500.0</v>
      </c>
      <c r="AT15" s="789">
        <v>50.0</v>
      </c>
      <c r="AU15" s="789">
        <v>3630.0</v>
      </c>
      <c r="AV15" s="1035"/>
    </row>
    <row r="16">
      <c r="A16" s="1060" t="s">
        <v>3698</v>
      </c>
      <c r="B16" s="1060">
        <f t="shared" si="1"/>
        <v>83</v>
      </c>
      <c r="C16" s="1061" t="s">
        <v>4177</v>
      </c>
      <c r="D16" s="1062">
        <f t="shared" si="2"/>
        <v>40</v>
      </c>
      <c r="E16" s="1062" t="s">
        <v>4176</v>
      </c>
      <c r="F16" s="1060">
        <f t="shared" si="3"/>
        <v>43</v>
      </c>
      <c r="G16" s="1061" t="s">
        <v>4176</v>
      </c>
      <c r="H16" s="1062">
        <f t="shared" si="4"/>
        <v>162</v>
      </c>
      <c r="I16" s="1062" t="s">
        <v>96</v>
      </c>
      <c r="J16" s="1060">
        <f t="shared" si="5"/>
        <v>165</v>
      </c>
      <c r="K16" s="1061" t="s">
        <v>96</v>
      </c>
      <c r="L16" s="1062">
        <f t="shared" si="6"/>
        <v>84</v>
      </c>
      <c r="M16" s="1062" t="s">
        <v>4177</v>
      </c>
      <c r="N16" s="1060">
        <f t="shared" si="7"/>
        <v>250</v>
      </c>
      <c r="O16" s="1061" t="s">
        <v>8</v>
      </c>
      <c r="P16" s="1062">
        <f t="shared" si="8"/>
        <v>121</v>
      </c>
      <c r="Q16" s="1062" t="s">
        <v>417</v>
      </c>
      <c r="R16" s="1063"/>
      <c r="S16" s="1061">
        <f t="shared" si="9"/>
        <v>948</v>
      </c>
      <c r="T16" s="787">
        <f>H16+J16+N16</f>
        <v>577</v>
      </c>
      <c r="U16" s="263"/>
      <c r="V16" s="263"/>
      <c r="W16" s="263"/>
      <c r="X16" s="263"/>
      <c r="Y16" s="134"/>
      <c r="Z16" s="134"/>
      <c r="AA16" s="134"/>
      <c r="AB16" s="134"/>
      <c r="AC16" s="134"/>
      <c r="AD16" s="134"/>
      <c r="AE16" s="134"/>
      <c r="AF16" s="789">
        <v>34.0</v>
      </c>
      <c r="AG16" s="789">
        <v>3400.0</v>
      </c>
      <c r="AH16" s="1035"/>
      <c r="AI16" s="789">
        <v>2040.0</v>
      </c>
      <c r="AJ16" s="1035"/>
      <c r="AK16" s="789">
        <v>9762.0</v>
      </c>
      <c r="AL16" s="789">
        <v>21.0</v>
      </c>
      <c r="AM16" s="789">
        <v>680.0</v>
      </c>
      <c r="AN16" s="1035"/>
      <c r="AO16" s="789">
        <v>4080.0</v>
      </c>
      <c r="AP16" s="1035"/>
      <c r="AQ16" s="789">
        <v>3366.0</v>
      </c>
      <c r="AR16" s="1035"/>
      <c r="AS16" s="789">
        <v>1768.0</v>
      </c>
      <c r="AT16" s="1035"/>
      <c r="AU16" s="789">
        <v>10554.0</v>
      </c>
      <c r="AV16" s="789">
        <v>31.0</v>
      </c>
    </row>
    <row r="17">
      <c r="A17" s="1064" t="s">
        <v>3813</v>
      </c>
      <c r="B17" s="1064">
        <f t="shared" si="1"/>
        <v>100</v>
      </c>
      <c r="C17" s="1065" t="s">
        <v>4177</v>
      </c>
      <c r="D17" s="1066">
        <f t="shared" si="2"/>
        <v>60</v>
      </c>
      <c r="E17" s="1066" t="s">
        <v>4176</v>
      </c>
      <c r="F17" s="1064">
        <f t="shared" si="3"/>
        <v>213</v>
      </c>
      <c r="G17" s="1065" t="s">
        <v>54</v>
      </c>
      <c r="H17" s="1066">
        <f t="shared" si="4"/>
        <v>20</v>
      </c>
      <c r="I17" s="1066" t="s">
        <v>4179</v>
      </c>
      <c r="J17" s="1064">
        <f t="shared" si="5"/>
        <v>120</v>
      </c>
      <c r="K17" s="1065" t="s">
        <v>417</v>
      </c>
      <c r="L17" s="1066">
        <f t="shared" si="6"/>
        <v>99</v>
      </c>
      <c r="M17" s="1066" t="s">
        <v>4177</v>
      </c>
      <c r="N17" s="1064">
        <f t="shared" si="7"/>
        <v>52</v>
      </c>
      <c r="O17" s="1065" t="s">
        <v>4176</v>
      </c>
      <c r="P17" s="1066">
        <f t="shared" si="8"/>
        <v>201</v>
      </c>
      <c r="Q17" s="1066" t="s">
        <v>54</v>
      </c>
      <c r="R17" s="1063"/>
      <c r="S17" s="1065">
        <f t="shared" si="9"/>
        <v>865</v>
      </c>
      <c r="T17" s="787">
        <f>F17+P17</f>
        <v>414</v>
      </c>
      <c r="U17" s="263"/>
      <c r="V17" s="263"/>
      <c r="W17" s="263"/>
      <c r="X17" s="263"/>
      <c r="Y17" s="134"/>
      <c r="Z17" s="134"/>
      <c r="AA17" s="134"/>
      <c r="AB17" s="134"/>
      <c r="AC17" s="134"/>
      <c r="AD17" s="134"/>
      <c r="AE17" s="134"/>
      <c r="AF17" s="789">
        <v>30.0</v>
      </c>
      <c r="AG17" s="789">
        <v>8640.0</v>
      </c>
      <c r="AH17" s="789">
        <v>21.0</v>
      </c>
      <c r="AI17" s="789">
        <v>1770.0</v>
      </c>
      <c r="AJ17" s="1035"/>
      <c r="AK17" s="789">
        <v>1200.0</v>
      </c>
      <c r="AL17" s="1035"/>
      <c r="AM17" s="789">
        <v>13800.0</v>
      </c>
      <c r="AN17" s="789">
        <v>55.0</v>
      </c>
      <c r="AO17" s="789">
        <v>3720.0</v>
      </c>
      <c r="AP17" s="1035"/>
      <c r="AQ17" s="789">
        <v>2670.0</v>
      </c>
      <c r="AR17" s="1035"/>
      <c r="AS17" s="789">
        <v>1410.0</v>
      </c>
      <c r="AT17" s="1035"/>
      <c r="AU17" s="789">
        <v>2790.0</v>
      </c>
      <c r="AV17" s="1035"/>
    </row>
    <row r="18">
      <c r="A18" s="1060" t="s">
        <v>4109</v>
      </c>
      <c r="B18" s="1060">
        <f t="shared" si="1"/>
        <v>204</v>
      </c>
      <c r="C18" s="1061" t="s">
        <v>54</v>
      </c>
      <c r="D18" s="1062">
        <f t="shared" si="2"/>
        <v>59</v>
      </c>
      <c r="E18" s="1062" t="s">
        <v>4176</v>
      </c>
      <c r="F18" s="1060">
        <f t="shared" si="3"/>
        <v>40</v>
      </c>
      <c r="G18" s="1061" t="s">
        <v>4176</v>
      </c>
      <c r="H18" s="1062">
        <f t="shared" si="4"/>
        <v>240</v>
      </c>
      <c r="I18" s="1062" t="s">
        <v>8</v>
      </c>
      <c r="J18" s="1060">
        <f t="shared" si="5"/>
        <v>124</v>
      </c>
      <c r="K18" s="1061" t="s">
        <v>417</v>
      </c>
      <c r="L18" s="1062">
        <f t="shared" si="6"/>
        <v>89</v>
      </c>
      <c r="M18" s="1062" t="s">
        <v>4177</v>
      </c>
      <c r="N18" s="1060">
        <f t="shared" si="7"/>
        <v>47</v>
      </c>
      <c r="O18" s="1061" t="s">
        <v>4176</v>
      </c>
      <c r="P18" s="1062">
        <f t="shared" si="8"/>
        <v>93</v>
      </c>
      <c r="Q18" s="1062" t="s">
        <v>4177</v>
      </c>
      <c r="R18" s="1063"/>
      <c r="S18" s="1061">
        <f t="shared" si="9"/>
        <v>896</v>
      </c>
      <c r="T18" s="787">
        <f>B18+H18</f>
        <v>444</v>
      </c>
      <c r="U18" s="263"/>
      <c r="V18" s="263"/>
      <c r="W18" s="263"/>
      <c r="X18" s="263"/>
      <c r="Y18" s="134"/>
      <c r="Z18" s="134"/>
      <c r="AA18" s="134"/>
      <c r="AB18" s="134"/>
      <c r="AC18" s="134"/>
      <c r="AD18" s="134"/>
      <c r="AE18" s="134"/>
      <c r="AF18" s="789">
        <v>39.0</v>
      </c>
      <c r="AG18" s="789">
        <v>2067.0</v>
      </c>
      <c r="AH18" s="1035"/>
      <c r="AI18" s="789">
        <v>3315.0</v>
      </c>
      <c r="AJ18" s="1035"/>
      <c r="AK18" s="789">
        <v>8181.0</v>
      </c>
      <c r="AL18" s="789">
        <v>10.0</v>
      </c>
      <c r="AM18" s="789">
        <v>4719.0</v>
      </c>
      <c r="AN18" s="1035"/>
      <c r="AO18" s="789">
        <v>4632.0</v>
      </c>
      <c r="AP18" s="789">
        <v>10.0</v>
      </c>
      <c r="AQ18" s="789">
        <v>1638.0</v>
      </c>
      <c r="AR18" s="1035"/>
      <c r="AS18" s="789">
        <v>2340.0</v>
      </c>
      <c r="AT18" s="1035"/>
      <c r="AU18" s="789">
        <v>12960.0</v>
      </c>
      <c r="AV18" s="789">
        <v>30.0</v>
      </c>
    </row>
    <row r="19">
      <c r="A19" s="1064" t="s">
        <v>4182</v>
      </c>
      <c r="B19" s="1064">
        <f t="shared" si="1"/>
        <v>53</v>
      </c>
      <c r="C19" s="1065" t="s">
        <v>4176</v>
      </c>
      <c r="D19" s="1066">
        <f t="shared" si="2"/>
        <v>85</v>
      </c>
      <c r="E19" s="1066" t="s">
        <v>4177</v>
      </c>
      <c r="F19" s="1064">
        <f t="shared" si="3"/>
        <v>179</v>
      </c>
      <c r="G19" s="1065" t="s">
        <v>96</v>
      </c>
      <c r="H19" s="1066">
        <f t="shared" si="4"/>
        <v>121</v>
      </c>
      <c r="I19" s="1066" t="s">
        <v>417</v>
      </c>
      <c r="J19" s="1064">
        <f t="shared" si="5"/>
        <v>88</v>
      </c>
      <c r="K19" s="1065" t="s">
        <v>4177</v>
      </c>
      <c r="L19" s="1066">
        <f t="shared" si="6"/>
        <v>42</v>
      </c>
      <c r="M19" s="1066" t="s">
        <v>4176</v>
      </c>
      <c r="N19" s="1064">
        <f t="shared" si="7"/>
        <v>60</v>
      </c>
      <c r="O19" s="1065" t="s">
        <v>4176</v>
      </c>
      <c r="P19" s="1066">
        <f t="shared" si="8"/>
        <v>240</v>
      </c>
      <c r="Q19" s="1066" t="s">
        <v>8</v>
      </c>
      <c r="R19" s="1063"/>
      <c r="S19" s="1065">
        <f t="shared" si="9"/>
        <v>868</v>
      </c>
      <c r="T19" s="787">
        <f>F19+P19</f>
        <v>419</v>
      </c>
      <c r="U19" s="263"/>
      <c r="V19" s="263"/>
      <c r="W19" s="263"/>
      <c r="X19" s="263"/>
      <c r="Y19" s="134"/>
      <c r="Z19" s="134"/>
      <c r="AA19" s="134"/>
      <c r="AB19" s="134"/>
      <c r="AC19" s="134"/>
      <c r="AD19" s="134"/>
      <c r="AE19" s="134"/>
      <c r="AF19" s="789">
        <v>10.0</v>
      </c>
      <c r="AG19" s="789">
        <v>4770.0</v>
      </c>
      <c r="AH19" s="789">
        <v>22.0</v>
      </c>
      <c r="AI19" s="789">
        <v>820.0</v>
      </c>
      <c r="AJ19" s="1035"/>
      <c r="AK19" s="789">
        <v>980.0</v>
      </c>
      <c r="AL19" s="1035"/>
      <c r="AM19" s="789">
        <v>450.0</v>
      </c>
      <c r="AN19" s="1035"/>
      <c r="AO19" s="789">
        <v>520.0</v>
      </c>
      <c r="AP19" s="1035"/>
      <c r="AQ19" s="789">
        <v>1920.0</v>
      </c>
      <c r="AR19" s="789">
        <v>1.0</v>
      </c>
      <c r="AS19" s="789">
        <v>2010.0</v>
      </c>
      <c r="AT19" s="789">
        <v>2.0</v>
      </c>
      <c r="AU19" s="789">
        <v>410.0</v>
      </c>
      <c r="AV19" s="1035"/>
    </row>
    <row r="20">
      <c r="A20" s="1060" t="s">
        <v>3627</v>
      </c>
      <c r="B20" s="1060">
        <f t="shared" si="1"/>
        <v>213</v>
      </c>
      <c r="C20" s="1061" t="s">
        <v>54</v>
      </c>
      <c r="D20" s="1062">
        <f t="shared" si="2"/>
        <v>82</v>
      </c>
      <c r="E20" s="1062" t="s">
        <v>4177</v>
      </c>
      <c r="F20" s="1060">
        <f t="shared" si="3"/>
        <v>98</v>
      </c>
      <c r="G20" s="1061" t="s">
        <v>4177</v>
      </c>
      <c r="H20" s="1062">
        <f t="shared" si="4"/>
        <v>45</v>
      </c>
      <c r="I20" s="1062" t="s">
        <v>4176</v>
      </c>
      <c r="J20" s="1060">
        <f t="shared" si="5"/>
        <v>52</v>
      </c>
      <c r="K20" s="1061" t="s">
        <v>4176</v>
      </c>
      <c r="L20" s="1062">
        <f t="shared" si="6"/>
        <v>180</v>
      </c>
      <c r="M20" s="1062" t="s">
        <v>96</v>
      </c>
      <c r="N20" s="1060">
        <f t="shared" si="7"/>
        <v>177</v>
      </c>
      <c r="O20" s="1061" t="s">
        <v>96</v>
      </c>
      <c r="P20" s="1062">
        <f t="shared" si="8"/>
        <v>41</v>
      </c>
      <c r="Q20" s="1062" t="s">
        <v>4176</v>
      </c>
      <c r="R20" s="1063"/>
      <c r="S20" s="1061">
        <f t="shared" si="9"/>
        <v>888</v>
      </c>
      <c r="T20" s="787">
        <f>B20+L20+N20</f>
        <v>570</v>
      </c>
      <c r="U20" s="263"/>
      <c r="V20" s="263"/>
      <c r="W20" s="263"/>
      <c r="X20" s="263"/>
      <c r="Y20" s="134"/>
      <c r="Z20" s="134"/>
      <c r="AA20" s="134"/>
      <c r="AB20" s="134"/>
      <c r="AC20" s="134"/>
      <c r="AD20" s="134"/>
      <c r="AE20" s="134"/>
      <c r="AF20" s="789">
        <v>26.0</v>
      </c>
      <c r="AG20" s="789">
        <v>9248.0</v>
      </c>
      <c r="AH20" s="789">
        <v>32.0</v>
      </c>
      <c r="AI20" s="789">
        <v>2444.0</v>
      </c>
      <c r="AJ20" s="1035"/>
      <c r="AK20" s="789">
        <v>3224.0</v>
      </c>
      <c r="AL20" s="1035"/>
      <c r="AM20" s="789">
        <v>1456.0</v>
      </c>
      <c r="AN20" s="1035"/>
      <c r="AO20" s="789">
        <v>2106.0</v>
      </c>
      <c r="AP20" s="1035"/>
      <c r="AQ20" s="789">
        <v>8204.0</v>
      </c>
      <c r="AR20" s="789">
        <v>22.0</v>
      </c>
      <c r="AS20" s="789">
        <v>1066.0</v>
      </c>
      <c r="AT20" s="1035"/>
      <c r="AU20" s="789">
        <v>1378.0</v>
      </c>
      <c r="AV20" s="1035"/>
    </row>
    <row r="21">
      <c r="A21" s="1064" t="s">
        <v>3969</v>
      </c>
      <c r="B21" s="1064">
        <f t="shared" si="1"/>
        <v>208</v>
      </c>
      <c r="C21" s="1065" t="s">
        <v>54</v>
      </c>
      <c r="D21" s="1066">
        <f t="shared" si="2"/>
        <v>94</v>
      </c>
      <c r="E21" s="1066" t="s">
        <v>4177</v>
      </c>
      <c r="F21" s="1064">
        <f t="shared" si="3"/>
        <v>124</v>
      </c>
      <c r="G21" s="1065" t="s">
        <v>417</v>
      </c>
      <c r="H21" s="1066">
        <f t="shared" si="4"/>
        <v>56</v>
      </c>
      <c r="I21" s="1066" t="s">
        <v>4176</v>
      </c>
      <c r="J21" s="1064">
        <f t="shared" si="5"/>
        <v>81</v>
      </c>
      <c r="K21" s="1065" t="s">
        <v>4177</v>
      </c>
      <c r="L21" s="1066">
        <f t="shared" si="6"/>
        <v>214</v>
      </c>
      <c r="M21" s="1066" t="s">
        <v>54</v>
      </c>
      <c r="N21" s="1064">
        <f t="shared" si="7"/>
        <v>41</v>
      </c>
      <c r="O21" s="1065" t="s">
        <v>4176</v>
      </c>
      <c r="P21" s="1066">
        <f t="shared" si="8"/>
        <v>53</v>
      </c>
      <c r="Q21" s="1066" t="s">
        <v>4176</v>
      </c>
      <c r="R21" s="1063"/>
      <c r="S21" s="1065">
        <f t="shared" si="9"/>
        <v>871</v>
      </c>
      <c r="T21" s="787">
        <f>B21+L21</f>
        <v>422</v>
      </c>
      <c r="U21" s="263"/>
      <c r="V21" s="263"/>
      <c r="W21" s="263"/>
      <c r="X21" s="263"/>
      <c r="Y21" s="134"/>
      <c r="Z21" s="134"/>
      <c r="AA21" s="134"/>
      <c r="AB21" s="134"/>
      <c r="AC21" s="134"/>
      <c r="AD21" s="134"/>
      <c r="AE21" s="134"/>
      <c r="AF21" s="789">
        <v>20.0</v>
      </c>
      <c r="AG21" s="789">
        <v>2800.0</v>
      </c>
      <c r="AH21" s="1035"/>
      <c r="AI21" s="789">
        <v>8600.0</v>
      </c>
      <c r="AJ21" s="789">
        <v>30.0</v>
      </c>
      <c r="AK21" s="789">
        <v>1160.0</v>
      </c>
      <c r="AL21" s="1035"/>
      <c r="AM21" s="789">
        <v>3320.0</v>
      </c>
      <c r="AN21" s="789">
        <v>1.0</v>
      </c>
      <c r="AO21" s="789">
        <v>3040.0</v>
      </c>
      <c r="AP21" s="789">
        <v>10.0</v>
      </c>
      <c r="AQ21" s="789">
        <v>900.0</v>
      </c>
      <c r="AR21" s="1035"/>
      <c r="AS21" s="789">
        <v>1840.0</v>
      </c>
      <c r="AT21" s="1035"/>
      <c r="AU21" s="789">
        <v>940.0</v>
      </c>
      <c r="AV21" s="1035"/>
    </row>
    <row r="22">
      <c r="A22" s="1060" t="s">
        <v>3759</v>
      </c>
      <c r="B22" s="1060">
        <f t="shared" si="1"/>
        <v>140</v>
      </c>
      <c r="C22" s="1061" t="s">
        <v>417</v>
      </c>
      <c r="D22" s="1062">
        <f t="shared" si="2"/>
        <v>250</v>
      </c>
      <c r="E22" s="1062" t="s">
        <v>8</v>
      </c>
      <c r="F22" s="1060">
        <f t="shared" si="3"/>
        <v>58</v>
      </c>
      <c r="G22" s="1061" t="s">
        <v>4176</v>
      </c>
      <c r="H22" s="1062">
        <f t="shared" si="4"/>
        <v>160</v>
      </c>
      <c r="I22" s="1062" t="s">
        <v>96</v>
      </c>
      <c r="J22" s="1060">
        <f t="shared" si="5"/>
        <v>92</v>
      </c>
      <c r="K22" s="1061" t="s">
        <v>4177</v>
      </c>
      <c r="L22" s="1062">
        <f t="shared" si="6"/>
        <v>45</v>
      </c>
      <c r="M22" s="1062" t="s">
        <v>4176</v>
      </c>
      <c r="N22" s="1060">
        <f t="shared" si="7"/>
        <v>92</v>
      </c>
      <c r="O22" s="1061" t="s">
        <v>4177</v>
      </c>
      <c r="P22" s="1062">
        <f t="shared" si="8"/>
        <v>47</v>
      </c>
      <c r="Q22" s="1062" t="s">
        <v>4176</v>
      </c>
      <c r="R22" s="1063"/>
      <c r="S22" s="1061">
        <f t="shared" si="9"/>
        <v>884</v>
      </c>
      <c r="T22" s="787">
        <f>D22+H22</f>
        <v>410</v>
      </c>
      <c r="U22" s="263"/>
      <c r="V22" s="263"/>
      <c r="W22" s="263"/>
      <c r="X22" s="263"/>
      <c r="Y22" s="134"/>
      <c r="Z22" s="134"/>
      <c r="AA22" s="134"/>
      <c r="AB22" s="134"/>
      <c r="AC22" s="134"/>
      <c r="AD22" s="134"/>
      <c r="AE22" s="134"/>
      <c r="AF22" s="789">
        <v>30.0</v>
      </c>
      <c r="AG22" s="789">
        <v>1170.0</v>
      </c>
      <c r="AH22" s="1035"/>
      <c r="AI22" s="789">
        <v>10800.0</v>
      </c>
      <c r="AJ22" s="789">
        <v>30.0</v>
      </c>
      <c r="AK22" s="789">
        <v>570.0</v>
      </c>
      <c r="AL22" s="1035"/>
      <c r="AM22" s="789">
        <v>1590.0</v>
      </c>
      <c r="AN22" s="1035"/>
      <c r="AO22" s="789">
        <v>5430.0</v>
      </c>
      <c r="AP22" s="789">
        <v>2.0</v>
      </c>
      <c r="AQ22" s="789">
        <v>2460.0</v>
      </c>
      <c r="AR22" s="1035"/>
      <c r="AS22" s="789">
        <v>3000.0</v>
      </c>
      <c r="AT22" s="1035"/>
      <c r="AU22" s="789">
        <v>3870.0</v>
      </c>
      <c r="AV22" s="1035"/>
    </row>
    <row r="23">
      <c r="A23" s="1064" t="s">
        <v>3756</v>
      </c>
      <c r="B23" s="1064">
        <f t="shared" si="1"/>
        <v>39</v>
      </c>
      <c r="C23" s="1065" t="s">
        <v>4176</v>
      </c>
      <c r="D23" s="1066">
        <f t="shared" si="2"/>
        <v>240</v>
      </c>
      <c r="E23" s="1066" t="s">
        <v>8</v>
      </c>
      <c r="F23" s="1064">
        <f t="shared" si="3"/>
        <v>19</v>
      </c>
      <c r="G23" s="1065" t="s">
        <v>4179</v>
      </c>
      <c r="H23" s="1066">
        <f t="shared" si="4"/>
        <v>53</v>
      </c>
      <c r="I23" s="1066" t="s">
        <v>4176</v>
      </c>
      <c r="J23" s="1064">
        <f t="shared" si="5"/>
        <v>173</v>
      </c>
      <c r="K23" s="1065" t="s">
        <v>96</v>
      </c>
      <c r="L23" s="1066">
        <f t="shared" si="6"/>
        <v>82</v>
      </c>
      <c r="M23" s="1066" t="s">
        <v>4177</v>
      </c>
      <c r="N23" s="1064">
        <f t="shared" si="7"/>
        <v>100</v>
      </c>
      <c r="O23" s="1065" t="s">
        <v>4177</v>
      </c>
      <c r="P23" s="1066">
        <f t="shared" si="8"/>
        <v>129</v>
      </c>
      <c r="Q23" s="1066" t="s">
        <v>417</v>
      </c>
      <c r="R23" s="1063"/>
      <c r="S23" s="1065">
        <f t="shared" si="9"/>
        <v>835</v>
      </c>
      <c r="T23" s="787">
        <f t="shared" ref="T23:T24" si="12">D23+J23</f>
        <v>413</v>
      </c>
      <c r="U23" s="263"/>
      <c r="V23" s="263"/>
      <c r="W23" s="263"/>
      <c r="X23" s="263"/>
      <c r="Y23" s="134"/>
      <c r="Z23" s="134"/>
      <c r="AA23" s="134"/>
      <c r="AB23" s="134"/>
      <c r="AC23" s="134"/>
      <c r="AD23" s="134"/>
      <c r="AE23" s="134"/>
      <c r="AF23" s="789">
        <v>30.0</v>
      </c>
      <c r="AG23" s="789">
        <v>2460.0</v>
      </c>
      <c r="AH23" s="1035"/>
      <c r="AI23" s="789">
        <v>10110.0</v>
      </c>
      <c r="AJ23" s="789">
        <v>30.0</v>
      </c>
      <c r="AK23" s="789">
        <v>3780.0</v>
      </c>
      <c r="AL23" s="1035"/>
      <c r="AM23" s="789">
        <v>2970.0</v>
      </c>
      <c r="AN23" s="1035"/>
      <c r="AO23" s="789">
        <v>7140.0</v>
      </c>
      <c r="AP23" s="789">
        <v>9.0</v>
      </c>
      <c r="AQ23" s="789">
        <v>1740.0</v>
      </c>
      <c r="AR23" s="1035"/>
      <c r="AS23" s="789">
        <v>1530.0</v>
      </c>
      <c r="AT23" s="1035"/>
      <c r="AU23" s="789">
        <v>600.0</v>
      </c>
      <c r="AV23" s="1035"/>
    </row>
    <row r="24">
      <c r="A24" s="1060" t="s">
        <v>3757</v>
      </c>
      <c r="B24" s="1060">
        <f t="shared" si="1"/>
        <v>82</v>
      </c>
      <c r="C24" s="1061" t="s">
        <v>4177</v>
      </c>
      <c r="D24" s="1062">
        <f t="shared" si="2"/>
        <v>217</v>
      </c>
      <c r="E24" s="1062" t="s">
        <v>54</v>
      </c>
      <c r="F24" s="1060">
        <f t="shared" si="3"/>
        <v>126</v>
      </c>
      <c r="G24" s="1061" t="s">
        <v>417</v>
      </c>
      <c r="H24" s="1062">
        <f t="shared" si="4"/>
        <v>99</v>
      </c>
      <c r="I24" s="1062" t="s">
        <v>4177</v>
      </c>
      <c r="J24" s="1060">
        <f t="shared" si="5"/>
        <v>202</v>
      </c>
      <c r="K24" s="1061" t="s">
        <v>54</v>
      </c>
      <c r="L24" s="1062">
        <f t="shared" si="6"/>
        <v>58</v>
      </c>
      <c r="M24" s="1062" t="s">
        <v>4176</v>
      </c>
      <c r="N24" s="1060">
        <f t="shared" si="7"/>
        <v>51</v>
      </c>
      <c r="O24" s="1061" t="s">
        <v>4176</v>
      </c>
      <c r="P24" s="1062">
        <f t="shared" si="8"/>
        <v>20</v>
      </c>
      <c r="Q24" s="1062" t="s">
        <v>4179</v>
      </c>
      <c r="R24" s="1002"/>
      <c r="S24" s="1061">
        <f t="shared" si="9"/>
        <v>855</v>
      </c>
      <c r="T24" s="1067">
        <f t="shared" si="12"/>
        <v>419</v>
      </c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</row>
    <row r="25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</row>
    <row r="26">
      <c r="A26" s="134"/>
      <c r="B26" s="793" t="s">
        <v>4183</v>
      </c>
      <c r="C26" s="793" t="s">
        <v>4184</v>
      </c>
      <c r="D26" s="793" t="s">
        <v>4185</v>
      </c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</row>
    <row r="27">
      <c r="A27" s="134"/>
      <c r="B27" s="787" t="s">
        <v>8</v>
      </c>
      <c r="C27" s="793">
        <v>240.0</v>
      </c>
      <c r="D27" s="793">
        <v>250.0</v>
      </c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</row>
    <row r="28">
      <c r="A28" s="134"/>
      <c r="B28" s="787" t="s">
        <v>54</v>
      </c>
      <c r="C28" s="793">
        <v>200.0</v>
      </c>
      <c r="D28" s="793">
        <v>217.0</v>
      </c>
      <c r="E28" s="134"/>
      <c r="F28" s="134"/>
      <c r="G28" s="18"/>
    </row>
    <row r="29">
      <c r="A29" s="134"/>
      <c r="B29" s="787" t="s">
        <v>96</v>
      </c>
      <c r="C29" s="793">
        <v>160.0</v>
      </c>
      <c r="D29" s="793">
        <v>180.0</v>
      </c>
      <c r="E29" s="134"/>
      <c r="F29" s="134"/>
      <c r="G29" s="18"/>
    </row>
    <row r="30">
      <c r="A30" s="134"/>
      <c r="B30" s="787" t="s">
        <v>417</v>
      </c>
      <c r="C30" s="793">
        <v>120.0</v>
      </c>
      <c r="D30" s="793">
        <v>140.0</v>
      </c>
      <c r="E30" s="134"/>
      <c r="F30" s="134"/>
      <c r="G30" s="18"/>
    </row>
    <row r="31">
      <c r="A31" s="134"/>
      <c r="B31" s="787" t="s">
        <v>4177</v>
      </c>
      <c r="C31" s="793">
        <v>82.0</v>
      </c>
      <c r="D31" s="793">
        <v>100.0</v>
      </c>
      <c r="E31" s="134"/>
      <c r="F31" s="134"/>
      <c r="G31" s="18"/>
    </row>
    <row r="32">
      <c r="A32" s="134"/>
      <c r="B32" s="787" t="s">
        <v>4176</v>
      </c>
      <c r="C32" s="793">
        <v>39.0</v>
      </c>
      <c r="D32" s="793">
        <v>60.0</v>
      </c>
      <c r="E32" s="134"/>
      <c r="F32" s="134"/>
      <c r="G32" s="18"/>
    </row>
    <row r="33">
      <c r="A33" s="134"/>
      <c r="B33" s="787" t="s">
        <v>4179</v>
      </c>
      <c r="C33" s="793">
        <v>5.0</v>
      </c>
      <c r="D33" s="793">
        <v>20.0</v>
      </c>
      <c r="E33" s="134"/>
      <c r="F33" s="134"/>
      <c r="G33" s="18"/>
    </row>
    <row r="34">
      <c r="A34" s="134"/>
      <c r="B34" s="134"/>
      <c r="C34" s="134"/>
      <c r="D34" s="134"/>
      <c r="E34" s="134"/>
      <c r="F34" s="134"/>
      <c r="G34" s="18"/>
    </row>
    <row r="35">
      <c r="A35" s="18"/>
      <c r="B35" s="18"/>
      <c r="C35" s="18"/>
      <c r="D35" s="18"/>
      <c r="E35" s="18"/>
      <c r="F35" s="18"/>
      <c r="G35" s="18"/>
    </row>
    <row r="36">
      <c r="A36" s="18"/>
      <c r="B36" s="18"/>
      <c r="C36" s="18"/>
      <c r="D36" s="18"/>
      <c r="E36" s="18"/>
      <c r="F36" s="18"/>
      <c r="G36" s="18"/>
    </row>
  </sheetData>
  <mergeCells count="8">
    <mergeCell ref="B3:C3"/>
    <mergeCell ref="D3:E3"/>
    <mergeCell ref="F3:G3"/>
    <mergeCell ref="H3:I3"/>
    <mergeCell ref="J3:K3"/>
    <mergeCell ref="L3:M3"/>
    <mergeCell ref="N3:O3"/>
    <mergeCell ref="P3:Q3"/>
  </mergeCells>
  <dataValidations>
    <dataValidation type="list" allowBlank="1" showDropDown="1" showErrorMessage="1" sqref="C4:C24 E4:E24 G4:G24 I4:I24 K4:K24 M4:M24 O4:O24 Q4:Q24 B27:B33">
      <formula1>"SSS,SS,S,A,B,C,D"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6.09"/>
    <col customWidth="1" min="2" max="2" width="9.45"/>
    <col customWidth="1" min="13" max="13" width="14.73"/>
  </cols>
  <sheetData>
    <row r="1">
      <c r="A1" s="1068" t="s">
        <v>3811</v>
      </c>
      <c r="B1" s="1069"/>
      <c r="C1" s="1070" t="s">
        <v>4186</v>
      </c>
      <c r="D1" s="1071"/>
      <c r="E1" s="1071"/>
      <c r="F1" s="1072"/>
      <c r="G1" s="1072"/>
      <c r="H1" s="1072"/>
      <c r="I1" s="1072"/>
      <c r="J1" s="1072"/>
      <c r="K1" s="1072"/>
      <c r="L1" s="1072"/>
      <c r="M1" s="1073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</row>
    <row r="2">
      <c r="A2" s="1074" t="s">
        <v>3083</v>
      </c>
      <c r="B2" s="997" t="s">
        <v>96</v>
      </c>
      <c r="C2" s="1075" t="s">
        <v>31</v>
      </c>
      <c r="D2" s="249"/>
      <c r="E2" s="249"/>
      <c r="F2" s="237"/>
      <c r="G2" s="237"/>
      <c r="H2" s="237"/>
      <c r="I2" s="237"/>
      <c r="J2" s="237"/>
      <c r="K2" s="237"/>
      <c r="L2" s="237"/>
      <c r="M2" s="238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</row>
    <row r="3">
      <c r="A3" s="1074" t="s">
        <v>4169</v>
      </c>
      <c r="B3" s="997" t="s">
        <v>96</v>
      </c>
      <c r="C3" s="263" t="s">
        <v>4187</v>
      </c>
      <c r="D3" s="263"/>
      <c r="E3" s="263"/>
      <c r="F3" s="134"/>
      <c r="G3" s="134"/>
      <c r="H3" s="134"/>
      <c r="I3" s="134"/>
      <c r="J3" s="134"/>
      <c r="K3" s="134"/>
      <c r="L3" s="134"/>
      <c r="M3" s="149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>
      <c r="A4" s="1074" t="s">
        <v>4170</v>
      </c>
      <c r="B4" s="997" t="s">
        <v>417</v>
      </c>
      <c r="C4" s="1075" t="s">
        <v>4188</v>
      </c>
      <c r="D4" s="249"/>
      <c r="E4" s="249"/>
      <c r="F4" s="237"/>
      <c r="G4" s="237"/>
      <c r="H4" s="237"/>
      <c r="I4" s="237"/>
      <c r="J4" s="237"/>
      <c r="K4" s="237"/>
      <c r="L4" s="237"/>
      <c r="M4" s="238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>
      <c r="A5" s="1074" t="s">
        <v>4189</v>
      </c>
      <c r="B5" s="787" t="s">
        <v>4190</v>
      </c>
      <c r="C5" s="263"/>
      <c r="D5" s="263"/>
      <c r="E5" s="263"/>
      <c r="F5" s="134"/>
      <c r="G5" s="134"/>
      <c r="H5" s="134"/>
      <c r="I5" s="134"/>
      <c r="J5" s="134"/>
      <c r="K5" s="134"/>
      <c r="L5" s="134"/>
      <c r="M5" s="149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</row>
    <row r="6">
      <c r="A6" s="1074" t="s">
        <v>4191</v>
      </c>
      <c r="B6" s="997" t="s">
        <v>96</v>
      </c>
      <c r="C6" s="1075"/>
      <c r="D6" s="249"/>
      <c r="E6" s="249"/>
      <c r="F6" s="237"/>
      <c r="G6" s="237"/>
      <c r="H6" s="237"/>
      <c r="I6" s="237"/>
      <c r="J6" s="237"/>
      <c r="K6" s="237"/>
      <c r="L6" s="237"/>
      <c r="M6" s="238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</row>
    <row r="7">
      <c r="A7" s="1064"/>
      <c r="B7" s="1066"/>
      <c r="C7" s="263"/>
      <c r="D7" s="263"/>
      <c r="E7" s="263"/>
      <c r="F7" s="134"/>
      <c r="G7" s="134"/>
      <c r="H7" s="134"/>
      <c r="I7" s="134"/>
      <c r="J7" s="134"/>
      <c r="K7" s="134"/>
      <c r="L7" s="134"/>
      <c r="M7" s="149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</row>
    <row r="8">
      <c r="A8" s="1074" t="s">
        <v>0</v>
      </c>
      <c r="B8" s="1074" t="s">
        <v>2</v>
      </c>
      <c r="C8" s="1074" t="s">
        <v>4192</v>
      </c>
      <c r="D8" s="1074" t="s">
        <v>4193</v>
      </c>
      <c r="E8" s="1076" t="s">
        <v>4186</v>
      </c>
      <c r="F8" s="1077"/>
      <c r="G8" s="1077"/>
      <c r="H8" s="1077"/>
      <c r="I8" s="1077"/>
      <c r="J8" s="1077"/>
      <c r="K8" s="1077"/>
      <c r="L8" s="1077"/>
      <c r="M8" s="1078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</row>
    <row r="9">
      <c r="A9" s="787" t="s">
        <v>4194</v>
      </c>
      <c r="B9" s="787" t="s">
        <v>4169</v>
      </c>
      <c r="C9" s="787" t="s">
        <v>96</v>
      </c>
      <c r="D9" s="787" t="s">
        <v>4176</v>
      </c>
      <c r="E9" s="1075" t="s">
        <v>4195</v>
      </c>
      <c r="F9" s="237"/>
      <c r="G9" s="237"/>
      <c r="H9" s="237"/>
      <c r="I9" s="237"/>
      <c r="J9" s="237"/>
      <c r="K9" s="237"/>
      <c r="L9" s="237"/>
      <c r="M9" s="238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</row>
    <row r="10">
      <c r="A10" s="787" t="s">
        <v>4196</v>
      </c>
      <c r="B10" s="787" t="s">
        <v>4169</v>
      </c>
      <c r="C10" s="787" t="s">
        <v>96</v>
      </c>
      <c r="D10" s="787" t="s">
        <v>96</v>
      </c>
      <c r="E10" s="263" t="s">
        <v>4197</v>
      </c>
      <c r="F10" s="134"/>
      <c r="G10" s="134"/>
      <c r="H10" s="134"/>
      <c r="I10" s="134"/>
      <c r="J10" s="134"/>
      <c r="K10" s="134"/>
      <c r="L10" s="134"/>
      <c r="M10" s="149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</row>
    <row r="11">
      <c r="A11" s="787" t="s">
        <v>4198</v>
      </c>
      <c r="B11" s="787" t="s">
        <v>4169</v>
      </c>
      <c r="C11" s="787" t="s">
        <v>4199</v>
      </c>
      <c r="D11" s="787" t="s">
        <v>4199</v>
      </c>
      <c r="E11" s="1075" t="s">
        <v>4200</v>
      </c>
      <c r="F11" s="237"/>
      <c r="G11" s="237"/>
      <c r="H11" s="237"/>
      <c r="I11" s="237"/>
      <c r="J11" s="237"/>
      <c r="K11" s="237"/>
      <c r="L11" s="237"/>
      <c r="M11" s="238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</row>
    <row r="12">
      <c r="A12" s="787" t="s">
        <v>4201</v>
      </c>
      <c r="B12" s="787" t="s">
        <v>4170</v>
      </c>
      <c r="C12" s="787" t="s">
        <v>96</v>
      </c>
      <c r="D12" s="787" t="s">
        <v>96</v>
      </c>
      <c r="E12" s="1075"/>
      <c r="F12" s="237"/>
      <c r="G12" s="237"/>
      <c r="H12" s="237"/>
      <c r="I12" s="237"/>
      <c r="J12" s="237"/>
      <c r="K12" s="237"/>
      <c r="L12" s="237"/>
      <c r="M12" s="238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</row>
    <row r="13">
      <c r="A13" s="787" t="s">
        <v>4202</v>
      </c>
      <c r="B13" s="787" t="s">
        <v>4170</v>
      </c>
      <c r="C13" s="787" t="s">
        <v>417</v>
      </c>
      <c r="D13" s="787" t="s">
        <v>4177</v>
      </c>
      <c r="E13" s="264" t="s">
        <v>4203</v>
      </c>
      <c r="F13" s="795"/>
      <c r="G13" s="795"/>
      <c r="H13" s="795"/>
      <c r="I13" s="795"/>
      <c r="J13" s="795"/>
      <c r="K13" s="795"/>
      <c r="L13" s="795"/>
      <c r="M13" s="796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</row>
    <row r="14">
      <c r="A14" s="263"/>
      <c r="B14" s="1066"/>
      <c r="C14" s="263"/>
      <c r="D14" s="263"/>
      <c r="E14" s="263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</row>
    <row r="15">
      <c r="A15" s="263"/>
      <c r="B15" s="1066"/>
      <c r="C15" s="263"/>
      <c r="D15" s="263"/>
      <c r="E15" s="263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</row>
    <row r="16">
      <c r="A16" s="263"/>
      <c r="B16" s="1066"/>
      <c r="C16" s="263"/>
      <c r="D16" s="263"/>
      <c r="E16" s="263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</row>
    <row r="17">
      <c r="A17" s="1068" t="s">
        <v>3814</v>
      </c>
      <c r="B17" s="1069"/>
      <c r="C17" s="1070" t="s">
        <v>4186</v>
      </c>
      <c r="D17" s="1071"/>
      <c r="E17" s="1071"/>
      <c r="F17" s="1072"/>
      <c r="G17" s="1072"/>
      <c r="H17" s="1072"/>
      <c r="I17" s="1072"/>
      <c r="J17" s="1072"/>
      <c r="K17" s="1072"/>
      <c r="L17" s="1072"/>
      <c r="M17" s="1073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</row>
    <row r="18">
      <c r="A18" s="1074" t="s">
        <v>3083</v>
      </c>
      <c r="B18" s="997" t="s">
        <v>4177</v>
      </c>
      <c r="C18" s="1075" t="s">
        <v>1237</v>
      </c>
      <c r="D18" s="249"/>
      <c r="E18" s="249"/>
      <c r="F18" s="237"/>
      <c r="G18" s="237"/>
      <c r="H18" s="237"/>
      <c r="I18" s="237"/>
      <c r="J18" s="237"/>
      <c r="K18" s="237"/>
      <c r="L18" s="237"/>
      <c r="M18" s="238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</row>
    <row r="19">
      <c r="A19" s="1074" t="s">
        <v>4169</v>
      </c>
      <c r="B19" s="997" t="s">
        <v>417</v>
      </c>
      <c r="C19" s="263" t="s">
        <v>4204</v>
      </c>
      <c r="D19" s="263"/>
      <c r="E19" s="263"/>
      <c r="F19" s="134"/>
      <c r="G19" s="134"/>
      <c r="H19" s="134"/>
      <c r="I19" s="134"/>
      <c r="J19" s="134"/>
      <c r="K19" s="134"/>
      <c r="L19" s="134"/>
      <c r="M19" s="149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</row>
    <row r="20">
      <c r="A20" s="1074" t="s">
        <v>4172</v>
      </c>
      <c r="B20" s="997" t="s">
        <v>96</v>
      </c>
      <c r="C20" s="1075" t="s">
        <v>4205</v>
      </c>
      <c r="D20" s="249"/>
      <c r="E20" s="249"/>
      <c r="F20" s="237"/>
      <c r="G20" s="237"/>
      <c r="H20" s="237"/>
      <c r="I20" s="237"/>
      <c r="J20" s="237"/>
      <c r="K20" s="237"/>
      <c r="L20" s="237"/>
      <c r="M20" s="238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</row>
    <row r="21">
      <c r="A21" s="1074" t="s">
        <v>4189</v>
      </c>
      <c r="B21" s="787" t="s">
        <v>4190</v>
      </c>
      <c r="C21" s="263"/>
      <c r="D21" s="263"/>
      <c r="E21" s="263"/>
      <c r="F21" s="134"/>
      <c r="G21" s="134"/>
      <c r="H21" s="134"/>
      <c r="I21" s="134"/>
      <c r="J21" s="134"/>
      <c r="K21" s="134"/>
      <c r="L21" s="134"/>
      <c r="M21" s="149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</row>
    <row r="22">
      <c r="A22" s="1074" t="s">
        <v>4206</v>
      </c>
      <c r="B22" s="997" t="s">
        <v>417</v>
      </c>
      <c r="C22" s="1075"/>
      <c r="D22" s="249"/>
      <c r="E22" s="249"/>
      <c r="F22" s="237"/>
      <c r="G22" s="237"/>
      <c r="H22" s="237"/>
      <c r="I22" s="237"/>
      <c r="J22" s="237"/>
      <c r="K22" s="237"/>
      <c r="L22" s="237"/>
      <c r="M22" s="238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</row>
    <row r="23">
      <c r="A23" s="1064"/>
      <c r="B23" s="1066"/>
      <c r="C23" s="263"/>
      <c r="D23" s="263"/>
      <c r="E23" s="263"/>
      <c r="F23" s="134"/>
      <c r="G23" s="134"/>
      <c r="H23" s="134"/>
      <c r="I23" s="134"/>
      <c r="J23" s="134"/>
      <c r="K23" s="134"/>
      <c r="L23" s="134"/>
      <c r="M23" s="149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</row>
    <row r="24">
      <c r="A24" s="1074" t="s">
        <v>0</v>
      </c>
      <c r="B24" s="1074" t="s">
        <v>2</v>
      </c>
      <c r="C24" s="1074" t="s">
        <v>4192</v>
      </c>
      <c r="D24" s="1074" t="s">
        <v>4193</v>
      </c>
      <c r="E24" s="1076" t="s">
        <v>4186</v>
      </c>
      <c r="F24" s="1077"/>
      <c r="G24" s="1077"/>
      <c r="H24" s="1077"/>
      <c r="I24" s="1077"/>
      <c r="J24" s="1077"/>
      <c r="K24" s="1077"/>
      <c r="L24" s="1077"/>
      <c r="M24" s="1078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</row>
    <row r="25">
      <c r="A25" s="787" t="s">
        <v>4207</v>
      </c>
      <c r="B25" s="787" t="s">
        <v>4169</v>
      </c>
      <c r="C25" s="787" t="s">
        <v>4176</v>
      </c>
      <c r="D25" s="787" t="s">
        <v>4176</v>
      </c>
      <c r="E25" s="1075" t="s">
        <v>4208</v>
      </c>
      <c r="F25" s="237"/>
      <c r="G25" s="237"/>
      <c r="H25" s="237"/>
      <c r="I25" s="237"/>
      <c r="J25" s="237"/>
      <c r="K25" s="237"/>
      <c r="L25" s="237"/>
      <c r="M25" s="238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</row>
    <row r="26">
      <c r="A26" s="787" t="s">
        <v>4209</v>
      </c>
      <c r="B26" s="787" t="s">
        <v>4169</v>
      </c>
      <c r="C26" s="997" t="s">
        <v>4176</v>
      </c>
      <c r="D26" s="997" t="s">
        <v>4179</v>
      </c>
      <c r="E26" s="1037" t="s">
        <v>4210</v>
      </c>
      <c r="F26" s="134"/>
      <c r="G26" s="134"/>
      <c r="H26" s="134"/>
      <c r="I26" s="134"/>
      <c r="J26" s="134"/>
      <c r="K26" s="134"/>
      <c r="L26" s="134"/>
      <c r="M26" s="149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</row>
    <row r="27">
      <c r="A27" s="787" t="s">
        <v>4211</v>
      </c>
      <c r="B27" s="787" t="s">
        <v>4169</v>
      </c>
      <c r="C27" s="787" t="s">
        <v>4177</v>
      </c>
      <c r="D27" s="787" t="s">
        <v>4177</v>
      </c>
      <c r="E27" s="248" t="s">
        <v>4212</v>
      </c>
      <c r="F27" s="237"/>
      <c r="G27" s="237"/>
      <c r="H27" s="237"/>
      <c r="I27" s="237"/>
      <c r="J27" s="237"/>
      <c r="K27" s="237"/>
      <c r="L27" s="237"/>
      <c r="M27" s="238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</row>
    <row r="28">
      <c r="A28" s="787" t="s">
        <v>4213</v>
      </c>
      <c r="B28" s="787" t="s">
        <v>4172</v>
      </c>
      <c r="C28" s="787" t="s">
        <v>96</v>
      </c>
      <c r="D28" s="787" t="s">
        <v>96</v>
      </c>
      <c r="E28" s="1075" t="s">
        <v>4214</v>
      </c>
      <c r="F28" s="237"/>
      <c r="G28" s="237"/>
      <c r="H28" s="237"/>
      <c r="I28" s="237"/>
      <c r="J28" s="237"/>
      <c r="K28" s="237"/>
      <c r="L28" s="237"/>
      <c r="M28" s="238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</row>
    <row r="29">
      <c r="A29" s="787" t="s">
        <v>4215</v>
      </c>
      <c r="B29" s="787" t="s">
        <v>4171</v>
      </c>
      <c r="C29" s="787" t="s">
        <v>4179</v>
      </c>
      <c r="D29" s="787" t="s">
        <v>4179</v>
      </c>
      <c r="E29" s="264" t="s">
        <v>4216</v>
      </c>
      <c r="F29" s="795"/>
      <c r="G29" s="795"/>
      <c r="H29" s="795"/>
      <c r="I29" s="795"/>
      <c r="J29" s="795"/>
      <c r="K29" s="795"/>
      <c r="L29" s="795"/>
      <c r="M29" s="796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</row>
    <row r="30">
      <c r="A30" s="263"/>
      <c r="B30" s="1066"/>
      <c r="C30" s="263"/>
      <c r="D30" s="263"/>
      <c r="E30" s="263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</row>
    <row r="31">
      <c r="A31" s="263"/>
      <c r="B31" s="1066"/>
      <c r="C31" s="263"/>
      <c r="D31" s="263"/>
      <c r="E31" s="263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</row>
    <row r="32">
      <c r="A32" s="263"/>
      <c r="B32" s="1066"/>
      <c r="C32" s="263"/>
      <c r="D32" s="263"/>
      <c r="E32" s="263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</row>
    <row r="33">
      <c r="A33" s="1068" t="s">
        <v>4077</v>
      </c>
      <c r="B33" s="1069"/>
      <c r="C33" s="1070" t="s">
        <v>4186</v>
      </c>
      <c r="D33" s="1071"/>
      <c r="E33" s="1071"/>
      <c r="F33" s="1072"/>
      <c r="G33" s="1072"/>
      <c r="H33" s="1072"/>
      <c r="I33" s="1072"/>
      <c r="J33" s="1072"/>
      <c r="K33" s="1072"/>
      <c r="L33" s="1072"/>
      <c r="M33" s="1073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</row>
    <row r="34">
      <c r="A34" s="1074" t="s">
        <v>3083</v>
      </c>
      <c r="B34" s="997" t="s">
        <v>4177</v>
      </c>
      <c r="C34" s="1075" t="s">
        <v>4217</v>
      </c>
      <c r="D34" s="249"/>
      <c r="E34" s="249"/>
      <c r="F34" s="237"/>
      <c r="G34" s="237"/>
      <c r="H34" s="237"/>
      <c r="I34" s="237"/>
      <c r="J34" s="237"/>
      <c r="K34" s="237"/>
      <c r="L34" s="237"/>
      <c r="M34" s="238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</row>
    <row r="35">
      <c r="A35" s="1074" t="s">
        <v>4174</v>
      </c>
      <c r="B35" s="997" t="s">
        <v>4179</v>
      </c>
      <c r="C35" s="263" t="s">
        <v>4218</v>
      </c>
      <c r="D35" s="263"/>
      <c r="E35" s="263"/>
      <c r="F35" s="134"/>
      <c r="G35" s="134"/>
      <c r="H35" s="134"/>
      <c r="I35" s="134"/>
      <c r="J35" s="134"/>
      <c r="K35" s="134"/>
      <c r="L35" s="134"/>
      <c r="M35" s="149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</row>
    <row r="36">
      <c r="A36" s="1074" t="s">
        <v>4172</v>
      </c>
      <c r="B36" s="997" t="s">
        <v>96</v>
      </c>
      <c r="C36" s="1075" t="s">
        <v>4219</v>
      </c>
      <c r="D36" s="249"/>
      <c r="E36" s="249"/>
      <c r="F36" s="237"/>
      <c r="G36" s="237"/>
      <c r="H36" s="237"/>
      <c r="I36" s="237"/>
      <c r="J36" s="237"/>
      <c r="K36" s="237"/>
      <c r="L36" s="237"/>
      <c r="M36" s="238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</row>
    <row r="37">
      <c r="A37" s="1074" t="s">
        <v>4189</v>
      </c>
      <c r="B37" s="787" t="s">
        <v>4220</v>
      </c>
      <c r="C37" s="263"/>
      <c r="D37" s="263"/>
      <c r="E37" s="263"/>
      <c r="F37" s="134"/>
      <c r="G37" s="134"/>
      <c r="H37" s="134"/>
      <c r="I37" s="134"/>
      <c r="J37" s="134"/>
      <c r="K37" s="134"/>
      <c r="L37" s="134"/>
      <c r="M37" s="149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</row>
    <row r="38">
      <c r="A38" s="1074" t="s">
        <v>4206</v>
      </c>
      <c r="B38" s="997" t="s">
        <v>4176</v>
      </c>
      <c r="C38" s="1075" t="s">
        <v>4221</v>
      </c>
      <c r="D38" s="249"/>
      <c r="E38" s="249"/>
      <c r="F38" s="237"/>
      <c r="G38" s="237"/>
      <c r="H38" s="237"/>
      <c r="I38" s="237"/>
      <c r="J38" s="237"/>
      <c r="K38" s="237"/>
      <c r="L38" s="237"/>
      <c r="M38" s="238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</row>
    <row r="39">
      <c r="A39" s="1064"/>
      <c r="B39" s="1066"/>
      <c r="C39" s="263"/>
      <c r="D39" s="263"/>
      <c r="E39" s="263"/>
      <c r="F39" s="134"/>
      <c r="G39" s="134"/>
      <c r="H39" s="134"/>
      <c r="I39" s="134"/>
      <c r="J39" s="134"/>
      <c r="K39" s="134"/>
      <c r="L39" s="134"/>
      <c r="M39" s="149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</row>
    <row r="40">
      <c r="A40" s="1074" t="s">
        <v>0</v>
      </c>
      <c r="B40" s="1074" t="s">
        <v>2</v>
      </c>
      <c r="C40" s="1074" t="s">
        <v>4192</v>
      </c>
      <c r="D40" s="1074" t="s">
        <v>4193</v>
      </c>
      <c r="E40" s="1076" t="s">
        <v>4186</v>
      </c>
      <c r="F40" s="1077"/>
      <c r="G40" s="1077"/>
      <c r="H40" s="1077"/>
      <c r="I40" s="1077"/>
      <c r="J40" s="1077"/>
      <c r="K40" s="1077"/>
      <c r="L40" s="1077"/>
      <c r="M40" s="1078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</row>
    <row r="41">
      <c r="A41" s="787" t="s">
        <v>4222</v>
      </c>
      <c r="B41" s="787" t="s">
        <v>4172</v>
      </c>
      <c r="C41" s="787" t="s">
        <v>417</v>
      </c>
      <c r="D41" s="787" t="s">
        <v>417</v>
      </c>
      <c r="E41" s="1075" t="s">
        <v>4223</v>
      </c>
      <c r="F41" s="237"/>
      <c r="G41" s="237"/>
      <c r="H41" s="237"/>
      <c r="I41" s="237"/>
      <c r="J41" s="237"/>
      <c r="K41" s="237"/>
      <c r="L41" s="237"/>
      <c r="M41" s="238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</row>
    <row r="42">
      <c r="A42" s="787" t="s">
        <v>4073</v>
      </c>
      <c r="B42" s="787" t="s">
        <v>4172</v>
      </c>
      <c r="C42" s="787" t="s">
        <v>417</v>
      </c>
      <c r="D42" s="787" t="s">
        <v>417</v>
      </c>
      <c r="E42" s="263" t="s">
        <v>4223</v>
      </c>
      <c r="F42" s="134"/>
      <c r="G42" s="134"/>
      <c r="H42" s="134"/>
      <c r="I42" s="134"/>
      <c r="J42" s="134"/>
      <c r="K42" s="134"/>
      <c r="L42" s="134"/>
      <c r="M42" s="149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</row>
    <row r="43">
      <c r="A43" s="787" t="s">
        <v>4224</v>
      </c>
      <c r="B43" s="787" t="s">
        <v>4172</v>
      </c>
      <c r="C43" s="787" t="s">
        <v>96</v>
      </c>
      <c r="D43" s="787" t="s">
        <v>96</v>
      </c>
      <c r="E43" s="1075" t="s">
        <v>4225</v>
      </c>
      <c r="F43" s="237"/>
      <c r="G43" s="237"/>
      <c r="H43" s="237"/>
      <c r="I43" s="237"/>
      <c r="J43" s="237"/>
      <c r="K43" s="237"/>
      <c r="L43" s="237"/>
      <c r="M43" s="238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</row>
    <row r="44">
      <c r="A44" s="787" t="s">
        <v>4226</v>
      </c>
      <c r="B44" s="787" t="s">
        <v>4174</v>
      </c>
      <c r="C44" s="787" t="s">
        <v>4179</v>
      </c>
      <c r="D44" s="787" t="s">
        <v>4179</v>
      </c>
      <c r="E44" s="1075" t="s">
        <v>4227</v>
      </c>
      <c r="F44" s="237"/>
      <c r="G44" s="237"/>
      <c r="H44" s="237"/>
      <c r="I44" s="237"/>
      <c r="J44" s="237"/>
      <c r="K44" s="237"/>
      <c r="L44" s="237"/>
      <c r="M44" s="238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</row>
    <row r="45">
      <c r="A45" s="787" t="s">
        <v>4228</v>
      </c>
      <c r="B45" s="787" t="s">
        <v>4169</v>
      </c>
      <c r="C45" s="787" t="s">
        <v>4176</v>
      </c>
      <c r="D45" s="787" t="s">
        <v>4176</v>
      </c>
      <c r="E45" s="264" t="s">
        <v>4229</v>
      </c>
      <c r="F45" s="795"/>
      <c r="G45" s="795"/>
      <c r="H45" s="795"/>
      <c r="I45" s="795"/>
      <c r="J45" s="795"/>
      <c r="K45" s="795"/>
      <c r="L45" s="795"/>
      <c r="M45" s="796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</row>
    <row r="46">
      <c r="A46" s="263"/>
      <c r="B46" s="1066"/>
      <c r="C46" s="263"/>
      <c r="D46" s="263"/>
      <c r="E46" s="263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</row>
    <row r="47">
      <c r="A47" s="263"/>
      <c r="B47" s="1066"/>
      <c r="C47" s="263"/>
      <c r="D47" s="263"/>
      <c r="E47" s="263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</row>
    <row r="48">
      <c r="A48" s="263"/>
      <c r="B48" s="1066"/>
      <c r="C48" s="263"/>
      <c r="D48" s="263"/>
      <c r="E48" s="263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</row>
    <row r="49">
      <c r="A49" s="1068" t="s">
        <v>4178</v>
      </c>
      <c r="B49" s="1069"/>
      <c r="C49" s="1070" t="s">
        <v>4186</v>
      </c>
      <c r="D49" s="1071"/>
      <c r="E49" s="1071"/>
      <c r="F49" s="1072"/>
      <c r="G49" s="1072"/>
      <c r="H49" s="1072"/>
      <c r="I49" s="1072"/>
      <c r="J49" s="1072"/>
      <c r="K49" s="1072"/>
      <c r="L49" s="1072"/>
      <c r="M49" s="1073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</row>
    <row r="50">
      <c r="A50" s="1074" t="s">
        <v>3083</v>
      </c>
      <c r="B50" s="997" t="s">
        <v>417</v>
      </c>
      <c r="C50" s="1075" t="s">
        <v>2873</v>
      </c>
      <c r="D50" s="249"/>
      <c r="E50" s="249"/>
      <c r="F50" s="237"/>
      <c r="G50" s="237"/>
      <c r="H50" s="237"/>
      <c r="I50" s="237"/>
      <c r="J50" s="237"/>
      <c r="K50" s="237"/>
      <c r="L50" s="237"/>
      <c r="M50" s="238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</row>
    <row r="51">
      <c r="A51" s="1074" t="s">
        <v>4173</v>
      </c>
      <c r="B51" s="997" t="s">
        <v>417</v>
      </c>
      <c r="C51" s="263" t="s">
        <v>4230</v>
      </c>
      <c r="D51" s="263"/>
      <c r="E51" s="263"/>
      <c r="F51" s="134"/>
      <c r="G51" s="134"/>
      <c r="H51" s="134"/>
      <c r="I51" s="134"/>
      <c r="J51" s="134"/>
      <c r="K51" s="134"/>
      <c r="L51" s="134"/>
      <c r="M51" s="149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</row>
    <row r="52">
      <c r="A52" s="1074" t="s">
        <v>4169</v>
      </c>
      <c r="B52" s="997" t="s">
        <v>4177</v>
      </c>
      <c r="C52" s="1075" t="s">
        <v>4231</v>
      </c>
      <c r="D52" s="249"/>
      <c r="E52" s="249"/>
      <c r="F52" s="237"/>
      <c r="G52" s="237"/>
      <c r="H52" s="237"/>
      <c r="I52" s="237"/>
      <c r="J52" s="237"/>
      <c r="K52" s="237"/>
      <c r="L52" s="237"/>
      <c r="M52" s="238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</row>
    <row r="53">
      <c r="A53" s="1074" t="s">
        <v>4189</v>
      </c>
      <c r="B53" s="787" t="s">
        <v>4190</v>
      </c>
      <c r="C53" s="263"/>
      <c r="D53" s="263"/>
      <c r="E53" s="263"/>
      <c r="F53" s="134"/>
      <c r="G53" s="134"/>
      <c r="H53" s="134"/>
      <c r="I53" s="134"/>
      <c r="J53" s="134"/>
      <c r="K53" s="134"/>
      <c r="L53" s="134"/>
      <c r="M53" s="149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</row>
    <row r="54">
      <c r="A54" s="1074" t="s">
        <v>4206</v>
      </c>
      <c r="B54" s="997" t="s">
        <v>417</v>
      </c>
      <c r="C54" s="248" t="s">
        <v>4232</v>
      </c>
      <c r="D54" s="249"/>
      <c r="E54" s="249"/>
      <c r="F54" s="237"/>
      <c r="G54" s="237"/>
      <c r="H54" s="237"/>
      <c r="I54" s="237"/>
      <c r="J54" s="237"/>
      <c r="K54" s="237"/>
      <c r="L54" s="237"/>
      <c r="M54" s="238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</row>
    <row r="55">
      <c r="A55" s="1064"/>
      <c r="B55" s="1066"/>
      <c r="C55" s="263"/>
      <c r="D55" s="263"/>
      <c r="E55" s="263"/>
      <c r="F55" s="134"/>
      <c r="G55" s="134"/>
      <c r="H55" s="134"/>
      <c r="I55" s="134"/>
      <c r="J55" s="134"/>
      <c r="K55" s="134"/>
      <c r="L55" s="134"/>
      <c r="M55" s="149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</row>
    <row r="56">
      <c r="A56" s="1074" t="s">
        <v>0</v>
      </c>
      <c r="B56" s="1074" t="s">
        <v>2</v>
      </c>
      <c r="C56" s="1074" t="s">
        <v>4192</v>
      </c>
      <c r="D56" s="1074" t="s">
        <v>4193</v>
      </c>
      <c r="E56" s="1076" t="s">
        <v>4186</v>
      </c>
      <c r="F56" s="1077"/>
      <c r="G56" s="1077"/>
      <c r="H56" s="1077"/>
      <c r="I56" s="1077"/>
      <c r="J56" s="1077"/>
      <c r="K56" s="1077"/>
      <c r="L56" s="1077"/>
      <c r="M56" s="1078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</row>
    <row r="57">
      <c r="A57" s="787" t="s">
        <v>4233</v>
      </c>
      <c r="B57" s="787" t="s">
        <v>4173</v>
      </c>
      <c r="C57" s="787" t="s">
        <v>4177</v>
      </c>
      <c r="D57" s="787" t="s">
        <v>4177</v>
      </c>
      <c r="E57" s="1075" t="s">
        <v>4234</v>
      </c>
      <c r="F57" s="237"/>
      <c r="G57" s="237"/>
      <c r="H57" s="237"/>
      <c r="I57" s="237"/>
      <c r="J57" s="237"/>
      <c r="K57" s="237"/>
      <c r="L57" s="237"/>
      <c r="M57" s="238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</row>
    <row r="58">
      <c r="A58" s="787" t="s">
        <v>4235</v>
      </c>
      <c r="B58" s="787" t="s">
        <v>4171</v>
      </c>
      <c r="C58" s="787" t="s">
        <v>4177</v>
      </c>
      <c r="D58" s="787" t="s">
        <v>4177</v>
      </c>
      <c r="E58" s="263" t="s">
        <v>4236</v>
      </c>
      <c r="F58" s="134"/>
      <c r="G58" s="134"/>
      <c r="H58" s="134"/>
      <c r="I58" s="134"/>
      <c r="J58" s="134"/>
      <c r="K58" s="134"/>
      <c r="L58" s="134"/>
      <c r="M58" s="149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</row>
    <row r="59">
      <c r="A59" s="787" t="s">
        <v>4237</v>
      </c>
      <c r="B59" s="787" t="s">
        <v>4173</v>
      </c>
      <c r="C59" s="787" t="s">
        <v>4176</v>
      </c>
      <c r="D59" s="997" t="s">
        <v>4238</v>
      </c>
      <c r="E59" s="248" t="s">
        <v>4239</v>
      </c>
      <c r="F59" s="237"/>
      <c r="G59" s="237"/>
      <c r="H59" s="237"/>
      <c r="I59" s="237"/>
      <c r="J59" s="237"/>
      <c r="K59" s="237"/>
      <c r="L59" s="237"/>
      <c r="M59" s="238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</row>
    <row r="60">
      <c r="A60" s="787" t="s">
        <v>4240</v>
      </c>
      <c r="B60" s="997" t="s">
        <v>4169</v>
      </c>
      <c r="C60" s="787" t="s">
        <v>4176</v>
      </c>
      <c r="D60" s="787" t="s">
        <v>4176</v>
      </c>
      <c r="E60" s="1075" t="s">
        <v>4241</v>
      </c>
      <c r="F60" s="237"/>
      <c r="G60" s="237"/>
      <c r="H60" s="237"/>
      <c r="I60" s="237"/>
      <c r="J60" s="237"/>
      <c r="K60" s="237"/>
      <c r="L60" s="237"/>
      <c r="M60" s="238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</row>
    <row r="61">
      <c r="A61" s="787" t="s">
        <v>4242</v>
      </c>
      <c r="B61" s="787" t="s">
        <v>4169</v>
      </c>
      <c r="C61" s="787" t="s">
        <v>4176</v>
      </c>
      <c r="D61" s="787" t="s">
        <v>4176</v>
      </c>
      <c r="E61" s="264" t="s">
        <v>4243</v>
      </c>
      <c r="F61" s="795"/>
      <c r="G61" s="795"/>
      <c r="H61" s="795"/>
      <c r="I61" s="795"/>
      <c r="J61" s="795"/>
      <c r="K61" s="795"/>
      <c r="L61" s="795"/>
      <c r="M61" s="796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</row>
    <row r="62">
      <c r="A62" s="263"/>
      <c r="B62" s="1066"/>
      <c r="C62" s="263"/>
      <c r="D62" s="263"/>
      <c r="E62" s="263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</row>
    <row r="63">
      <c r="A63" s="263"/>
      <c r="B63" s="1066"/>
      <c r="C63" s="263"/>
      <c r="D63" s="263"/>
      <c r="E63" s="263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</row>
    <row r="64">
      <c r="A64" s="263"/>
      <c r="B64" s="1066"/>
      <c r="C64" s="263"/>
      <c r="D64" s="263"/>
      <c r="E64" s="263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</row>
    <row r="65">
      <c r="A65" s="1068" t="s">
        <v>3699</v>
      </c>
      <c r="B65" s="1069"/>
      <c r="C65" s="1070" t="s">
        <v>4186</v>
      </c>
      <c r="D65" s="1071"/>
      <c r="E65" s="1071"/>
      <c r="F65" s="1072"/>
      <c r="G65" s="1072"/>
      <c r="H65" s="1072"/>
      <c r="I65" s="1072"/>
      <c r="J65" s="1072"/>
      <c r="K65" s="1072"/>
      <c r="L65" s="1072"/>
      <c r="M65" s="1073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</row>
    <row r="66">
      <c r="A66" s="1074" t="s">
        <v>3083</v>
      </c>
      <c r="B66" s="997" t="s">
        <v>417</v>
      </c>
      <c r="C66" s="1075" t="s">
        <v>4244</v>
      </c>
      <c r="D66" s="249"/>
      <c r="E66" s="249"/>
      <c r="F66" s="237"/>
      <c r="G66" s="237"/>
      <c r="H66" s="237"/>
      <c r="I66" s="237"/>
      <c r="J66" s="237"/>
      <c r="K66" s="237"/>
      <c r="L66" s="237"/>
      <c r="M66" s="238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</row>
    <row r="67">
      <c r="A67" s="1074" t="s">
        <v>4173</v>
      </c>
      <c r="B67" s="997" t="s">
        <v>417</v>
      </c>
      <c r="C67" s="263" t="s">
        <v>4245</v>
      </c>
      <c r="D67" s="263"/>
      <c r="E67" s="263"/>
      <c r="F67" s="134"/>
      <c r="G67" s="134"/>
      <c r="H67" s="134"/>
      <c r="I67" s="134"/>
      <c r="J67" s="134"/>
      <c r="K67" s="134"/>
      <c r="L67" s="134"/>
      <c r="M67" s="149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</row>
    <row r="68">
      <c r="A68" s="1074" t="s">
        <v>4246</v>
      </c>
      <c r="B68" s="997" t="s">
        <v>4177</v>
      </c>
      <c r="C68" s="248" t="s">
        <v>4247</v>
      </c>
      <c r="D68" s="249"/>
      <c r="E68" s="249"/>
      <c r="F68" s="237"/>
      <c r="G68" s="237"/>
      <c r="H68" s="237"/>
      <c r="I68" s="237"/>
      <c r="J68" s="237"/>
      <c r="K68" s="237"/>
      <c r="L68" s="237"/>
      <c r="M68" s="238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</row>
    <row r="69">
      <c r="A69" s="1074" t="s">
        <v>4189</v>
      </c>
      <c r="B69" s="787" t="s">
        <v>4190</v>
      </c>
      <c r="C69" s="263"/>
      <c r="D69" s="263"/>
      <c r="E69" s="263"/>
      <c r="F69" s="134"/>
      <c r="G69" s="134"/>
      <c r="H69" s="134"/>
      <c r="I69" s="134"/>
      <c r="J69" s="134"/>
      <c r="K69" s="134"/>
      <c r="L69" s="134"/>
      <c r="M69" s="149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</row>
    <row r="70">
      <c r="A70" s="1074" t="s">
        <v>4206</v>
      </c>
      <c r="B70" s="997" t="s">
        <v>417</v>
      </c>
      <c r="C70" s="248" t="s">
        <v>4248</v>
      </c>
      <c r="D70" s="249"/>
      <c r="E70" s="249"/>
      <c r="F70" s="237"/>
      <c r="G70" s="237"/>
      <c r="H70" s="237"/>
      <c r="I70" s="237"/>
      <c r="J70" s="237"/>
      <c r="K70" s="237"/>
      <c r="L70" s="237"/>
      <c r="M70" s="238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</row>
    <row r="71">
      <c r="A71" s="1064"/>
      <c r="B71" s="1066"/>
      <c r="C71" s="263"/>
      <c r="D71" s="263"/>
      <c r="E71" s="263"/>
      <c r="F71" s="134"/>
      <c r="G71" s="134"/>
      <c r="H71" s="134"/>
      <c r="I71" s="134"/>
      <c r="J71" s="134"/>
      <c r="K71" s="134"/>
      <c r="L71" s="134"/>
      <c r="M71" s="149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</row>
    <row r="72">
      <c r="A72" s="1074" t="s">
        <v>0</v>
      </c>
      <c r="B72" s="1074" t="s">
        <v>2</v>
      </c>
      <c r="C72" s="1074" t="s">
        <v>4192</v>
      </c>
      <c r="D72" s="1074" t="s">
        <v>4193</v>
      </c>
      <c r="E72" s="1076" t="s">
        <v>4186</v>
      </c>
      <c r="F72" s="1077"/>
      <c r="G72" s="1077"/>
      <c r="H72" s="1077"/>
      <c r="I72" s="1077"/>
      <c r="J72" s="1077"/>
      <c r="K72" s="1077"/>
      <c r="L72" s="1077"/>
      <c r="M72" s="1078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</row>
    <row r="73">
      <c r="A73" s="787" t="s">
        <v>4249</v>
      </c>
      <c r="B73" s="787" t="s">
        <v>4173</v>
      </c>
      <c r="C73" s="787" t="s">
        <v>417</v>
      </c>
      <c r="D73" s="787" t="s">
        <v>417</v>
      </c>
      <c r="E73" s="1075" t="s">
        <v>4250</v>
      </c>
      <c r="F73" s="237"/>
      <c r="G73" s="237"/>
      <c r="H73" s="237"/>
      <c r="I73" s="237"/>
      <c r="J73" s="237"/>
      <c r="K73" s="237"/>
      <c r="L73" s="237"/>
      <c r="M73" s="238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</row>
    <row r="74">
      <c r="A74" s="787" t="s">
        <v>4251</v>
      </c>
      <c r="B74" s="787" t="s">
        <v>4171</v>
      </c>
      <c r="C74" s="787" t="s">
        <v>4179</v>
      </c>
      <c r="D74" s="787" t="s">
        <v>4179</v>
      </c>
      <c r="E74" s="263" t="s">
        <v>4252</v>
      </c>
      <c r="F74" s="134"/>
      <c r="G74" s="134"/>
      <c r="H74" s="134"/>
      <c r="I74" s="134"/>
      <c r="J74" s="134"/>
      <c r="K74" s="134"/>
      <c r="L74" s="134"/>
      <c r="M74" s="149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</row>
    <row r="75">
      <c r="A75" s="787" t="s">
        <v>4253</v>
      </c>
      <c r="B75" s="787" t="s">
        <v>4173</v>
      </c>
      <c r="C75" s="787" t="s">
        <v>4179</v>
      </c>
      <c r="D75" s="997" t="s">
        <v>4254</v>
      </c>
      <c r="E75" s="248" t="s">
        <v>4255</v>
      </c>
      <c r="F75" s="237"/>
      <c r="G75" s="237"/>
      <c r="H75" s="237"/>
      <c r="I75" s="237"/>
      <c r="J75" s="237"/>
      <c r="K75" s="237"/>
      <c r="L75" s="237"/>
      <c r="M75" s="238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</row>
    <row r="76">
      <c r="A76" s="787" t="s">
        <v>4256</v>
      </c>
      <c r="B76" s="787" t="s">
        <v>4246</v>
      </c>
      <c r="C76" s="787" t="s">
        <v>4177</v>
      </c>
      <c r="D76" s="787" t="s">
        <v>4177</v>
      </c>
      <c r="E76" s="1075"/>
      <c r="F76" s="237"/>
      <c r="G76" s="237"/>
      <c r="H76" s="237"/>
      <c r="I76" s="237"/>
      <c r="J76" s="237"/>
      <c r="K76" s="237"/>
      <c r="L76" s="237"/>
      <c r="M76" s="238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</row>
    <row r="77">
      <c r="A77" s="787" t="s">
        <v>4257</v>
      </c>
      <c r="B77" s="787" t="s">
        <v>4246</v>
      </c>
      <c r="C77" s="997" t="s">
        <v>4177</v>
      </c>
      <c r="D77" s="997" t="s">
        <v>4177</v>
      </c>
      <c r="E77" s="1079" t="s">
        <v>4258</v>
      </c>
      <c r="F77" s="795"/>
      <c r="G77" s="795"/>
      <c r="H77" s="795"/>
      <c r="I77" s="795"/>
      <c r="J77" s="795"/>
      <c r="K77" s="795"/>
      <c r="L77" s="795"/>
      <c r="M77" s="796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</row>
    <row r="78">
      <c r="A78" s="263"/>
      <c r="B78" s="1066"/>
      <c r="C78" s="263"/>
      <c r="D78" s="263"/>
      <c r="E78" s="263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</row>
    <row r="79">
      <c r="A79" s="263"/>
      <c r="B79" s="1066"/>
      <c r="C79" s="263"/>
      <c r="D79" s="263"/>
      <c r="E79" s="263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</row>
    <row r="80">
      <c r="A80" s="263"/>
      <c r="B80" s="1066"/>
      <c r="C80" s="263"/>
      <c r="D80" s="263"/>
      <c r="E80" s="263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</row>
    <row r="81">
      <c r="A81" s="1068" t="s">
        <v>3918</v>
      </c>
      <c r="B81" s="1069"/>
      <c r="C81" s="1070" t="s">
        <v>4186</v>
      </c>
      <c r="D81" s="1071"/>
      <c r="E81" s="1071"/>
      <c r="F81" s="1072"/>
      <c r="G81" s="1072"/>
      <c r="H81" s="1072"/>
      <c r="I81" s="1072"/>
      <c r="J81" s="1072"/>
      <c r="K81" s="1072"/>
      <c r="L81" s="1072"/>
      <c r="M81" s="1073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</row>
    <row r="82">
      <c r="A82" s="1074" t="s">
        <v>3083</v>
      </c>
      <c r="B82" s="997" t="s">
        <v>4179</v>
      </c>
      <c r="C82" s="1075" t="s">
        <v>453</v>
      </c>
      <c r="D82" s="249"/>
      <c r="E82" s="249"/>
      <c r="F82" s="237"/>
      <c r="G82" s="237"/>
      <c r="H82" s="237"/>
      <c r="I82" s="237"/>
      <c r="J82" s="237"/>
      <c r="K82" s="237"/>
      <c r="L82" s="237"/>
      <c r="M82" s="238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</row>
    <row r="83">
      <c r="A83" s="1074" t="s">
        <v>4171</v>
      </c>
      <c r="B83" s="997" t="s">
        <v>96</v>
      </c>
      <c r="C83" s="263" t="s">
        <v>4259</v>
      </c>
      <c r="D83" s="263"/>
      <c r="E83" s="263"/>
      <c r="F83" s="134"/>
      <c r="G83" s="134"/>
      <c r="H83" s="134"/>
      <c r="I83" s="134"/>
      <c r="J83" s="134"/>
      <c r="K83" s="134"/>
      <c r="L83" s="134"/>
      <c r="M83" s="149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</row>
    <row r="84">
      <c r="A84" s="1074" t="s">
        <v>4174</v>
      </c>
      <c r="B84" s="997" t="s">
        <v>4177</v>
      </c>
      <c r="C84" s="1075" t="s">
        <v>4260</v>
      </c>
      <c r="D84" s="249"/>
      <c r="E84" s="249"/>
      <c r="F84" s="237"/>
      <c r="G84" s="237"/>
      <c r="H84" s="237"/>
      <c r="I84" s="237"/>
      <c r="J84" s="237"/>
      <c r="K84" s="237"/>
      <c r="L84" s="237"/>
      <c r="M84" s="238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</row>
    <row r="85">
      <c r="A85" s="1074" t="s">
        <v>4189</v>
      </c>
      <c r="B85" s="787" t="s">
        <v>4220</v>
      </c>
      <c r="C85" s="263"/>
      <c r="D85" s="263"/>
      <c r="E85" s="263"/>
      <c r="F85" s="134"/>
      <c r="G85" s="134"/>
      <c r="H85" s="134"/>
      <c r="I85" s="134"/>
      <c r="J85" s="134"/>
      <c r="K85" s="134"/>
      <c r="L85" s="134"/>
      <c r="M85" s="149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</row>
    <row r="86">
      <c r="A86" s="1074" t="s">
        <v>4206</v>
      </c>
      <c r="B86" s="997" t="s">
        <v>4261</v>
      </c>
      <c r="C86" s="1075" t="s">
        <v>4262</v>
      </c>
      <c r="D86" s="249"/>
      <c r="E86" s="249"/>
      <c r="F86" s="237"/>
      <c r="G86" s="237"/>
      <c r="H86" s="237"/>
      <c r="I86" s="237"/>
      <c r="J86" s="237"/>
      <c r="K86" s="237"/>
      <c r="L86" s="237"/>
      <c r="M86" s="238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</row>
    <row r="87">
      <c r="A87" s="1064"/>
      <c r="B87" s="1066"/>
      <c r="C87" s="263"/>
      <c r="D87" s="263"/>
      <c r="E87" s="263"/>
      <c r="F87" s="134"/>
      <c r="G87" s="134"/>
      <c r="H87" s="134"/>
      <c r="I87" s="134"/>
      <c r="J87" s="134"/>
      <c r="K87" s="134"/>
      <c r="L87" s="134"/>
      <c r="M87" s="149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</row>
    <row r="88">
      <c r="A88" s="1074" t="s">
        <v>0</v>
      </c>
      <c r="B88" s="1074" t="s">
        <v>2</v>
      </c>
      <c r="C88" s="1074" t="s">
        <v>4192</v>
      </c>
      <c r="D88" s="1074" t="s">
        <v>4193</v>
      </c>
      <c r="E88" s="1076" t="s">
        <v>4186</v>
      </c>
      <c r="F88" s="1077"/>
      <c r="G88" s="1077"/>
      <c r="H88" s="1077"/>
      <c r="I88" s="1077"/>
      <c r="J88" s="1077"/>
      <c r="K88" s="1077"/>
      <c r="L88" s="1077"/>
      <c r="M88" s="1078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</row>
    <row r="89">
      <c r="A89" s="787" t="s">
        <v>4263</v>
      </c>
      <c r="B89" s="787" t="s">
        <v>4171</v>
      </c>
      <c r="C89" s="787" t="s">
        <v>4176</v>
      </c>
      <c r="D89" s="787" t="s">
        <v>4176</v>
      </c>
      <c r="E89" s="1075" t="s">
        <v>4264</v>
      </c>
      <c r="F89" s="237"/>
      <c r="G89" s="237"/>
      <c r="H89" s="237"/>
      <c r="I89" s="237"/>
      <c r="J89" s="237"/>
      <c r="K89" s="237"/>
      <c r="L89" s="237"/>
      <c r="M89" s="238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</row>
    <row r="90">
      <c r="A90" s="787" t="s">
        <v>4265</v>
      </c>
      <c r="B90" s="787" t="s">
        <v>4171</v>
      </c>
      <c r="C90" s="787" t="s">
        <v>96</v>
      </c>
      <c r="D90" s="787" t="s">
        <v>96</v>
      </c>
      <c r="E90" s="263" t="s">
        <v>4266</v>
      </c>
      <c r="F90" s="134"/>
      <c r="G90" s="134"/>
      <c r="H90" s="134"/>
      <c r="I90" s="134"/>
      <c r="J90" s="134"/>
      <c r="K90" s="134"/>
      <c r="L90" s="134"/>
      <c r="M90" s="149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</row>
    <row r="91">
      <c r="A91" s="787" t="s">
        <v>4267</v>
      </c>
      <c r="B91" s="787" t="s">
        <v>4171</v>
      </c>
      <c r="C91" s="787" t="s">
        <v>4176</v>
      </c>
      <c r="D91" s="787" t="s">
        <v>4176</v>
      </c>
      <c r="E91" s="1075" t="s">
        <v>4268</v>
      </c>
      <c r="F91" s="237"/>
      <c r="G91" s="237"/>
      <c r="H91" s="237"/>
      <c r="I91" s="237"/>
      <c r="J91" s="237"/>
      <c r="K91" s="237"/>
      <c r="L91" s="237"/>
      <c r="M91" s="238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</row>
    <row r="92">
      <c r="A92" s="787" t="s">
        <v>4269</v>
      </c>
      <c r="B92" s="787" t="s">
        <v>4174</v>
      </c>
      <c r="C92" s="787" t="s">
        <v>4177</v>
      </c>
      <c r="D92" s="787" t="s">
        <v>4177</v>
      </c>
      <c r="E92" s="1075" t="s">
        <v>4270</v>
      </c>
      <c r="F92" s="237"/>
      <c r="G92" s="237"/>
      <c r="H92" s="237"/>
      <c r="I92" s="237"/>
      <c r="J92" s="237"/>
      <c r="K92" s="237"/>
      <c r="L92" s="237"/>
      <c r="M92" s="238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</row>
    <row r="93">
      <c r="A93" s="787" t="s">
        <v>4271</v>
      </c>
      <c r="B93" s="787" t="s">
        <v>4174</v>
      </c>
      <c r="C93" s="997" t="s">
        <v>4177</v>
      </c>
      <c r="D93" s="997" t="s">
        <v>4177</v>
      </c>
      <c r="E93" s="1079" t="s">
        <v>4272</v>
      </c>
      <c r="F93" s="795"/>
      <c r="G93" s="795"/>
      <c r="H93" s="795"/>
      <c r="I93" s="795"/>
      <c r="J93" s="795"/>
      <c r="K93" s="795"/>
      <c r="L93" s="795"/>
      <c r="M93" s="796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</row>
    <row r="94">
      <c r="A94" s="263"/>
      <c r="B94" s="1066"/>
      <c r="C94" s="263"/>
      <c r="D94" s="263"/>
      <c r="E94" s="263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</row>
    <row r="95">
      <c r="A95" s="263"/>
      <c r="B95" s="1066"/>
      <c r="C95" s="263"/>
      <c r="D95" s="263"/>
      <c r="E95" s="263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</row>
    <row r="96">
      <c r="A96" s="263"/>
      <c r="B96" s="1066"/>
      <c r="C96" s="263"/>
      <c r="D96" s="263"/>
      <c r="E96" s="263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</row>
    <row r="97">
      <c r="A97" s="1068" t="s">
        <v>3970</v>
      </c>
      <c r="B97" s="1069"/>
      <c r="C97" s="1070" t="s">
        <v>4186</v>
      </c>
      <c r="D97" s="1071"/>
      <c r="E97" s="1071"/>
      <c r="F97" s="1072"/>
      <c r="G97" s="1072"/>
      <c r="H97" s="1072"/>
      <c r="I97" s="1072"/>
      <c r="J97" s="1072"/>
      <c r="K97" s="1072"/>
      <c r="L97" s="1072"/>
      <c r="M97" s="1073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</row>
    <row r="98">
      <c r="A98" s="1074" t="s">
        <v>3083</v>
      </c>
      <c r="B98" s="997" t="s">
        <v>4177</v>
      </c>
      <c r="C98" s="1075" t="s">
        <v>4273</v>
      </c>
      <c r="D98" s="249"/>
      <c r="E98" s="249"/>
      <c r="F98" s="237"/>
      <c r="G98" s="237"/>
      <c r="H98" s="237"/>
      <c r="I98" s="237"/>
      <c r="J98" s="237"/>
      <c r="K98" s="237"/>
      <c r="L98" s="237"/>
      <c r="M98" s="238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</row>
    <row r="99">
      <c r="A99" s="1074" t="s">
        <v>4167</v>
      </c>
      <c r="B99" s="997" t="s">
        <v>96</v>
      </c>
      <c r="C99" s="263" t="s">
        <v>4274</v>
      </c>
      <c r="D99" s="263"/>
      <c r="E99" s="263"/>
      <c r="F99" s="134"/>
      <c r="G99" s="134"/>
      <c r="H99" s="134"/>
      <c r="I99" s="134"/>
      <c r="J99" s="134"/>
      <c r="K99" s="134"/>
      <c r="L99" s="134"/>
      <c r="M99" s="149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</row>
    <row r="100">
      <c r="A100" s="1074" t="s">
        <v>4172</v>
      </c>
      <c r="B100" s="997" t="s">
        <v>4176</v>
      </c>
      <c r="C100" s="1075" t="s">
        <v>4275</v>
      </c>
      <c r="D100" s="249"/>
      <c r="E100" s="249"/>
      <c r="F100" s="237"/>
      <c r="G100" s="237"/>
      <c r="H100" s="237"/>
      <c r="I100" s="237"/>
      <c r="J100" s="237"/>
      <c r="K100" s="237"/>
      <c r="L100" s="237"/>
      <c r="M100" s="238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</row>
    <row r="101">
      <c r="A101" s="1074" t="s">
        <v>4189</v>
      </c>
      <c r="B101" s="787" t="s">
        <v>4276</v>
      </c>
      <c r="C101" s="263"/>
      <c r="D101" s="263"/>
      <c r="E101" s="263"/>
      <c r="F101" s="134"/>
      <c r="G101" s="134"/>
      <c r="H101" s="134"/>
      <c r="I101" s="134"/>
      <c r="J101" s="134"/>
      <c r="K101" s="134"/>
      <c r="L101" s="134"/>
      <c r="M101" s="149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</row>
    <row r="102">
      <c r="A102" s="1074" t="s">
        <v>4206</v>
      </c>
      <c r="B102" s="997" t="s">
        <v>4176</v>
      </c>
      <c r="C102" s="1075" t="s">
        <v>4277</v>
      </c>
      <c r="D102" s="249"/>
      <c r="E102" s="249"/>
      <c r="F102" s="237"/>
      <c r="G102" s="237"/>
      <c r="H102" s="237"/>
      <c r="I102" s="237"/>
      <c r="J102" s="237"/>
      <c r="K102" s="237"/>
      <c r="L102" s="237"/>
      <c r="M102" s="238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</row>
    <row r="103">
      <c r="A103" s="1064"/>
      <c r="B103" s="1066"/>
      <c r="C103" s="263"/>
      <c r="D103" s="263"/>
      <c r="E103" s="263"/>
      <c r="F103" s="134"/>
      <c r="G103" s="134"/>
      <c r="H103" s="134"/>
      <c r="I103" s="134"/>
      <c r="J103" s="134"/>
      <c r="K103" s="134"/>
      <c r="L103" s="134"/>
      <c r="M103" s="149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</row>
    <row r="104">
      <c r="A104" s="1074" t="s">
        <v>0</v>
      </c>
      <c r="B104" s="1074" t="s">
        <v>2</v>
      </c>
      <c r="C104" s="1074" t="s">
        <v>4192</v>
      </c>
      <c r="D104" s="1074" t="s">
        <v>4193</v>
      </c>
      <c r="E104" s="1076" t="s">
        <v>4186</v>
      </c>
      <c r="F104" s="1077"/>
      <c r="G104" s="1077"/>
      <c r="H104" s="1077"/>
      <c r="I104" s="1077"/>
      <c r="J104" s="1077"/>
      <c r="K104" s="1077"/>
      <c r="L104" s="1077"/>
      <c r="M104" s="1078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</row>
    <row r="105">
      <c r="A105" s="787" t="s">
        <v>4278</v>
      </c>
      <c r="B105" s="787" t="s">
        <v>4167</v>
      </c>
      <c r="C105" s="787" t="s">
        <v>4176</v>
      </c>
      <c r="D105" s="787" t="s">
        <v>4176</v>
      </c>
      <c r="E105" s="1075" t="s">
        <v>4279</v>
      </c>
      <c r="F105" s="237"/>
      <c r="G105" s="237"/>
      <c r="H105" s="237"/>
      <c r="I105" s="237"/>
      <c r="J105" s="237"/>
      <c r="K105" s="237"/>
      <c r="L105" s="237"/>
      <c r="M105" s="238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</row>
    <row r="106">
      <c r="A106" s="787" t="s">
        <v>4280</v>
      </c>
      <c r="B106" s="787" t="s">
        <v>4167</v>
      </c>
      <c r="C106" s="787" t="s">
        <v>4176</v>
      </c>
      <c r="D106" s="997" t="s">
        <v>4254</v>
      </c>
      <c r="E106" s="1037" t="s">
        <v>4281</v>
      </c>
      <c r="F106" s="134"/>
      <c r="G106" s="134"/>
      <c r="H106" s="134"/>
      <c r="I106" s="134"/>
      <c r="J106" s="134"/>
      <c r="K106" s="134"/>
      <c r="L106" s="134"/>
      <c r="M106" s="149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</row>
    <row r="107">
      <c r="A107" s="787" t="s">
        <v>4282</v>
      </c>
      <c r="B107" s="787" t="s">
        <v>4167</v>
      </c>
      <c r="C107" s="787" t="s">
        <v>4177</v>
      </c>
      <c r="D107" s="787" t="s">
        <v>4177</v>
      </c>
      <c r="E107" s="1075" t="s">
        <v>4283</v>
      </c>
      <c r="F107" s="237"/>
      <c r="G107" s="237"/>
      <c r="H107" s="237"/>
      <c r="I107" s="237"/>
      <c r="J107" s="237"/>
      <c r="K107" s="237"/>
      <c r="L107" s="237"/>
      <c r="M107" s="238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>
      <c r="A108" s="787" t="s">
        <v>4094</v>
      </c>
      <c r="B108" s="787" t="s">
        <v>4172</v>
      </c>
      <c r="C108" s="787" t="s">
        <v>4179</v>
      </c>
      <c r="D108" s="997" t="s">
        <v>4199</v>
      </c>
      <c r="E108" s="1075" t="s">
        <v>4284</v>
      </c>
      <c r="F108" s="237"/>
      <c r="G108" s="237"/>
      <c r="H108" s="237"/>
      <c r="I108" s="237"/>
      <c r="J108" s="237"/>
      <c r="K108" s="237"/>
      <c r="L108" s="237"/>
      <c r="M108" s="238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>
      <c r="A109" s="787" t="s">
        <v>4285</v>
      </c>
      <c r="B109" s="787" t="s">
        <v>4171</v>
      </c>
      <c r="C109" s="997" t="s">
        <v>4238</v>
      </c>
      <c r="D109" s="997" t="s">
        <v>4238</v>
      </c>
      <c r="E109" s="1079" t="s">
        <v>4286</v>
      </c>
      <c r="F109" s="795"/>
      <c r="G109" s="795"/>
      <c r="H109" s="795"/>
      <c r="I109" s="795"/>
      <c r="J109" s="795"/>
      <c r="K109" s="795"/>
      <c r="L109" s="795"/>
      <c r="M109" s="796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</row>
    <row r="110">
      <c r="A110" s="263"/>
      <c r="B110" s="1066"/>
      <c r="C110" s="263"/>
      <c r="D110" s="263"/>
      <c r="E110" s="263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>
      <c r="A111" s="263"/>
      <c r="B111" s="1066"/>
      <c r="C111" s="263"/>
      <c r="D111" s="263"/>
      <c r="E111" s="263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</row>
    <row r="112">
      <c r="A112" s="263"/>
      <c r="B112" s="1066"/>
      <c r="C112" s="263"/>
      <c r="D112" s="263"/>
      <c r="E112" s="263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</row>
    <row r="113">
      <c r="A113" s="1068" t="s">
        <v>1730</v>
      </c>
      <c r="B113" s="1069"/>
      <c r="C113" s="1070" t="s">
        <v>4186</v>
      </c>
      <c r="D113" s="1071"/>
      <c r="E113" s="1071"/>
      <c r="F113" s="1072"/>
      <c r="G113" s="1072"/>
      <c r="H113" s="1072"/>
      <c r="I113" s="1072"/>
      <c r="J113" s="1072"/>
      <c r="K113" s="1072"/>
      <c r="L113" s="1072"/>
      <c r="M113" s="1073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</row>
    <row r="114">
      <c r="A114" s="1074" t="s">
        <v>3083</v>
      </c>
      <c r="B114" s="997" t="s">
        <v>4179</v>
      </c>
      <c r="C114" s="1075" t="s">
        <v>455</v>
      </c>
      <c r="D114" s="249"/>
      <c r="E114" s="249"/>
      <c r="F114" s="237"/>
      <c r="G114" s="237"/>
      <c r="H114" s="237"/>
      <c r="I114" s="237"/>
      <c r="J114" s="237"/>
      <c r="K114" s="237"/>
      <c r="L114" s="237"/>
      <c r="M114" s="238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</row>
    <row r="115">
      <c r="A115" s="1074" t="s">
        <v>4167</v>
      </c>
      <c r="B115" s="997" t="s">
        <v>4177</v>
      </c>
      <c r="C115" s="263" t="s">
        <v>4287</v>
      </c>
      <c r="D115" s="263"/>
      <c r="E115" s="263"/>
      <c r="F115" s="134"/>
      <c r="G115" s="134"/>
      <c r="H115" s="134"/>
      <c r="I115" s="134"/>
      <c r="J115" s="134"/>
      <c r="K115" s="134"/>
      <c r="L115" s="134"/>
      <c r="M115" s="149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</row>
    <row r="116">
      <c r="A116" s="1074" t="s">
        <v>4172</v>
      </c>
      <c r="B116" s="997" t="s">
        <v>96</v>
      </c>
      <c r="C116" s="1075" t="s">
        <v>4288</v>
      </c>
      <c r="D116" s="249"/>
      <c r="E116" s="249"/>
      <c r="F116" s="237"/>
      <c r="G116" s="237"/>
      <c r="H116" s="237"/>
      <c r="I116" s="237"/>
      <c r="J116" s="237"/>
      <c r="K116" s="237"/>
      <c r="L116" s="237"/>
      <c r="M116" s="238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</row>
    <row r="117">
      <c r="A117" s="1074" t="s">
        <v>4189</v>
      </c>
      <c r="B117" s="787" t="s">
        <v>4276</v>
      </c>
      <c r="C117" s="263"/>
      <c r="D117" s="263"/>
      <c r="E117" s="263"/>
      <c r="F117" s="134"/>
      <c r="G117" s="134"/>
      <c r="H117" s="134"/>
      <c r="I117" s="134"/>
      <c r="J117" s="134"/>
      <c r="K117" s="134"/>
      <c r="L117" s="134"/>
      <c r="M117" s="149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</row>
    <row r="118">
      <c r="A118" s="1074" t="s">
        <v>4206</v>
      </c>
      <c r="B118" s="997" t="s">
        <v>4179</v>
      </c>
      <c r="C118" s="1075" t="s">
        <v>4289</v>
      </c>
      <c r="D118" s="249"/>
      <c r="E118" s="249"/>
      <c r="F118" s="237"/>
      <c r="G118" s="237"/>
      <c r="H118" s="237"/>
      <c r="I118" s="237"/>
      <c r="J118" s="237"/>
      <c r="K118" s="237"/>
      <c r="L118" s="237"/>
      <c r="M118" s="238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</row>
    <row r="119">
      <c r="A119" s="1064"/>
      <c r="B119" s="1066"/>
      <c r="C119" s="263"/>
      <c r="D119" s="263"/>
      <c r="E119" s="263"/>
      <c r="F119" s="134"/>
      <c r="G119" s="134"/>
      <c r="H119" s="134"/>
      <c r="I119" s="134"/>
      <c r="J119" s="134"/>
      <c r="K119" s="134"/>
      <c r="L119" s="134"/>
      <c r="M119" s="149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</row>
    <row r="120">
      <c r="A120" s="1074" t="s">
        <v>0</v>
      </c>
      <c r="B120" s="1074" t="s">
        <v>2</v>
      </c>
      <c r="C120" s="1074" t="s">
        <v>4192</v>
      </c>
      <c r="D120" s="1074" t="s">
        <v>4193</v>
      </c>
      <c r="E120" s="1076" t="s">
        <v>4186</v>
      </c>
      <c r="F120" s="1077"/>
      <c r="G120" s="1077"/>
      <c r="H120" s="1077"/>
      <c r="I120" s="1077"/>
      <c r="J120" s="1077"/>
      <c r="K120" s="1077"/>
      <c r="L120" s="1077"/>
      <c r="M120" s="1078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</row>
    <row r="121">
      <c r="A121" s="787" t="s">
        <v>4290</v>
      </c>
      <c r="B121" s="787" t="s">
        <v>4172</v>
      </c>
      <c r="C121" s="787" t="s">
        <v>4291</v>
      </c>
      <c r="D121" s="997" t="s">
        <v>4291</v>
      </c>
      <c r="E121" s="248" t="s">
        <v>4292</v>
      </c>
      <c r="F121" s="237"/>
      <c r="G121" s="237"/>
      <c r="H121" s="237"/>
      <c r="I121" s="237"/>
      <c r="J121" s="237"/>
      <c r="K121" s="237"/>
      <c r="L121" s="237"/>
      <c r="M121" s="238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</row>
    <row r="122">
      <c r="A122" s="787" t="s">
        <v>4293</v>
      </c>
      <c r="B122" s="787" t="s">
        <v>4172</v>
      </c>
      <c r="C122" s="787" t="s">
        <v>4176</v>
      </c>
      <c r="D122" s="787" t="s">
        <v>4176</v>
      </c>
      <c r="E122" s="263" t="s">
        <v>4294</v>
      </c>
      <c r="F122" s="134"/>
      <c r="G122" s="134"/>
      <c r="H122" s="134"/>
      <c r="I122" s="134"/>
      <c r="J122" s="134"/>
      <c r="K122" s="134"/>
      <c r="L122" s="134"/>
      <c r="M122" s="149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</row>
    <row r="123">
      <c r="A123" s="787" t="s">
        <v>4295</v>
      </c>
      <c r="B123" s="787" t="s">
        <v>4172</v>
      </c>
      <c r="C123" s="787" t="s">
        <v>4199</v>
      </c>
      <c r="D123" s="787" t="s">
        <v>4199</v>
      </c>
      <c r="E123" s="1075" t="s">
        <v>4296</v>
      </c>
      <c r="F123" s="237"/>
      <c r="G123" s="237"/>
      <c r="H123" s="237"/>
      <c r="I123" s="237"/>
      <c r="J123" s="237"/>
      <c r="K123" s="237"/>
      <c r="L123" s="237"/>
      <c r="M123" s="238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</row>
    <row r="124">
      <c r="A124" s="787" t="s">
        <v>4128</v>
      </c>
      <c r="B124" s="787" t="s">
        <v>4167</v>
      </c>
      <c r="C124" s="787" t="s">
        <v>4176</v>
      </c>
      <c r="D124" s="787" t="s">
        <v>96</v>
      </c>
      <c r="E124" s="1075" t="s">
        <v>4297</v>
      </c>
      <c r="F124" s="237"/>
      <c r="G124" s="237"/>
      <c r="H124" s="237"/>
      <c r="I124" s="237"/>
      <c r="J124" s="237"/>
      <c r="K124" s="237"/>
      <c r="L124" s="237"/>
      <c r="M124" s="238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</row>
    <row r="125">
      <c r="A125" s="787" t="s">
        <v>4298</v>
      </c>
      <c r="B125" s="787" t="s">
        <v>4167</v>
      </c>
      <c r="C125" s="997" t="s">
        <v>4199</v>
      </c>
      <c r="D125" s="997" t="s">
        <v>4199</v>
      </c>
      <c r="E125" s="1079" t="s">
        <v>4299</v>
      </c>
      <c r="F125" s="795"/>
      <c r="G125" s="795"/>
      <c r="H125" s="795"/>
      <c r="I125" s="795"/>
      <c r="J125" s="795"/>
      <c r="K125" s="795"/>
      <c r="L125" s="795"/>
      <c r="M125" s="796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</row>
    <row r="126">
      <c r="A126" s="263"/>
      <c r="B126" s="1066"/>
      <c r="C126" s="263"/>
      <c r="D126" s="263"/>
      <c r="E126" s="263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</row>
    <row r="127">
      <c r="A127" s="263"/>
      <c r="B127" s="1066"/>
      <c r="C127" s="263"/>
      <c r="D127" s="263"/>
      <c r="E127" s="263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</row>
    <row r="128">
      <c r="A128" s="263"/>
      <c r="B128" s="1066"/>
      <c r="C128" s="263"/>
      <c r="D128" s="263"/>
      <c r="E128" s="263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</row>
    <row r="129">
      <c r="A129" s="1068" t="s">
        <v>4180</v>
      </c>
      <c r="B129" s="1069"/>
      <c r="C129" s="1070" t="s">
        <v>4186</v>
      </c>
      <c r="D129" s="1071"/>
      <c r="E129" s="1071"/>
      <c r="F129" s="1072"/>
      <c r="G129" s="1072"/>
      <c r="H129" s="1072"/>
      <c r="I129" s="1072"/>
      <c r="J129" s="1072"/>
      <c r="K129" s="1072"/>
      <c r="L129" s="1072"/>
      <c r="M129" s="1073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</row>
    <row r="130">
      <c r="A130" s="1074" t="s">
        <v>3083</v>
      </c>
      <c r="B130" s="997" t="s">
        <v>4177</v>
      </c>
      <c r="C130" s="1075" t="s">
        <v>4144</v>
      </c>
      <c r="D130" s="249"/>
      <c r="E130" s="249"/>
      <c r="F130" s="237"/>
      <c r="G130" s="237"/>
      <c r="H130" s="237"/>
      <c r="I130" s="237"/>
      <c r="J130" s="237"/>
      <c r="K130" s="237"/>
      <c r="L130" s="237"/>
      <c r="M130" s="238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</row>
    <row r="131">
      <c r="A131" s="1074" t="s">
        <v>4170</v>
      </c>
      <c r="B131" s="997" t="s">
        <v>417</v>
      </c>
      <c r="C131" s="263"/>
      <c r="D131" s="263"/>
      <c r="E131" s="263"/>
      <c r="F131" s="134"/>
      <c r="G131" s="134"/>
      <c r="H131" s="134"/>
      <c r="I131" s="134"/>
      <c r="J131" s="134"/>
      <c r="K131" s="134"/>
      <c r="L131" s="134"/>
      <c r="M131" s="149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</row>
    <row r="132">
      <c r="A132" s="1074" t="s">
        <v>4171</v>
      </c>
      <c r="B132" s="997" t="s">
        <v>4177</v>
      </c>
      <c r="C132" s="1075"/>
      <c r="D132" s="249"/>
      <c r="E132" s="249"/>
      <c r="F132" s="237"/>
      <c r="G132" s="237"/>
      <c r="H132" s="237"/>
      <c r="I132" s="237"/>
      <c r="J132" s="237"/>
      <c r="K132" s="237"/>
      <c r="L132" s="237"/>
      <c r="M132" s="238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</row>
    <row r="133">
      <c r="A133" s="1074" t="s">
        <v>4189</v>
      </c>
      <c r="B133" s="787" t="s">
        <v>4276</v>
      </c>
      <c r="C133" s="263"/>
      <c r="D133" s="263"/>
      <c r="E133" s="263"/>
      <c r="F133" s="134"/>
      <c r="G133" s="134"/>
      <c r="H133" s="134"/>
      <c r="I133" s="134"/>
      <c r="J133" s="134"/>
      <c r="K133" s="134"/>
      <c r="L133" s="134"/>
      <c r="M133" s="149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</row>
    <row r="134">
      <c r="A134" s="1074" t="s">
        <v>4206</v>
      </c>
      <c r="B134" s="997" t="s">
        <v>4177</v>
      </c>
      <c r="C134" s="1075" t="s">
        <v>4300</v>
      </c>
      <c r="D134" s="249"/>
      <c r="E134" s="249"/>
      <c r="F134" s="237"/>
      <c r="G134" s="237"/>
      <c r="H134" s="237"/>
      <c r="I134" s="237"/>
      <c r="J134" s="237"/>
      <c r="K134" s="237"/>
      <c r="L134" s="237"/>
      <c r="M134" s="238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</row>
    <row r="135">
      <c r="A135" s="1064"/>
      <c r="B135" s="1066"/>
      <c r="C135" s="263"/>
      <c r="D135" s="263"/>
      <c r="E135" s="263"/>
      <c r="F135" s="134"/>
      <c r="G135" s="134"/>
      <c r="H135" s="134"/>
      <c r="I135" s="134"/>
      <c r="J135" s="134"/>
      <c r="K135" s="134"/>
      <c r="L135" s="134"/>
      <c r="M135" s="149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</row>
    <row r="136">
      <c r="A136" s="1074" t="s">
        <v>0</v>
      </c>
      <c r="B136" s="1074" t="s">
        <v>2</v>
      </c>
      <c r="C136" s="1074" t="s">
        <v>4192</v>
      </c>
      <c r="D136" s="1074" t="s">
        <v>4193</v>
      </c>
      <c r="E136" s="1076" t="s">
        <v>4186</v>
      </c>
      <c r="F136" s="1077"/>
      <c r="G136" s="1077"/>
      <c r="H136" s="1077"/>
      <c r="I136" s="1077"/>
      <c r="J136" s="1077"/>
      <c r="K136" s="1077"/>
      <c r="L136" s="1077"/>
      <c r="M136" s="1078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</row>
    <row r="137">
      <c r="A137" s="787" t="s">
        <v>4301</v>
      </c>
      <c r="B137" s="787" t="s">
        <v>4170</v>
      </c>
      <c r="C137" s="787" t="s">
        <v>4177</v>
      </c>
      <c r="D137" s="787" t="s">
        <v>4177</v>
      </c>
      <c r="E137" s="248" t="s">
        <v>4302</v>
      </c>
      <c r="F137" s="237"/>
      <c r="G137" s="237"/>
      <c r="H137" s="237"/>
      <c r="I137" s="237"/>
      <c r="J137" s="237"/>
      <c r="K137" s="237"/>
      <c r="L137" s="237"/>
      <c r="M137" s="238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</row>
    <row r="138">
      <c r="A138" s="787" t="s">
        <v>4303</v>
      </c>
      <c r="B138" s="787" t="s">
        <v>4170</v>
      </c>
      <c r="C138" s="997" t="s">
        <v>4177</v>
      </c>
      <c r="D138" s="997" t="s">
        <v>4177</v>
      </c>
      <c r="E138" s="263"/>
      <c r="F138" s="134"/>
      <c r="G138" s="134"/>
      <c r="H138" s="134"/>
      <c r="I138" s="134"/>
      <c r="J138" s="134"/>
      <c r="K138" s="134"/>
      <c r="L138" s="134"/>
      <c r="M138" s="149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</row>
    <row r="139">
      <c r="A139" s="787" t="s">
        <v>4304</v>
      </c>
      <c r="B139" s="787" t="s">
        <v>4170</v>
      </c>
      <c r="C139" s="787" t="s">
        <v>4176</v>
      </c>
      <c r="D139" s="787" t="s">
        <v>4176</v>
      </c>
      <c r="E139" s="1075" t="s">
        <v>4305</v>
      </c>
      <c r="F139" s="237"/>
      <c r="G139" s="237"/>
      <c r="H139" s="237"/>
      <c r="I139" s="237"/>
      <c r="J139" s="237"/>
      <c r="K139" s="237"/>
      <c r="L139" s="237"/>
      <c r="M139" s="238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</row>
    <row r="140">
      <c r="A140" s="787" t="s">
        <v>4306</v>
      </c>
      <c r="B140" s="787" t="s">
        <v>4171</v>
      </c>
      <c r="C140" s="787" t="s">
        <v>4177</v>
      </c>
      <c r="D140" s="787" t="s">
        <v>4177</v>
      </c>
      <c r="E140" s="1075" t="s">
        <v>4236</v>
      </c>
      <c r="F140" s="237"/>
      <c r="G140" s="237"/>
      <c r="H140" s="237"/>
      <c r="I140" s="237"/>
      <c r="J140" s="237"/>
      <c r="K140" s="237"/>
      <c r="L140" s="237"/>
      <c r="M140" s="238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</row>
    <row r="141">
      <c r="A141" s="787" t="s">
        <v>4307</v>
      </c>
      <c r="B141" s="787" t="s">
        <v>4171</v>
      </c>
      <c r="C141" s="787" t="s">
        <v>4177</v>
      </c>
      <c r="D141" s="787" t="s">
        <v>4177</v>
      </c>
      <c r="E141" s="264" t="s">
        <v>4308</v>
      </c>
      <c r="F141" s="795"/>
      <c r="G141" s="795"/>
      <c r="H141" s="795"/>
      <c r="I141" s="795"/>
      <c r="J141" s="795"/>
      <c r="K141" s="795"/>
      <c r="L141" s="795"/>
      <c r="M141" s="796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</row>
    <row r="142">
      <c r="A142" s="263"/>
      <c r="B142" s="1066"/>
      <c r="C142" s="263"/>
      <c r="D142" s="263"/>
      <c r="E142" s="263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</row>
    <row r="143">
      <c r="A143" s="263"/>
      <c r="B143" s="1066"/>
      <c r="C143" s="263"/>
      <c r="D143" s="263"/>
      <c r="E143" s="263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</row>
    <row r="144">
      <c r="A144" s="263"/>
      <c r="B144" s="1066"/>
      <c r="C144" s="263"/>
      <c r="D144" s="263"/>
      <c r="E144" s="263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</row>
    <row r="145">
      <c r="A145" s="1068" t="s">
        <v>4181</v>
      </c>
      <c r="B145" s="1069"/>
      <c r="C145" s="1070" t="s">
        <v>4186</v>
      </c>
      <c r="D145" s="1071"/>
      <c r="E145" s="1071"/>
      <c r="F145" s="1072"/>
      <c r="G145" s="1072"/>
      <c r="H145" s="1072"/>
      <c r="I145" s="1072"/>
      <c r="J145" s="1072"/>
      <c r="K145" s="1072"/>
      <c r="L145" s="1072"/>
      <c r="M145" s="1073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</row>
    <row r="146">
      <c r="A146" s="1074" t="s">
        <v>3083</v>
      </c>
      <c r="B146" s="997" t="s">
        <v>4177</v>
      </c>
      <c r="C146" s="1075" t="s">
        <v>4309</v>
      </c>
      <c r="D146" s="249"/>
      <c r="E146" s="249"/>
      <c r="F146" s="237"/>
      <c r="G146" s="237"/>
      <c r="H146" s="237"/>
      <c r="I146" s="237"/>
      <c r="J146" s="237"/>
      <c r="K146" s="237"/>
      <c r="L146" s="237"/>
      <c r="M146" s="238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</row>
    <row r="147">
      <c r="A147" s="1074" t="s">
        <v>4171</v>
      </c>
      <c r="B147" s="997" t="s">
        <v>96</v>
      </c>
      <c r="C147" s="263" t="s">
        <v>4310</v>
      </c>
      <c r="D147" s="263"/>
      <c r="E147" s="263"/>
      <c r="F147" s="134"/>
      <c r="G147" s="134"/>
      <c r="H147" s="134"/>
      <c r="I147" s="134"/>
      <c r="J147" s="134"/>
      <c r="K147" s="134"/>
      <c r="L147" s="134"/>
      <c r="M147" s="149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</row>
    <row r="148">
      <c r="A148" s="1074" t="s">
        <v>4170</v>
      </c>
      <c r="B148" s="997" t="s">
        <v>4261</v>
      </c>
      <c r="C148" s="1075" t="s">
        <v>4311</v>
      </c>
      <c r="D148" s="249"/>
      <c r="E148" s="249"/>
      <c r="F148" s="237"/>
      <c r="G148" s="237"/>
      <c r="H148" s="237"/>
      <c r="I148" s="237"/>
      <c r="J148" s="237"/>
      <c r="K148" s="237"/>
      <c r="L148" s="237"/>
      <c r="M148" s="238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</row>
    <row r="149">
      <c r="A149" s="1074" t="s">
        <v>4189</v>
      </c>
      <c r="B149" s="787" t="s">
        <v>4276</v>
      </c>
      <c r="C149" s="263"/>
      <c r="D149" s="263"/>
      <c r="E149" s="263"/>
      <c r="F149" s="134"/>
      <c r="G149" s="134"/>
      <c r="H149" s="134"/>
      <c r="I149" s="134"/>
      <c r="J149" s="134"/>
      <c r="K149" s="134"/>
      <c r="L149" s="134"/>
      <c r="M149" s="149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</row>
    <row r="150">
      <c r="A150" s="1074" t="s">
        <v>4206</v>
      </c>
      <c r="B150" s="997" t="s">
        <v>4177</v>
      </c>
      <c r="C150" s="1075" t="s">
        <v>4312</v>
      </c>
      <c r="D150" s="249"/>
      <c r="E150" s="249"/>
      <c r="F150" s="237"/>
      <c r="G150" s="237"/>
      <c r="H150" s="237"/>
      <c r="I150" s="237"/>
      <c r="J150" s="237"/>
      <c r="K150" s="237"/>
      <c r="L150" s="237"/>
      <c r="M150" s="238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</row>
    <row r="151">
      <c r="A151" s="1064"/>
      <c r="B151" s="1066"/>
      <c r="C151" s="263"/>
      <c r="D151" s="263"/>
      <c r="E151" s="263"/>
      <c r="F151" s="134"/>
      <c r="G151" s="134"/>
      <c r="H151" s="134"/>
      <c r="I151" s="134"/>
      <c r="J151" s="134"/>
      <c r="K151" s="134"/>
      <c r="L151" s="134"/>
      <c r="M151" s="149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</row>
    <row r="152">
      <c r="A152" s="1074" t="s">
        <v>0</v>
      </c>
      <c r="B152" s="1074" t="s">
        <v>2</v>
      </c>
      <c r="C152" s="1074" t="s">
        <v>4192</v>
      </c>
      <c r="D152" s="1074" t="s">
        <v>4193</v>
      </c>
      <c r="E152" s="1076" t="s">
        <v>4186</v>
      </c>
      <c r="F152" s="1077"/>
      <c r="G152" s="1077"/>
      <c r="H152" s="1077"/>
      <c r="I152" s="1077"/>
      <c r="J152" s="1077"/>
      <c r="K152" s="1077"/>
      <c r="L152" s="1077"/>
      <c r="M152" s="1078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</row>
    <row r="153">
      <c r="A153" s="787" t="s">
        <v>4313</v>
      </c>
      <c r="B153" s="787" t="s">
        <v>4171</v>
      </c>
      <c r="C153" s="787" t="s">
        <v>417</v>
      </c>
      <c r="D153" s="787" t="s">
        <v>417</v>
      </c>
      <c r="E153" s="1075" t="s">
        <v>4236</v>
      </c>
      <c r="F153" s="237"/>
      <c r="G153" s="237"/>
      <c r="H153" s="237"/>
      <c r="I153" s="237"/>
      <c r="J153" s="237"/>
      <c r="K153" s="237"/>
      <c r="L153" s="237"/>
      <c r="M153" s="238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</row>
    <row r="154">
      <c r="A154" s="787" t="s">
        <v>4314</v>
      </c>
      <c r="B154" s="787" t="s">
        <v>4171</v>
      </c>
      <c r="C154" s="787" t="s">
        <v>417</v>
      </c>
      <c r="D154" s="787" t="s">
        <v>417</v>
      </c>
      <c r="E154" s="263" t="s">
        <v>4315</v>
      </c>
      <c r="F154" s="134"/>
      <c r="G154" s="134"/>
      <c r="H154" s="134"/>
      <c r="I154" s="134"/>
      <c r="J154" s="134"/>
      <c r="K154" s="134"/>
      <c r="L154" s="134"/>
      <c r="M154" s="149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</row>
    <row r="155">
      <c r="A155" s="787" t="s">
        <v>4316</v>
      </c>
      <c r="B155" s="787" t="s">
        <v>4171</v>
      </c>
      <c r="C155" s="787" t="s">
        <v>4177</v>
      </c>
      <c r="D155" s="787" t="s">
        <v>4177</v>
      </c>
      <c r="E155" s="1075" t="s">
        <v>4236</v>
      </c>
      <c r="F155" s="237"/>
      <c r="G155" s="237"/>
      <c r="H155" s="237"/>
      <c r="I155" s="237"/>
      <c r="J155" s="237"/>
      <c r="K155" s="237"/>
      <c r="L155" s="237"/>
      <c r="M155" s="238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</row>
    <row r="156">
      <c r="A156" s="787" t="s">
        <v>4317</v>
      </c>
      <c r="B156" s="787" t="s">
        <v>4170</v>
      </c>
      <c r="C156" s="787" t="s">
        <v>4179</v>
      </c>
      <c r="D156" s="787" t="s">
        <v>4179</v>
      </c>
      <c r="E156" s="1075" t="s">
        <v>4318</v>
      </c>
      <c r="F156" s="237"/>
      <c r="G156" s="237"/>
      <c r="H156" s="237"/>
      <c r="I156" s="237"/>
      <c r="J156" s="237"/>
      <c r="K156" s="237"/>
      <c r="L156" s="237"/>
      <c r="M156" s="238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</row>
    <row r="157">
      <c r="A157" s="997" t="s">
        <v>4319</v>
      </c>
      <c r="B157" s="997" t="s">
        <v>4170</v>
      </c>
      <c r="C157" s="787" t="s">
        <v>4177</v>
      </c>
      <c r="D157" s="787" t="s">
        <v>4177</v>
      </c>
      <c r="E157" s="264" t="s">
        <v>4320</v>
      </c>
      <c r="F157" s="795"/>
      <c r="G157" s="795"/>
      <c r="H157" s="795"/>
      <c r="I157" s="795"/>
      <c r="J157" s="795"/>
      <c r="K157" s="795"/>
      <c r="L157" s="795"/>
      <c r="M157" s="796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</row>
    <row r="158">
      <c r="A158" s="263"/>
      <c r="B158" s="1066"/>
      <c r="C158" s="263"/>
      <c r="D158" s="263"/>
      <c r="E158" s="263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</row>
    <row r="159">
      <c r="A159" s="263"/>
      <c r="B159" s="1066"/>
      <c r="C159" s="263"/>
      <c r="D159" s="263"/>
      <c r="E159" s="263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</row>
    <row r="160">
      <c r="A160" s="263"/>
      <c r="B160" s="1066"/>
      <c r="C160" s="263"/>
      <c r="D160" s="263"/>
      <c r="E160" s="263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</row>
    <row r="161">
      <c r="A161" s="1068" t="s">
        <v>3917</v>
      </c>
      <c r="B161" s="1069"/>
      <c r="C161" s="1070" t="s">
        <v>4186</v>
      </c>
      <c r="D161" s="1071"/>
      <c r="E161" s="1071"/>
      <c r="F161" s="1072"/>
      <c r="G161" s="1072"/>
      <c r="H161" s="1072"/>
      <c r="I161" s="1072"/>
      <c r="J161" s="1072"/>
      <c r="K161" s="1072"/>
      <c r="L161" s="1072"/>
      <c r="M161" s="1073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</row>
    <row r="162">
      <c r="A162" s="1074" t="s">
        <v>3083</v>
      </c>
      <c r="B162" s="997" t="s">
        <v>4176</v>
      </c>
      <c r="C162" s="1075" t="s">
        <v>1140</v>
      </c>
      <c r="D162" s="249"/>
      <c r="E162" s="249"/>
      <c r="F162" s="237"/>
      <c r="G162" s="237"/>
      <c r="H162" s="237"/>
      <c r="I162" s="237"/>
      <c r="J162" s="237"/>
      <c r="K162" s="237"/>
      <c r="L162" s="237"/>
      <c r="M162" s="238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</row>
    <row r="163">
      <c r="A163" s="1074" t="s">
        <v>4174</v>
      </c>
      <c r="B163" s="997" t="s">
        <v>96</v>
      </c>
      <c r="C163" s="263" t="s">
        <v>4321</v>
      </c>
      <c r="D163" s="263"/>
      <c r="E163" s="263"/>
      <c r="F163" s="134"/>
      <c r="G163" s="134"/>
      <c r="H163" s="134"/>
      <c r="I163" s="134"/>
      <c r="J163" s="134"/>
      <c r="K163" s="134"/>
      <c r="L163" s="134"/>
      <c r="M163" s="149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</row>
    <row r="164">
      <c r="A164" s="1074" t="s">
        <v>4173</v>
      </c>
      <c r="B164" s="997" t="s">
        <v>4179</v>
      </c>
      <c r="C164" s="1075" t="s">
        <v>4322</v>
      </c>
      <c r="D164" s="249"/>
      <c r="E164" s="249"/>
      <c r="F164" s="237"/>
      <c r="G164" s="237"/>
      <c r="H164" s="237"/>
      <c r="I164" s="237"/>
      <c r="J164" s="237"/>
      <c r="K164" s="237"/>
      <c r="L164" s="237"/>
      <c r="M164" s="238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</row>
    <row r="165">
      <c r="A165" s="1074" t="s">
        <v>4189</v>
      </c>
      <c r="B165" s="787" t="s">
        <v>4276</v>
      </c>
      <c r="C165" s="263"/>
      <c r="D165" s="263"/>
      <c r="E165" s="263"/>
      <c r="F165" s="134"/>
      <c r="G165" s="134"/>
      <c r="H165" s="134"/>
      <c r="I165" s="134"/>
      <c r="J165" s="134"/>
      <c r="K165" s="134"/>
      <c r="L165" s="134"/>
      <c r="M165" s="149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</row>
    <row r="166">
      <c r="A166" s="1074" t="s">
        <v>4206</v>
      </c>
      <c r="B166" s="997" t="s">
        <v>4177</v>
      </c>
      <c r="C166" s="1075" t="s">
        <v>4323</v>
      </c>
      <c r="D166" s="249"/>
      <c r="E166" s="249"/>
      <c r="F166" s="237"/>
      <c r="G166" s="237"/>
      <c r="H166" s="237"/>
      <c r="I166" s="237"/>
      <c r="J166" s="237"/>
      <c r="K166" s="237"/>
      <c r="L166" s="237"/>
      <c r="M166" s="238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</row>
    <row r="167">
      <c r="A167" s="1064"/>
      <c r="B167" s="1066"/>
      <c r="C167" s="263"/>
      <c r="D167" s="263"/>
      <c r="E167" s="263"/>
      <c r="F167" s="134"/>
      <c r="G167" s="134"/>
      <c r="H167" s="134"/>
      <c r="I167" s="134"/>
      <c r="J167" s="134"/>
      <c r="K167" s="134"/>
      <c r="L167" s="134"/>
      <c r="M167" s="149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</row>
    <row r="168">
      <c r="A168" s="1074" t="s">
        <v>0</v>
      </c>
      <c r="B168" s="1074" t="s">
        <v>2</v>
      </c>
      <c r="C168" s="1074" t="s">
        <v>4192</v>
      </c>
      <c r="D168" s="1074" t="s">
        <v>4193</v>
      </c>
      <c r="E168" s="1076" t="s">
        <v>4186</v>
      </c>
      <c r="F168" s="1077"/>
      <c r="G168" s="1077"/>
      <c r="H168" s="1077"/>
      <c r="I168" s="1077"/>
      <c r="J168" s="1077"/>
      <c r="K168" s="1077"/>
      <c r="L168" s="1077"/>
      <c r="M168" s="1078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</row>
    <row r="169">
      <c r="A169" s="787" t="s">
        <v>4324</v>
      </c>
      <c r="B169" s="787" t="s">
        <v>4174</v>
      </c>
      <c r="C169" s="997" t="s">
        <v>4199</v>
      </c>
      <c r="D169" s="997" t="s">
        <v>4199</v>
      </c>
      <c r="E169" s="248" t="s">
        <v>4325</v>
      </c>
      <c r="F169" s="237"/>
      <c r="G169" s="237"/>
      <c r="H169" s="237"/>
      <c r="I169" s="237"/>
      <c r="J169" s="237"/>
      <c r="K169" s="237"/>
      <c r="L169" s="237"/>
      <c r="M169" s="238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</row>
    <row r="170">
      <c r="A170" s="787" t="s">
        <v>4326</v>
      </c>
      <c r="B170" s="787" t="s">
        <v>4174</v>
      </c>
      <c r="C170" s="787" t="s">
        <v>4177</v>
      </c>
      <c r="D170" s="787" t="s">
        <v>4177</v>
      </c>
      <c r="E170" s="263" t="s">
        <v>4327</v>
      </c>
      <c r="F170" s="134"/>
      <c r="G170" s="134"/>
      <c r="H170" s="134"/>
      <c r="I170" s="134"/>
      <c r="J170" s="134"/>
      <c r="K170" s="134"/>
      <c r="L170" s="134"/>
      <c r="M170" s="149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</row>
    <row r="171">
      <c r="A171" s="787" t="s">
        <v>4328</v>
      </c>
      <c r="B171" s="787" t="s">
        <v>4174</v>
      </c>
      <c r="C171" s="787" t="s">
        <v>417</v>
      </c>
      <c r="D171" s="787" t="s">
        <v>417</v>
      </c>
      <c r="E171" s="1075" t="s">
        <v>4329</v>
      </c>
      <c r="F171" s="237"/>
      <c r="G171" s="237"/>
      <c r="H171" s="237"/>
      <c r="I171" s="237"/>
      <c r="J171" s="237"/>
      <c r="K171" s="237"/>
      <c r="L171" s="237"/>
      <c r="M171" s="238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</row>
    <row r="172">
      <c r="A172" s="787" t="s">
        <v>4330</v>
      </c>
      <c r="B172" s="787" t="s">
        <v>4173</v>
      </c>
      <c r="C172" s="787" t="s">
        <v>4179</v>
      </c>
      <c r="D172" s="787" t="s">
        <v>4179</v>
      </c>
      <c r="E172" s="1075" t="s">
        <v>4331</v>
      </c>
      <c r="F172" s="237"/>
      <c r="G172" s="237"/>
      <c r="H172" s="237"/>
      <c r="I172" s="237"/>
      <c r="J172" s="237"/>
      <c r="K172" s="237"/>
      <c r="L172" s="237"/>
      <c r="M172" s="238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</row>
    <row r="173">
      <c r="A173" s="787" t="s">
        <v>4332</v>
      </c>
      <c r="B173" s="787" t="s">
        <v>4171</v>
      </c>
      <c r="C173" s="787" t="s">
        <v>4176</v>
      </c>
      <c r="D173" s="787" t="s">
        <v>4176</v>
      </c>
      <c r="E173" s="264" t="s">
        <v>4333</v>
      </c>
      <c r="F173" s="795"/>
      <c r="G173" s="795"/>
      <c r="H173" s="795"/>
      <c r="I173" s="795"/>
      <c r="J173" s="795"/>
      <c r="K173" s="795"/>
      <c r="L173" s="795"/>
      <c r="M173" s="796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</row>
    <row r="174">
      <c r="A174" s="263"/>
      <c r="B174" s="1066"/>
      <c r="C174" s="263"/>
      <c r="D174" s="263"/>
      <c r="E174" s="263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</row>
    <row r="175">
      <c r="A175" s="263"/>
      <c r="B175" s="1066"/>
      <c r="C175" s="263"/>
      <c r="D175" s="263"/>
      <c r="E175" s="263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</row>
    <row r="176">
      <c r="A176" s="263"/>
      <c r="B176" s="1066"/>
      <c r="C176" s="263"/>
      <c r="D176" s="263"/>
      <c r="E176" s="263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</row>
    <row r="177">
      <c r="A177" s="1068" t="s">
        <v>4334</v>
      </c>
      <c r="B177" s="1069"/>
      <c r="C177" s="1070" t="s">
        <v>4186</v>
      </c>
      <c r="D177" s="1071"/>
      <c r="E177" s="1071"/>
      <c r="F177" s="1072"/>
      <c r="G177" s="1072"/>
      <c r="H177" s="1072"/>
      <c r="I177" s="1072"/>
      <c r="J177" s="1072"/>
      <c r="K177" s="1072"/>
      <c r="L177" s="1072"/>
      <c r="M177" s="1073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</row>
    <row r="178">
      <c r="A178" s="1074" t="s">
        <v>3083</v>
      </c>
      <c r="B178" s="997" t="s">
        <v>96</v>
      </c>
      <c r="C178" s="1075" t="s">
        <v>4335</v>
      </c>
      <c r="D178" s="249"/>
      <c r="E178" s="249"/>
      <c r="F178" s="237"/>
      <c r="G178" s="237"/>
      <c r="H178" s="237"/>
      <c r="I178" s="237"/>
      <c r="J178" s="237"/>
      <c r="K178" s="237"/>
      <c r="L178" s="237"/>
      <c r="M178" s="238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</row>
    <row r="179">
      <c r="A179" s="1074" t="s">
        <v>4174</v>
      </c>
      <c r="B179" s="997" t="s">
        <v>96</v>
      </c>
      <c r="C179" s="263" t="s">
        <v>4336</v>
      </c>
      <c r="D179" s="263"/>
      <c r="E179" s="263"/>
      <c r="F179" s="134"/>
      <c r="G179" s="134"/>
      <c r="H179" s="134"/>
      <c r="I179" s="134"/>
      <c r="J179" s="134"/>
      <c r="K179" s="134"/>
      <c r="L179" s="134"/>
      <c r="M179" s="149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</row>
    <row r="180">
      <c r="A180" s="1074" t="s">
        <v>4246</v>
      </c>
      <c r="B180" s="997" t="s">
        <v>417</v>
      </c>
      <c r="C180" s="248" t="s">
        <v>4337</v>
      </c>
      <c r="D180" s="249"/>
      <c r="E180" s="249"/>
      <c r="F180" s="237"/>
      <c r="G180" s="237"/>
      <c r="H180" s="237"/>
      <c r="I180" s="237"/>
      <c r="J180" s="237"/>
      <c r="K180" s="237"/>
      <c r="L180" s="237"/>
      <c r="M180" s="238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</row>
    <row r="181">
      <c r="A181" s="1074" t="s">
        <v>4189</v>
      </c>
      <c r="B181" s="787" t="s">
        <v>4276</v>
      </c>
      <c r="C181" s="263"/>
      <c r="D181" s="263"/>
      <c r="E181" s="263"/>
      <c r="F181" s="134"/>
      <c r="G181" s="134"/>
      <c r="H181" s="134"/>
      <c r="I181" s="134"/>
      <c r="J181" s="134"/>
      <c r="K181" s="134"/>
      <c r="L181" s="134"/>
      <c r="M181" s="149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</row>
    <row r="182">
      <c r="A182" s="1074" t="s">
        <v>4206</v>
      </c>
      <c r="B182" s="997" t="s">
        <v>96</v>
      </c>
      <c r="C182" s="248" t="s">
        <v>4338</v>
      </c>
      <c r="D182" s="249"/>
      <c r="E182" s="249"/>
      <c r="F182" s="237"/>
      <c r="G182" s="237"/>
      <c r="H182" s="237"/>
      <c r="I182" s="237"/>
      <c r="J182" s="237"/>
      <c r="K182" s="237"/>
      <c r="L182" s="237"/>
      <c r="M182" s="238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</row>
    <row r="183">
      <c r="A183" s="1064"/>
      <c r="B183" s="1066"/>
      <c r="C183" s="263"/>
      <c r="D183" s="263"/>
      <c r="E183" s="263"/>
      <c r="F183" s="134"/>
      <c r="G183" s="134"/>
      <c r="H183" s="134"/>
      <c r="I183" s="134"/>
      <c r="J183" s="134"/>
      <c r="K183" s="134"/>
      <c r="L183" s="134"/>
      <c r="M183" s="149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</row>
    <row r="184">
      <c r="A184" s="1074" t="s">
        <v>0</v>
      </c>
      <c r="B184" s="1074" t="s">
        <v>2</v>
      </c>
      <c r="C184" s="1074" t="s">
        <v>4192</v>
      </c>
      <c r="D184" s="1074" t="s">
        <v>4193</v>
      </c>
      <c r="E184" s="1076" t="s">
        <v>4186</v>
      </c>
      <c r="F184" s="1077"/>
      <c r="G184" s="1077"/>
      <c r="H184" s="1077"/>
      <c r="I184" s="1077"/>
      <c r="J184" s="1077"/>
      <c r="K184" s="1077"/>
      <c r="L184" s="1077"/>
      <c r="M184" s="1078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</row>
    <row r="185">
      <c r="A185" s="787" t="s">
        <v>4339</v>
      </c>
      <c r="B185" s="787" t="s">
        <v>4174</v>
      </c>
      <c r="C185" s="787" t="s">
        <v>4254</v>
      </c>
      <c r="D185" s="787" t="s">
        <v>4254</v>
      </c>
      <c r="E185" s="1075" t="s">
        <v>4340</v>
      </c>
      <c r="F185" s="237"/>
      <c r="G185" s="237"/>
      <c r="H185" s="237"/>
      <c r="I185" s="237"/>
      <c r="J185" s="237"/>
      <c r="K185" s="237"/>
      <c r="L185" s="237"/>
      <c r="M185" s="238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</row>
    <row r="186">
      <c r="A186" s="787" t="s">
        <v>4341</v>
      </c>
      <c r="B186" s="787" t="s">
        <v>4174</v>
      </c>
      <c r="C186" s="787" t="s">
        <v>4176</v>
      </c>
      <c r="D186" s="787" t="s">
        <v>4176</v>
      </c>
      <c r="E186" s="263" t="s">
        <v>4342</v>
      </c>
      <c r="F186" s="134"/>
      <c r="G186" s="134"/>
      <c r="H186" s="134"/>
      <c r="I186" s="134"/>
      <c r="J186" s="134"/>
      <c r="K186" s="134"/>
      <c r="L186" s="134"/>
      <c r="M186" s="149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</row>
    <row r="187">
      <c r="A187" s="787" t="s">
        <v>4343</v>
      </c>
      <c r="B187" s="787" t="s">
        <v>4174</v>
      </c>
      <c r="C187" s="787" t="s">
        <v>4179</v>
      </c>
      <c r="D187" s="787" t="s">
        <v>4179</v>
      </c>
      <c r="E187" s="1075" t="s">
        <v>4344</v>
      </c>
      <c r="F187" s="237"/>
      <c r="G187" s="237"/>
      <c r="H187" s="237"/>
      <c r="I187" s="237"/>
      <c r="J187" s="237"/>
      <c r="K187" s="237"/>
      <c r="L187" s="237"/>
      <c r="M187" s="238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</row>
    <row r="188">
      <c r="A188" s="787" t="s">
        <v>4345</v>
      </c>
      <c r="B188" s="787" t="s">
        <v>4246</v>
      </c>
      <c r="C188" s="997" t="s">
        <v>417</v>
      </c>
      <c r="D188" s="997" t="s">
        <v>417</v>
      </c>
      <c r="E188" s="1075" t="s">
        <v>4346</v>
      </c>
      <c r="F188" s="237"/>
      <c r="G188" s="237"/>
      <c r="H188" s="237"/>
      <c r="I188" s="237"/>
      <c r="J188" s="237"/>
      <c r="K188" s="237"/>
      <c r="L188" s="237"/>
      <c r="M188" s="238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</row>
    <row r="189">
      <c r="A189" s="787" t="s">
        <v>4347</v>
      </c>
      <c r="B189" s="787" t="s">
        <v>4246</v>
      </c>
      <c r="C189" s="997" t="s">
        <v>4177</v>
      </c>
      <c r="D189" s="997" t="s">
        <v>417</v>
      </c>
      <c r="E189" s="264" t="s">
        <v>4348</v>
      </c>
      <c r="F189" s="795"/>
      <c r="G189" s="795"/>
      <c r="H189" s="795"/>
      <c r="I189" s="795"/>
      <c r="J189" s="795"/>
      <c r="K189" s="795"/>
      <c r="L189" s="795"/>
      <c r="M189" s="796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</row>
    <row r="190">
      <c r="A190" s="263"/>
      <c r="B190" s="1066"/>
      <c r="C190" s="263"/>
      <c r="D190" s="263"/>
      <c r="E190" s="263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</row>
    <row r="191">
      <c r="A191" s="263"/>
      <c r="B191" s="1066"/>
      <c r="C191" s="263"/>
      <c r="D191" s="263"/>
      <c r="E191" s="263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</row>
    <row r="192">
      <c r="A192" s="263"/>
      <c r="B192" s="1066"/>
      <c r="C192" s="263"/>
      <c r="D192" s="263"/>
      <c r="E192" s="263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</row>
    <row r="193">
      <c r="A193" s="1068" t="s">
        <v>3698</v>
      </c>
      <c r="B193" s="1069"/>
      <c r="C193" s="1070" t="s">
        <v>4186</v>
      </c>
      <c r="D193" s="1071"/>
      <c r="E193" s="1071"/>
      <c r="F193" s="1072"/>
      <c r="G193" s="1072"/>
      <c r="H193" s="1072"/>
      <c r="I193" s="1072"/>
      <c r="J193" s="1072"/>
      <c r="K193" s="1072"/>
      <c r="L193" s="1072"/>
      <c r="M193" s="1073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</row>
    <row r="194">
      <c r="A194" s="1074" t="s">
        <v>3083</v>
      </c>
      <c r="B194" s="997" t="s">
        <v>417</v>
      </c>
      <c r="C194" s="1075" t="s">
        <v>2454</v>
      </c>
      <c r="D194" s="249"/>
      <c r="E194" s="249"/>
      <c r="F194" s="237"/>
      <c r="G194" s="237"/>
      <c r="H194" s="237"/>
      <c r="I194" s="237"/>
      <c r="J194" s="237"/>
      <c r="K194" s="237"/>
      <c r="L194" s="237"/>
      <c r="M194" s="238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</row>
    <row r="195">
      <c r="A195" s="1074" t="s">
        <v>4173</v>
      </c>
      <c r="B195" s="997" t="s">
        <v>96</v>
      </c>
      <c r="C195" s="1037" t="s">
        <v>4349</v>
      </c>
      <c r="D195" s="263"/>
      <c r="E195" s="263"/>
      <c r="F195" s="134"/>
      <c r="G195" s="134"/>
      <c r="H195" s="134"/>
      <c r="I195" s="134"/>
      <c r="J195" s="134"/>
      <c r="K195" s="134"/>
      <c r="L195" s="134"/>
      <c r="M195" s="149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</row>
    <row r="196">
      <c r="A196" s="1074" t="s">
        <v>4171</v>
      </c>
      <c r="B196" s="997" t="s">
        <v>4177</v>
      </c>
      <c r="C196" s="1075" t="s">
        <v>4350</v>
      </c>
      <c r="D196" s="249"/>
      <c r="E196" s="249"/>
      <c r="F196" s="237"/>
      <c r="G196" s="237"/>
      <c r="H196" s="237"/>
      <c r="I196" s="237"/>
      <c r="J196" s="237"/>
      <c r="K196" s="237"/>
      <c r="L196" s="237"/>
      <c r="M196" s="238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</row>
    <row r="197">
      <c r="A197" s="1074" t="s">
        <v>4189</v>
      </c>
      <c r="B197" s="787" t="s">
        <v>4190</v>
      </c>
      <c r="C197" s="263"/>
      <c r="D197" s="263"/>
      <c r="E197" s="263"/>
      <c r="F197" s="134"/>
      <c r="G197" s="134"/>
      <c r="H197" s="134"/>
      <c r="I197" s="134"/>
      <c r="J197" s="134"/>
      <c r="K197" s="134"/>
      <c r="L197" s="134"/>
      <c r="M197" s="149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</row>
    <row r="198">
      <c r="A198" s="1074" t="s">
        <v>4206</v>
      </c>
      <c r="B198" s="997" t="s">
        <v>417</v>
      </c>
      <c r="C198" s="1075" t="s">
        <v>4351</v>
      </c>
      <c r="D198" s="249"/>
      <c r="E198" s="249"/>
      <c r="F198" s="237"/>
      <c r="G198" s="237"/>
      <c r="H198" s="237"/>
      <c r="I198" s="237"/>
      <c r="J198" s="237"/>
      <c r="K198" s="237"/>
      <c r="L198" s="237"/>
      <c r="M198" s="238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</row>
    <row r="199">
      <c r="A199" s="1064"/>
      <c r="B199" s="1066"/>
      <c r="C199" s="263"/>
      <c r="D199" s="263"/>
      <c r="E199" s="263"/>
      <c r="F199" s="134"/>
      <c r="G199" s="134"/>
      <c r="H199" s="134"/>
      <c r="I199" s="134"/>
      <c r="J199" s="134"/>
      <c r="K199" s="134"/>
      <c r="L199" s="134"/>
      <c r="M199" s="149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</row>
    <row r="200">
      <c r="A200" s="1074" t="s">
        <v>0</v>
      </c>
      <c r="B200" s="1074" t="s">
        <v>2</v>
      </c>
      <c r="C200" s="1074" t="s">
        <v>4192</v>
      </c>
      <c r="D200" s="1074" t="s">
        <v>4193</v>
      </c>
      <c r="E200" s="1076" t="s">
        <v>4186</v>
      </c>
      <c r="F200" s="1077"/>
      <c r="G200" s="1077"/>
      <c r="H200" s="1077"/>
      <c r="I200" s="1077"/>
      <c r="J200" s="1077"/>
      <c r="K200" s="1077"/>
      <c r="L200" s="1077"/>
      <c r="M200" s="1078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</row>
    <row r="201">
      <c r="A201" s="787" t="s">
        <v>4352</v>
      </c>
      <c r="B201" s="787" t="s">
        <v>4173</v>
      </c>
      <c r="C201" s="787" t="s">
        <v>96</v>
      </c>
      <c r="D201" s="787" t="s">
        <v>96</v>
      </c>
      <c r="E201" s="1075" t="s">
        <v>4353</v>
      </c>
      <c r="F201" s="237"/>
      <c r="G201" s="237"/>
      <c r="H201" s="237"/>
      <c r="I201" s="237"/>
      <c r="J201" s="237"/>
      <c r="K201" s="237"/>
      <c r="L201" s="237"/>
      <c r="M201" s="238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</row>
    <row r="202">
      <c r="A202" s="787" t="s">
        <v>4354</v>
      </c>
      <c r="B202" s="787" t="s">
        <v>4173</v>
      </c>
      <c r="C202" s="787" t="s">
        <v>417</v>
      </c>
      <c r="D202" s="787" t="s">
        <v>417</v>
      </c>
      <c r="E202" s="263"/>
      <c r="F202" s="134"/>
      <c r="G202" s="134"/>
      <c r="H202" s="134"/>
      <c r="I202" s="134"/>
      <c r="J202" s="134"/>
      <c r="K202" s="134"/>
      <c r="L202" s="134"/>
      <c r="M202" s="149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</row>
    <row r="203">
      <c r="A203" s="787" t="s">
        <v>4355</v>
      </c>
      <c r="B203" s="787" t="s">
        <v>4173</v>
      </c>
      <c r="C203" s="787" t="s">
        <v>417</v>
      </c>
      <c r="D203" s="787" t="s">
        <v>417</v>
      </c>
      <c r="E203" s="1075"/>
      <c r="F203" s="237"/>
      <c r="G203" s="237"/>
      <c r="H203" s="237"/>
      <c r="I203" s="237"/>
      <c r="J203" s="237"/>
      <c r="K203" s="237"/>
      <c r="L203" s="237"/>
      <c r="M203" s="238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</row>
    <row r="204">
      <c r="A204" s="787" t="s">
        <v>4356</v>
      </c>
      <c r="B204" s="787" t="s">
        <v>4171</v>
      </c>
      <c r="C204" s="787" t="s">
        <v>417</v>
      </c>
      <c r="D204" s="787" t="s">
        <v>96</v>
      </c>
      <c r="E204" s="1075" t="s">
        <v>4357</v>
      </c>
      <c r="F204" s="237"/>
      <c r="G204" s="237"/>
      <c r="H204" s="237"/>
      <c r="I204" s="237"/>
      <c r="J204" s="237"/>
      <c r="K204" s="237"/>
      <c r="L204" s="237"/>
      <c r="M204" s="238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</row>
    <row r="205">
      <c r="A205" s="787" t="s">
        <v>4358</v>
      </c>
      <c r="B205" s="787" t="s">
        <v>4170</v>
      </c>
      <c r="C205" s="787" t="s">
        <v>4199</v>
      </c>
      <c r="D205" s="787" t="s">
        <v>4199</v>
      </c>
      <c r="E205" s="264" t="s">
        <v>4359</v>
      </c>
      <c r="F205" s="795"/>
      <c r="G205" s="795"/>
      <c r="H205" s="795"/>
      <c r="I205" s="795"/>
      <c r="J205" s="795"/>
      <c r="K205" s="795"/>
      <c r="L205" s="795"/>
      <c r="M205" s="796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</row>
    <row r="206">
      <c r="A206" s="263"/>
      <c r="B206" s="1066"/>
      <c r="C206" s="263"/>
      <c r="D206" s="263"/>
      <c r="E206" s="263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</row>
    <row r="207">
      <c r="A207" s="263"/>
      <c r="B207" s="1066"/>
      <c r="C207" s="263"/>
      <c r="D207" s="263"/>
      <c r="E207" s="263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</row>
    <row r="208">
      <c r="A208" s="263"/>
      <c r="B208" s="1066"/>
      <c r="C208" s="263"/>
      <c r="D208" s="263"/>
      <c r="E208" s="263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</row>
    <row r="209">
      <c r="A209" s="1068" t="s">
        <v>4360</v>
      </c>
      <c r="B209" s="1069"/>
      <c r="C209" s="1070" t="s">
        <v>4186</v>
      </c>
      <c r="D209" s="1071"/>
      <c r="E209" s="1071"/>
      <c r="F209" s="1072"/>
      <c r="G209" s="1072"/>
      <c r="H209" s="1072"/>
      <c r="I209" s="1072"/>
      <c r="J209" s="1072"/>
      <c r="K209" s="1072"/>
      <c r="L209" s="1072"/>
      <c r="M209" s="1073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</row>
    <row r="210">
      <c r="A210" s="1074" t="s">
        <v>3083</v>
      </c>
      <c r="B210" s="997" t="s">
        <v>96</v>
      </c>
      <c r="C210" s="1075" t="s">
        <v>4361</v>
      </c>
      <c r="D210" s="249"/>
      <c r="E210" s="249"/>
      <c r="F210" s="237"/>
      <c r="G210" s="237"/>
      <c r="H210" s="237"/>
      <c r="I210" s="237"/>
      <c r="J210" s="237"/>
      <c r="K210" s="237"/>
      <c r="L210" s="237"/>
      <c r="M210" s="238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</row>
    <row r="211">
      <c r="A211" s="1074" t="s">
        <v>4362</v>
      </c>
      <c r="B211" s="997" t="s">
        <v>96</v>
      </c>
      <c r="C211" s="263" t="s">
        <v>4363</v>
      </c>
      <c r="D211" s="263"/>
      <c r="E211" s="263"/>
      <c r="F211" s="134"/>
      <c r="G211" s="134"/>
      <c r="H211" s="134"/>
      <c r="I211" s="134"/>
      <c r="J211" s="134"/>
      <c r="K211" s="134"/>
      <c r="L211" s="134"/>
      <c r="M211" s="149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</row>
    <row r="212">
      <c r="A212" s="1074" t="s">
        <v>4174</v>
      </c>
      <c r="B212" s="997" t="s">
        <v>96</v>
      </c>
      <c r="C212" s="1075" t="s">
        <v>4364</v>
      </c>
      <c r="D212" s="249"/>
      <c r="E212" s="249"/>
      <c r="F212" s="237"/>
      <c r="G212" s="237"/>
      <c r="H212" s="237"/>
      <c r="I212" s="237"/>
      <c r="J212" s="237"/>
      <c r="K212" s="237"/>
      <c r="L212" s="237"/>
      <c r="M212" s="238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</row>
    <row r="213">
      <c r="A213" s="1074" t="s">
        <v>4189</v>
      </c>
      <c r="B213" s="787" t="s">
        <v>4190</v>
      </c>
      <c r="C213" s="263"/>
      <c r="D213" s="263"/>
      <c r="E213" s="263"/>
      <c r="F213" s="134"/>
      <c r="G213" s="134"/>
      <c r="H213" s="134"/>
      <c r="I213" s="134"/>
      <c r="J213" s="134"/>
      <c r="K213" s="134"/>
      <c r="L213" s="134"/>
      <c r="M213" s="149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</row>
    <row r="214">
      <c r="A214" s="1074" t="s">
        <v>4206</v>
      </c>
      <c r="B214" s="997" t="s">
        <v>96</v>
      </c>
      <c r="C214" s="1075" t="s">
        <v>4365</v>
      </c>
      <c r="D214" s="249"/>
      <c r="E214" s="249"/>
      <c r="F214" s="237"/>
      <c r="G214" s="237"/>
      <c r="H214" s="237"/>
      <c r="I214" s="237"/>
      <c r="J214" s="237"/>
      <c r="K214" s="237"/>
      <c r="L214" s="237"/>
      <c r="M214" s="238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</row>
    <row r="215">
      <c r="A215" s="1064"/>
      <c r="B215" s="1066"/>
      <c r="C215" s="263"/>
      <c r="D215" s="263"/>
      <c r="E215" s="263"/>
      <c r="F215" s="134"/>
      <c r="G215" s="134"/>
      <c r="H215" s="134"/>
      <c r="I215" s="134"/>
      <c r="J215" s="134"/>
      <c r="K215" s="134"/>
      <c r="L215" s="134"/>
      <c r="M215" s="149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</row>
    <row r="216">
      <c r="A216" s="1074" t="s">
        <v>0</v>
      </c>
      <c r="B216" s="1074" t="s">
        <v>2</v>
      </c>
      <c r="C216" s="1074" t="s">
        <v>4192</v>
      </c>
      <c r="D216" s="1074" t="s">
        <v>4193</v>
      </c>
      <c r="E216" s="1076" t="s">
        <v>4186</v>
      </c>
      <c r="F216" s="1077"/>
      <c r="G216" s="1077"/>
      <c r="H216" s="1077"/>
      <c r="I216" s="1077"/>
      <c r="J216" s="1077"/>
      <c r="K216" s="1077"/>
      <c r="L216" s="1077"/>
      <c r="M216" s="1078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</row>
    <row r="217">
      <c r="A217" s="787" t="s">
        <v>4366</v>
      </c>
      <c r="B217" s="787" t="s">
        <v>4174</v>
      </c>
      <c r="C217" s="787" t="s">
        <v>4176</v>
      </c>
      <c r="D217" s="787" t="s">
        <v>4176</v>
      </c>
      <c r="E217" s="1075" t="s">
        <v>4367</v>
      </c>
      <c r="F217" s="237"/>
      <c r="G217" s="237"/>
      <c r="H217" s="237"/>
      <c r="I217" s="237"/>
      <c r="J217" s="237"/>
      <c r="K217" s="237"/>
      <c r="L217" s="237"/>
      <c r="M217" s="238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</row>
    <row r="218">
      <c r="A218" s="787" t="s">
        <v>4368</v>
      </c>
      <c r="B218" s="787" t="s">
        <v>4174</v>
      </c>
      <c r="C218" s="787" t="s">
        <v>96</v>
      </c>
      <c r="D218" s="787" t="s">
        <v>96</v>
      </c>
      <c r="E218" s="263" t="s">
        <v>4369</v>
      </c>
      <c r="F218" s="134"/>
      <c r="G218" s="134"/>
      <c r="H218" s="134"/>
      <c r="I218" s="134"/>
      <c r="J218" s="134"/>
      <c r="K218" s="134"/>
      <c r="L218" s="134"/>
      <c r="M218" s="149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</row>
    <row r="219">
      <c r="A219" s="787" t="s">
        <v>4370</v>
      </c>
      <c r="B219" s="787" t="s">
        <v>4174</v>
      </c>
      <c r="C219" s="787" t="s">
        <v>96</v>
      </c>
      <c r="D219" s="787" t="s">
        <v>4176</v>
      </c>
      <c r="E219" s="1075" t="s">
        <v>4371</v>
      </c>
      <c r="F219" s="237"/>
      <c r="G219" s="237"/>
      <c r="H219" s="237"/>
      <c r="I219" s="237"/>
      <c r="J219" s="237"/>
      <c r="K219" s="237"/>
      <c r="L219" s="237"/>
      <c r="M219" s="238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</row>
    <row r="220">
      <c r="A220" s="787" t="s">
        <v>4372</v>
      </c>
      <c r="B220" s="997" t="s">
        <v>4169</v>
      </c>
      <c r="C220" s="787" t="s">
        <v>4179</v>
      </c>
      <c r="D220" s="787" t="s">
        <v>4179</v>
      </c>
      <c r="E220" s="1075" t="s">
        <v>4373</v>
      </c>
      <c r="F220" s="237"/>
      <c r="G220" s="237"/>
      <c r="H220" s="237"/>
      <c r="I220" s="237"/>
      <c r="J220" s="237"/>
      <c r="K220" s="237"/>
      <c r="L220" s="237"/>
      <c r="M220" s="238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</row>
    <row r="221">
      <c r="A221" s="787" t="s">
        <v>4374</v>
      </c>
      <c r="B221" s="997" t="s">
        <v>4169</v>
      </c>
      <c r="C221" s="787" t="s">
        <v>96</v>
      </c>
      <c r="D221" s="787" t="s">
        <v>4176</v>
      </c>
      <c r="E221" s="264" t="s">
        <v>4375</v>
      </c>
      <c r="F221" s="795"/>
      <c r="G221" s="795"/>
      <c r="H221" s="795"/>
      <c r="I221" s="795"/>
      <c r="J221" s="795"/>
      <c r="K221" s="795"/>
      <c r="L221" s="795"/>
      <c r="M221" s="796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</row>
    <row r="222">
      <c r="A222" s="263"/>
      <c r="B222" s="1066"/>
      <c r="C222" s="263"/>
      <c r="D222" s="263"/>
      <c r="E222" s="263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</row>
    <row r="223">
      <c r="A223" s="263"/>
      <c r="B223" s="1066"/>
      <c r="C223" s="263"/>
      <c r="D223" s="263"/>
      <c r="E223" s="263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</row>
    <row r="224">
      <c r="A224" s="263"/>
      <c r="B224" s="1066"/>
      <c r="C224" s="263"/>
      <c r="D224" s="263"/>
      <c r="E224" s="263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</row>
    <row r="225">
      <c r="A225" s="1068" t="s">
        <v>4109</v>
      </c>
      <c r="B225" s="1069"/>
      <c r="C225" s="1070" t="s">
        <v>4186</v>
      </c>
      <c r="D225" s="1071"/>
      <c r="E225" s="1071"/>
      <c r="F225" s="1072"/>
      <c r="G225" s="1072"/>
      <c r="H225" s="1072"/>
      <c r="I225" s="1072"/>
      <c r="J225" s="1072"/>
      <c r="K225" s="1072"/>
      <c r="L225" s="1072"/>
      <c r="M225" s="1073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</row>
    <row r="226">
      <c r="A226" s="1074" t="s">
        <v>3083</v>
      </c>
      <c r="B226" s="997" t="s">
        <v>4179</v>
      </c>
      <c r="C226" s="1075" t="s">
        <v>459</v>
      </c>
      <c r="D226" s="249"/>
      <c r="E226" s="249"/>
      <c r="F226" s="237"/>
      <c r="G226" s="237"/>
      <c r="H226" s="237"/>
      <c r="I226" s="237"/>
      <c r="J226" s="237"/>
      <c r="K226" s="237"/>
      <c r="L226" s="237"/>
      <c r="M226" s="238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</row>
    <row r="227">
      <c r="A227" s="1074" t="s">
        <v>4167</v>
      </c>
      <c r="B227" s="997" t="s">
        <v>417</v>
      </c>
      <c r="C227" s="263" t="s">
        <v>4376</v>
      </c>
      <c r="D227" s="263"/>
      <c r="E227" s="263"/>
      <c r="F227" s="134"/>
      <c r="G227" s="134"/>
      <c r="H227" s="134"/>
      <c r="I227" s="134"/>
      <c r="J227" s="134"/>
      <c r="K227" s="134"/>
      <c r="L227" s="134"/>
      <c r="M227" s="149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</row>
    <row r="228">
      <c r="A228" s="1074" t="s">
        <v>4170</v>
      </c>
      <c r="B228" s="997" t="s">
        <v>96</v>
      </c>
      <c r="C228" s="1075" t="s">
        <v>4377</v>
      </c>
      <c r="D228" s="249"/>
      <c r="E228" s="249"/>
      <c r="F228" s="237"/>
      <c r="G228" s="237"/>
      <c r="H228" s="237"/>
      <c r="I228" s="237"/>
      <c r="J228" s="237"/>
      <c r="K228" s="237"/>
      <c r="L228" s="237"/>
      <c r="M228" s="238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</row>
    <row r="229">
      <c r="A229" s="1074" t="s">
        <v>4189</v>
      </c>
      <c r="B229" s="787" t="s">
        <v>4220</v>
      </c>
      <c r="C229" s="263"/>
      <c r="D229" s="263"/>
      <c r="E229" s="263"/>
      <c r="F229" s="134"/>
      <c r="G229" s="134"/>
      <c r="H229" s="134"/>
      <c r="I229" s="134"/>
      <c r="J229" s="134"/>
      <c r="K229" s="134"/>
      <c r="L229" s="134"/>
      <c r="M229" s="149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</row>
    <row r="230">
      <c r="A230" s="1074" t="s">
        <v>4206</v>
      </c>
      <c r="B230" s="997" t="s">
        <v>417</v>
      </c>
      <c r="C230" s="1075" t="s">
        <v>4378</v>
      </c>
      <c r="D230" s="249"/>
      <c r="E230" s="249"/>
      <c r="F230" s="237"/>
      <c r="G230" s="237"/>
      <c r="H230" s="237"/>
      <c r="I230" s="237"/>
      <c r="J230" s="237"/>
      <c r="K230" s="237"/>
      <c r="L230" s="237"/>
      <c r="M230" s="238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</row>
    <row r="231">
      <c r="A231" s="1064"/>
      <c r="B231" s="1066"/>
      <c r="C231" s="263"/>
      <c r="D231" s="263"/>
      <c r="E231" s="263"/>
      <c r="F231" s="134"/>
      <c r="G231" s="134"/>
      <c r="H231" s="134"/>
      <c r="I231" s="134"/>
      <c r="J231" s="134"/>
      <c r="K231" s="134"/>
      <c r="L231" s="134"/>
      <c r="M231" s="149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</row>
    <row r="232">
      <c r="A232" s="1074" t="s">
        <v>0</v>
      </c>
      <c r="B232" s="1074" t="s">
        <v>2</v>
      </c>
      <c r="C232" s="1074" t="s">
        <v>4192</v>
      </c>
      <c r="D232" s="1074" t="s">
        <v>4193</v>
      </c>
      <c r="E232" s="1076" t="s">
        <v>4186</v>
      </c>
      <c r="F232" s="1077"/>
      <c r="G232" s="1077"/>
      <c r="H232" s="1077"/>
      <c r="I232" s="1077"/>
      <c r="J232" s="1077"/>
      <c r="K232" s="1077"/>
      <c r="L232" s="1077"/>
      <c r="M232" s="1078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</row>
    <row r="233">
      <c r="A233" s="787" t="s">
        <v>4379</v>
      </c>
      <c r="B233" s="787" t="s">
        <v>4170</v>
      </c>
      <c r="C233" s="787" t="s">
        <v>417</v>
      </c>
      <c r="D233" s="787" t="s">
        <v>417</v>
      </c>
      <c r="E233" s="1075"/>
      <c r="F233" s="237"/>
      <c r="G233" s="237"/>
      <c r="H233" s="237"/>
      <c r="I233" s="237"/>
      <c r="J233" s="237"/>
      <c r="K233" s="237"/>
      <c r="L233" s="237"/>
      <c r="M233" s="238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</row>
    <row r="234">
      <c r="A234" s="787" t="s">
        <v>4380</v>
      </c>
      <c r="B234" s="787" t="s">
        <v>4170</v>
      </c>
      <c r="C234" s="787" t="s">
        <v>96</v>
      </c>
      <c r="D234" s="787" t="s">
        <v>96</v>
      </c>
      <c r="E234" s="263" t="s">
        <v>4283</v>
      </c>
      <c r="F234" s="134"/>
      <c r="G234" s="134"/>
      <c r="H234" s="134"/>
      <c r="I234" s="134"/>
      <c r="J234" s="134"/>
      <c r="K234" s="134"/>
      <c r="L234" s="134"/>
      <c r="M234" s="149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</row>
    <row r="235">
      <c r="A235" s="787" t="s">
        <v>4381</v>
      </c>
      <c r="B235" s="787" t="s">
        <v>4170</v>
      </c>
      <c r="C235" s="787" t="s">
        <v>417</v>
      </c>
      <c r="D235" s="787" t="s">
        <v>417</v>
      </c>
      <c r="E235" s="1075" t="s">
        <v>4382</v>
      </c>
      <c r="F235" s="237"/>
      <c r="G235" s="237"/>
      <c r="H235" s="237"/>
      <c r="I235" s="237"/>
      <c r="J235" s="237"/>
      <c r="K235" s="237"/>
      <c r="L235" s="237"/>
      <c r="M235" s="238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</row>
    <row r="236">
      <c r="A236" s="787" t="s">
        <v>4383</v>
      </c>
      <c r="B236" s="787" t="s">
        <v>4167</v>
      </c>
      <c r="C236" s="787" t="s">
        <v>4177</v>
      </c>
      <c r="D236" s="787" t="s">
        <v>4177</v>
      </c>
      <c r="E236" s="1075" t="s">
        <v>4384</v>
      </c>
      <c r="F236" s="237"/>
      <c r="G236" s="237"/>
      <c r="H236" s="237"/>
      <c r="I236" s="237"/>
      <c r="J236" s="237"/>
      <c r="K236" s="237"/>
      <c r="L236" s="237"/>
      <c r="M236" s="238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</row>
    <row r="237">
      <c r="A237" s="787" t="s">
        <v>4385</v>
      </c>
      <c r="B237" s="787" t="s">
        <v>4167</v>
      </c>
      <c r="C237" s="787" t="s">
        <v>96</v>
      </c>
      <c r="D237" s="787" t="s">
        <v>96</v>
      </c>
      <c r="E237" s="264" t="s">
        <v>4386</v>
      </c>
      <c r="F237" s="795"/>
      <c r="G237" s="795"/>
      <c r="H237" s="795"/>
      <c r="I237" s="795"/>
      <c r="J237" s="795"/>
      <c r="K237" s="795"/>
      <c r="L237" s="795"/>
      <c r="M237" s="796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</row>
    <row r="238">
      <c r="A238" s="263"/>
      <c r="B238" s="1066"/>
      <c r="C238" s="263"/>
      <c r="D238" s="263"/>
      <c r="E238" s="263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</row>
    <row r="239">
      <c r="A239" s="263"/>
      <c r="B239" s="1066"/>
      <c r="C239" s="263"/>
      <c r="D239" s="263"/>
      <c r="E239" s="263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</row>
    <row r="240">
      <c r="A240" s="263"/>
      <c r="B240" s="1066"/>
      <c r="C240" s="263"/>
      <c r="D240" s="263"/>
      <c r="E240" s="263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</row>
    <row r="241">
      <c r="A241" s="1068" t="s">
        <v>4182</v>
      </c>
      <c r="B241" s="1069"/>
      <c r="C241" s="1070" t="s">
        <v>4186</v>
      </c>
      <c r="D241" s="1071"/>
      <c r="E241" s="1071"/>
      <c r="F241" s="1072"/>
      <c r="G241" s="1072"/>
      <c r="H241" s="1072"/>
      <c r="I241" s="1072"/>
      <c r="J241" s="1072"/>
      <c r="K241" s="1072"/>
      <c r="L241" s="1072"/>
      <c r="M241" s="1073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</row>
    <row r="242">
      <c r="A242" s="1074" t="s">
        <v>3083</v>
      </c>
      <c r="B242" s="997" t="s">
        <v>417</v>
      </c>
      <c r="C242" s="1075" t="s">
        <v>1188</v>
      </c>
      <c r="D242" s="249"/>
      <c r="E242" s="249"/>
      <c r="F242" s="237"/>
      <c r="G242" s="237"/>
      <c r="H242" s="237"/>
      <c r="I242" s="237"/>
      <c r="J242" s="237"/>
      <c r="K242" s="237"/>
      <c r="L242" s="237"/>
      <c r="M242" s="238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</row>
    <row r="243">
      <c r="A243" s="1074" t="s">
        <v>4174</v>
      </c>
      <c r="B243" s="997" t="s">
        <v>4177</v>
      </c>
      <c r="C243" s="263" t="s">
        <v>4387</v>
      </c>
      <c r="D243" s="263"/>
      <c r="E243" s="263"/>
      <c r="F243" s="134"/>
      <c r="G243" s="134"/>
      <c r="H243" s="134"/>
      <c r="I243" s="134"/>
      <c r="J243" s="134"/>
      <c r="K243" s="134"/>
      <c r="L243" s="134"/>
      <c r="M243" s="149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</row>
    <row r="244">
      <c r="A244" s="1074" t="s">
        <v>4169</v>
      </c>
      <c r="B244" s="997" t="s">
        <v>4261</v>
      </c>
      <c r="C244" s="1075" t="s">
        <v>4388</v>
      </c>
      <c r="D244" s="249"/>
      <c r="E244" s="249"/>
      <c r="F244" s="237"/>
      <c r="G244" s="237"/>
      <c r="H244" s="237"/>
      <c r="I244" s="237"/>
      <c r="J244" s="237"/>
      <c r="K244" s="237"/>
      <c r="L244" s="237"/>
      <c r="M244" s="238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</row>
    <row r="245">
      <c r="A245" s="1074" t="s">
        <v>4189</v>
      </c>
      <c r="B245" s="787" t="s">
        <v>4190</v>
      </c>
      <c r="C245" s="263"/>
      <c r="D245" s="263"/>
      <c r="E245" s="263"/>
      <c r="F245" s="134"/>
      <c r="G245" s="134"/>
      <c r="H245" s="134"/>
      <c r="I245" s="134"/>
      <c r="J245" s="134"/>
      <c r="K245" s="134"/>
      <c r="L245" s="134"/>
      <c r="M245" s="149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</row>
    <row r="246">
      <c r="A246" s="1074" t="s">
        <v>4206</v>
      </c>
      <c r="B246" s="997" t="s">
        <v>4261</v>
      </c>
      <c r="C246" s="248" t="s">
        <v>4389</v>
      </c>
      <c r="D246" s="249"/>
      <c r="E246" s="249"/>
      <c r="F246" s="237"/>
      <c r="G246" s="237"/>
      <c r="H246" s="237"/>
      <c r="I246" s="237"/>
      <c r="J246" s="237"/>
      <c r="K246" s="237"/>
      <c r="L246" s="237"/>
      <c r="M246" s="238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</row>
    <row r="247">
      <c r="A247" s="1064"/>
      <c r="B247" s="1066"/>
      <c r="C247" s="263"/>
      <c r="D247" s="263"/>
      <c r="E247" s="263"/>
      <c r="F247" s="134"/>
      <c r="G247" s="134"/>
      <c r="H247" s="134"/>
      <c r="I247" s="134"/>
      <c r="J247" s="134"/>
      <c r="K247" s="134"/>
      <c r="L247" s="134"/>
      <c r="M247" s="149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</row>
    <row r="248">
      <c r="A248" s="1074" t="s">
        <v>0</v>
      </c>
      <c r="B248" s="1074" t="s">
        <v>2</v>
      </c>
      <c r="C248" s="1074" t="s">
        <v>4192</v>
      </c>
      <c r="D248" s="1074" t="s">
        <v>4193</v>
      </c>
      <c r="E248" s="1076" t="s">
        <v>4186</v>
      </c>
      <c r="F248" s="1077"/>
      <c r="G248" s="1077"/>
      <c r="H248" s="1077"/>
      <c r="I248" s="1077"/>
      <c r="J248" s="1077"/>
      <c r="K248" s="1077"/>
      <c r="L248" s="1077"/>
      <c r="M248" s="1078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</row>
    <row r="249">
      <c r="A249" s="787" t="s">
        <v>4390</v>
      </c>
      <c r="B249" s="787" t="s">
        <v>4174</v>
      </c>
      <c r="C249" s="787" t="s">
        <v>4177</v>
      </c>
      <c r="D249" s="787" t="s">
        <v>4177</v>
      </c>
      <c r="E249" s="1075" t="s">
        <v>4391</v>
      </c>
      <c r="F249" s="237"/>
      <c r="G249" s="237"/>
      <c r="H249" s="237"/>
      <c r="I249" s="237"/>
      <c r="J249" s="237"/>
      <c r="K249" s="237"/>
      <c r="L249" s="237"/>
      <c r="M249" s="238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</row>
    <row r="250">
      <c r="A250" s="787" t="s">
        <v>4392</v>
      </c>
      <c r="B250" s="787" t="s">
        <v>4174</v>
      </c>
      <c r="C250" s="787" t="s">
        <v>4177</v>
      </c>
      <c r="D250" s="787" t="s">
        <v>4177</v>
      </c>
      <c r="E250" s="263" t="s">
        <v>4393</v>
      </c>
      <c r="F250" s="134"/>
      <c r="G250" s="134"/>
      <c r="H250" s="134"/>
      <c r="I250" s="134"/>
      <c r="J250" s="134"/>
      <c r="K250" s="134"/>
      <c r="L250" s="134"/>
      <c r="M250" s="149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</row>
    <row r="251">
      <c r="A251" s="787" t="s">
        <v>4394</v>
      </c>
      <c r="B251" s="787" t="s">
        <v>4174</v>
      </c>
      <c r="C251" s="787" t="s">
        <v>417</v>
      </c>
      <c r="D251" s="787" t="s">
        <v>4176</v>
      </c>
      <c r="E251" s="1075" t="s">
        <v>4395</v>
      </c>
      <c r="F251" s="237"/>
      <c r="G251" s="237"/>
      <c r="H251" s="237"/>
      <c r="I251" s="237"/>
      <c r="J251" s="237"/>
      <c r="K251" s="237"/>
      <c r="L251" s="237"/>
      <c r="M251" s="238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</row>
    <row r="252">
      <c r="A252" s="787" t="s">
        <v>4396</v>
      </c>
      <c r="B252" s="997" t="s">
        <v>4169</v>
      </c>
      <c r="C252" s="787" t="s">
        <v>417</v>
      </c>
      <c r="D252" s="787" t="s">
        <v>417</v>
      </c>
      <c r="E252" s="1075" t="s">
        <v>4397</v>
      </c>
      <c r="F252" s="237"/>
      <c r="G252" s="237"/>
      <c r="H252" s="237"/>
      <c r="I252" s="237"/>
      <c r="J252" s="237"/>
      <c r="K252" s="237"/>
      <c r="L252" s="237"/>
      <c r="M252" s="238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</row>
    <row r="253">
      <c r="A253" s="787" t="s">
        <v>4398</v>
      </c>
      <c r="B253" s="787" t="s">
        <v>4171</v>
      </c>
      <c r="C253" s="787" t="s">
        <v>4238</v>
      </c>
      <c r="D253" s="787" t="s">
        <v>4238</v>
      </c>
      <c r="E253" s="264" t="s">
        <v>4399</v>
      </c>
      <c r="F253" s="795"/>
      <c r="G253" s="795"/>
      <c r="H253" s="795"/>
      <c r="I253" s="795"/>
      <c r="J253" s="795"/>
      <c r="K253" s="795"/>
      <c r="L253" s="795"/>
      <c r="M253" s="796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</row>
    <row r="254">
      <c r="A254" s="263"/>
      <c r="B254" s="1066"/>
      <c r="C254" s="263"/>
      <c r="D254" s="263"/>
      <c r="E254" s="263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</row>
    <row r="255">
      <c r="A255" s="263"/>
      <c r="B255" s="1066"/>
      <c r="C255" s="263"/>
      <c r="D255" s="263"/>
      <c r="E255" s="263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</row>
    <row r="256">
      <c r="A256" s="263"/>
      <c r="B256" s="1066"/>
      <c r="C256" s="263"/>
      <c r="D256" s="263"/>
      <c r="E256" s="263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</row>
    <row r="257">
      <c r="A257" s="1068" t="s">
        <v>4400</v>
      </c>
      <c r="B257" s="1069"/>
      <c r="C257" s="1070" t="s">
        <v>4186</v>
      </c>
      <c r="D257" s="1071"/>
      <c r="E257" s="1071"/>
      <c r="F257" s="1072"/>
      <c r="G257" s="1072"/>
      <c r="H257" s="1072"/>
      <c r="I257" s="1072"/>
      <c r="J257" s="1072"/>
      <c r="K257" s="1072"/>
      <c r="L257" s="1072"/>
      <c r="M257" s="1073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</row>
    <row r="258">
      <c r="A258" s="1074" t="s">
        <v>3083</v>
      </c>
      <c r="B258" s="997" t="s">
        <v>4179</v>
      </c>
      <c r="C258" s="1075" t="s">
        <v>451</v>
      </c>
      <c r="D258" s="249"/>
      <c r="E258" s="249"/>
      <c r="F258" s="237"/>
      <c r="G258" s="237"/>
      <c r="H258" s="237"/>
      <c r="I258" s="237"/>
      <c r="J258" s="237"/>
      <c r="K258" s="237"/>
      <c r="L258" s="237"/>
      <c r="M258" s="238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</row>
    <row r="259">
      <c r="A259" s="1074" t="s">
        <v>4167</v>
      </c>
      <c r="B259" s="997" t="s">
        <v>417</v>
      </c>
      <c r="C259" s="263" t="s">
        <v>4401</v>
      </c>
      <c r="D259" s="263"/>
      <c r="E259" s="263"/>
      <c r="F259" s="134"/>
      <c r="G259" s="134"/>
      <c r="H259" s="134"/>
      <c r="I259" s="134"/>
      <c r="J259" s="134"/>
      <c r="K259" s="134"/>
      <c r="L259" s="134"/>
      <c r="M259" s="149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</row>
    <row r="260">
      <c r="A260" s="1074" t="s">
        <v>4172</v>
      </c>
      <c r="B260" s="997" t="s">
        <v>4177</v>
      </c>
      <c r="C260" s="248" t="s">
        <v>4402</v>
      </c>
      <c r="D260" s="249"/>
      <c r="E260" s="249"/>
      <c r="F260" s="237"/>
      <c r="G260" s="237"/>
      <c r="H260" s="237"/>
      <c r="I260" s="237"/>
      <c r="J260" s="237"/>
      <c r="K260" s="237"/>
      <c r="L260" s="237"/>
      <c r="M260" s="238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</row>
    <row r="261">
      <c r="A261" s="1080" t="s">
        <v>4173</v>
      </c>
      <c r="B261" s="997" t="s">
        <v>4403</v>
      </c>
      <c r="C261" s="248" t="s">
        <v>4404</v>
      </c>
      <c r="D261" s="249"/>
      <c r="E261" s="249"/>
      <c r="F261" s="237"/>
      <c r="G261" s="237"/>
      <c r="H261" s="237"/>
      <c r="I261" s="237"/>
      <c r="J261" s="237"/>
      <c r="K261" s="237"/>
      <c r="L261" s="237"/>
      <c r="M261" s="238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</row>
    <row r="262">
      <c r="A262" s="1074" t="s">
        <v>4189</v>
      </c>
      <c r="B262" s="787" t="s">
        <v>4220</v>
      </c>
      <c r="C262" s="263"/>
      <c r="D262" s="263"/>
      <c r="E262" s="263"/>
      <c r="F262" s="134"/>
      <c r="G262" s="134"/>
      <c r="H262" s="134"/>
      <c r="I262" s="134"/>
      <c r="J262" s="134"/>
      <c r="K262" s="134"/>
      <c r="L262" s="134"/>
      <c r="M262" s="149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</row>
    <row r="263">
      <c r="A263" s="1074" t="s">
        <v>4206</v>
      </c>
      <c r="B263" s="997" t="s">
        <v>4176</v>
      </c>
      <c r="C263" s="1075" t="s">
        <v>4405</v>
      </c>
      <c r="D263" s="249"/>
      <c r="E263" s="249"/>
      <c r="F263" s="237"/>
      <c r="G263" s="237"/>
      <c r="H263" s="237"/>
      <c r="I263" s="237"/>
      <c r="J263" s="237"/>
      <c r="K263" s="237"/>
      <c r="L263" s="237"/>
      <c r="M263" s="238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</row>
    <row r="264">
      <c r="A264" s="1064"/>
      <c r="B264" s="1066"/>
      <c r="C264" s="263"/>
      <c r="D264" s="263"/>
      <c r="E264" s="263"/>
      <c r="F264" s="134"/>
      <c r="G264" s="134"/>
      <c r="H264" s="134"/>
      <c r="I264" s="134"/>
      <c r="J264" s="134"/>
      <c r="K264" s="134"/>
      <c r="L264" s="134"/>
      <c r="M264" s="149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</row>
    <row r="265">
      <c r="A265" s="1074" t="s">
        <v>0</v>
      </c>
      <c r="B265" s="1074" t="s">
        <v>2</v>
      </c>
      <c r="C265" s="1074" t="s">
        <v>4192</v>
      </c>
      <c r="D265" s="1074" t="s">
        <v>4193</v>
      </c>
      <c r="E265" s="1076" t="s">
        <v>4186</v>
      </c>
      <c r="F265" s="1077"/>
      <c r="G265" s="1077"/>
      <c r="H265" s="1077"/>
      <c r="I265" s="1077"/>
      <c r="J265" s="1077"/>
      <c r="K265" s="1077"/>
      <c r="L265" s="1077"/>
      <c r="M265" s="1078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</row>
    <row r="266">
      <c r="A266" s="787" t="s">
        <v>4406</v>
      </c>
      <c r="B266" s="787" t="s">
        <v>4167</v>
      </c>
      <c r="C266" s="787" t="s">
        <v>4176</v>
      </c>
      <c r="D266" s="787" t="s">
        <v>4176</v>
      </c>
      <c r="E266" s="1075" t="s">
        <v>4407</v>
      </c>
      <c r="F266" s="237"/>
      <c r="G266" s="237"/>
      <c r="H266" s="237"/>
      <c r="I266" s="237"/>
      <c r="J266" s="237"/>
      <c r="K266" s="237"/>
      <c r="L266" s="237"/>
      <c r="M266" s="238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</row>
    <row r="267">
      <c r="A267" s="787" t="s">
        <v>4097</v>
      </c>
      <c r="B267" s="787" t="s">
        <v>4172</v>
      </c>
      <c r="C267" s="787" t="s">
        <v>4403</v>
      </c>
      <c r="D267" s="787" t="s">
        <v>4403</v>
      </c>
      <c r="E267" s="263" t="s">
        <v>4408</v>
      </c>
      <c r="F267" s="134"/>
      <c r="G267" s="134"/>
      <c r="H267" s="134"/>
      <c r="I267" s="134"/>
      <c r="J267" s="134"/>
      <c r="K267" s="134"/>
      <c r="L267" s="134"/>
      <c r="M267" s="149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</row>
    <row r="268">
      <c r="A268" s="787" t="s">
        <v>4409</v>
      </c>
      <c r="B268" s="787" t="s">
        <v>4167</v>
      </c>
      <c r="C268" s="787" t="s">
        <v>4177</v>
      </c>
      <c r="D268" s="787" t="s">
        <v>4177</v>
      </c>
      <c r="E268" s="1075"/>
      <c r="F268" s="237"/>
      <c r="G268" s="237"/>
      <c r="H268" s="237"/>
      <c r="I268" s="237"/>
      <c r="J268" s="237"/>
      <c r="K268" s="237"/>
      <c r="L268" s="237"/>
      <c r="M268" s="238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</row>
    <row r="269">
      <c r="A269" s="787" t="s">
        <v>4410</v>
      </c>
      <c r="B269" s="787" t="s">
        <v>4173</v>
      </c>
      <c r="C269" s="997" t="s">
        <v>4179</v>
      </c>
      <c r="D269" s="997" t="s">
        <v>4179</v>
      </c>
      <c r="E269" s="1075" t="s">
        <v>4411</v>
      </c>
      <c r="F269" s="237"/>
      <c r="G269" s="237"/>
      <c r="H269" s="237"/>
      <c r="I269" s="237"/>
      <c r="J269" s="237"/>
      <c r="K269" s="237"/>
      <c r="L269" s="237"/>
      <c r="M269" s="238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</row>
    <row r="270">
      <c r="A270" s="787" t="s">
        <v>4412</v>
      </c>
      <c r="B270" s="787" t="s">
        <v>4173</v>
      </c>
      <c r="C270" s="997" t="s">
        <v>4403</v>
      </c>
      <c r="D270" s="997" t="s">
        <v>4403</v>
      </c>
      <c r="E270" s="1079" t="s">
        <v>4413</v>
      </c>
      <c r="F270" s="795"/>
      <c r="G270" s="795"/>
      <c r="H270" s="795"/>
      <c r="I270" s="795"/>
      <c r="J270" s="795"/>
      <c r="K270" s="795"/>
      <c r="L270" s="795"/>
      <c r="M270" s="796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</row>
    <row r="271">
      <c r="A271" s="263"/>
      <c r="B271" s="1066"/>
      <c r="C271" s="263"/>
      <c r="D271" s="263"/>
      <c r="E271" s="263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</row>
    <row r="272">
      <c r="A272" s="263"/>
      <c r="B272" s="1066"/>
      <c r="C272" s="263"/>
      <c r="D272" s="263"/>
      <c r="E272" s="263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</row>
    <row r="273">
      <c r="A273" s="263"/>
      <c r="B273" s="1066"/>
      <c r="C273" s="263"/>
      <c r="D273" s="263"/>
      <c r="E273" s="263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</row>
    <row r="274">
      <c r="A274" s="1068" t="s">
        <v>3969</v>
      </c>
      <c r="B274" s="1069"/>
      <c r="C274" s="1070" t="s">
        <v>4186</v>
      </c>
      <c r="D274" s="1071"/>
      <c r="E274" s="1071"/>
      <c r="F274" s="1072"/>
      <c r="G274" s="1072"/>
      <c r="H274" s="1072"/>
      <c r="I274" s="1072"/>
      <c r="J274" s="1072"/>
      <c r="K274" s="1072"/>
      <c r="L274" s="1072"/>
      <c r="M274" s="1073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</row>
    <row r="275">
      <c r="A275" s="1074" t="s">
        <v>3083</v>
      </c>
      <c r="B275" s="997" t="s">
        <v>4179</v>
      </c>
      <c r="C275" s="1075" t="s">
        <v>457</v>
      </c>
      <c r="D275" s="249"/>
      <c r="E275" s="249"/>
      <c r="F275" s="237"/>
      <c r="G275" s="237"/>
      <c r="H275" s="237"/>
      <c r="I275" s="237"/>
      <c r="J275" s="237"/>
      <c r="K275" s="237"/>
      <c r="L275" s="237"/>
      <c r="M275" s="238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</row>
    <row r="276">
      <c r="A276" s="1074" t="s">
        <v>4167</v>
      </c>
      <c r="B276" s="997" t="s">
        <v>4177</v>
      </c>
      <c r="C276" s="263" t="s">
        <v>4414</v>
      </c>
      <c r="D276" s="263"/>
      <c r="E276" s="263"/>
      <c r="F276" s="134"/>
      <c r="G276" s="134"/>
      <c r="H276" s="134"/>
      <c r="I276" s="134"/>
      <c r="J276" s="134"/>
      <c r="K276" s="134"/>
      <c r="L276" s="134"/>
      <c r="M276" s="149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</row>
    <row r="277">
      <c r="A277" s="1074" t="s">
        <v>4172</v>
      </c>
      <c r="B277" s="997" t="s">
        <v>4177</v>
      </c>
      <c r="C277" s="1075" t="s">
        <v>4415</v>
      </c>
      <c r="D277" s="249"/>
      <c r="E277" s="249"/>
      <c r="F277" s="237"/>
      <c r="G277" s="237"/>
      <c r="H277" s="237"/>
      <c r="I277" s="237"/>
      <c r="J277" s="237"/>
      <c r="K277" s="237"/>
      <c r="L277" s="237"/>
      <c r="M277" s="238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</row>
    <row r="278">
      <c r="A278" s="1074" t="s">
        <v>4189</v>
      </c>
      <c r="B278" s="787" t="s">
        <v>4190</v>
      </c>
      <c r="C278" s="263"/>
      <c r="D278" s="263"/>
      <c r="E278" s="263"/>
      <c r="F278" s="134"/>
      <c r="G278" s="134"/>
      <c r="H278" s="134"/>
      <c r="I278" s="134"/>
      <c r="J278" s="134"/>
      <c r="K278" s="134"/>
      <c r="L278" s="134"/>
      <c r="M278" s="149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</row>
    <row r="279">
      <c r="A279" s="1074" t="s">
        <v>4206</v>
      </c>
      <c r="B279" s="997" t="s">
        <v>4176</v>
      </c>
      <c r="C279" s="1075" t="s">
        <v>4416</v>
      </c>
      <c r="D279" s="249"/>
      <c r="E279" s="249"/>
      <c r="F279" s="237"/>
      <c r="G279" s="237"/>
      <c r="H279" s="237"/>
      <c r="I279" s="237"/>
      <c r="J279" s="237"/>
      <c r="K279" s="237"/>
      <c r="L279" s="237"/>
      <c r="M279" s="238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</row>
    <row r="280">
      <c r="A280" s="1064"/>
      <c r="B280" s="1066"/>
      <c r="C280" s="263"/>
      <c r="D280" s="263"/>
      <c r="E280" s="263"/>
      <c r="F280" s="134"/>
      <c r="G280" s="134"/>
      <c r="H280" s="134"/>
      <c r="I280" s="134"/>
      <c r="J280" s="134"/>
      <c r="K280" s="134"/>
      <c r="L280" s="134"/>
      <c r="M280" s="149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</row>
    <row r="281">
      <c r="A281" s="1074" t="s">
        <v>0</v>
      </c>
      <c r="B281" s="1074" t="s">
        <v>2</v>
      </c>
      <c r="C281" s="1074" t="s">
        <v>4192</v>
      </c>
      <c r="D281" s="1074" t="s">
        <v>4193</v>
      </c>
      <c r="E281" s="1076" t="s">
        <v>4186</v>
      </c>
      <c r="F281" s="1077"/>
      <c r="G281" s="1077"/>
      <c r="H281" s="1077"/>
      <c r="I281" s="1077"/>
      <c r="J281" s="1077"/>
      <c r="K281" s="1077"/>
      <c r="L281" s="1077"/>
      <c r="M281" s="1078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</row>
    <row r="282">
      <c r="A282" s="787" t="s">
        <v>4127</v>
      </c>
      <c r="B282" s="787" t="s">
        <v>4167</v>
      </c>
      <c r="C282" s="787" t="s">
        <v>417</v>
      </c>
      <c r="D282" s="787" t="s">
        <v>417</v>
      </c>
      <c r="E282" s="1075" t="s">
        <v>4417</v>
      </c>
      <c r="F282" s="237"/>
      <c r="G282" s="237"/>
      <c r="H282" s="237"/>
      <c r="I282" s="237"/>
      <c r="J282" s="237"/>
      <c r="K282" s="237"/>
      <c r="L282" s="237"/>
      <c r="M282" s="238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</row>
    <row r="283">
      <c r="A283" s="787" t="s">
        <v>4418</v>
      </c>
      <c r="B283" s="787" t="s">
        <v>4167</v>
      </c>
      <c r="C283" s="787" t="s">
        <v>4177</v>
      </c>
      <c r="D283" s="787" t="s">
        <v>4177</v>
      </c>
      <c r="E283" s="263"/>
      <c r="F283" s="134"/>
      <c r="G283" s="134"/>
      <c r="H283" s="134"/>
      <c r="I283" s="134"/>
      <c r="J283" s="134"/>
      <c r="K283" s="134"/>
      <c r="L283" s="134"/>
      <c r="M283" s="149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</row>
    <row r="284">
      <c r="A284" s="787" t="s">
        <v>4419</v>
      </c>
      <c r="B284" s="787" t="s">
        <v>4167</v>
      </c>
      <c r="C284" s="787" t="s">
        <v>4176</v>
      </c>
      <c r="D284" s="997" t="s">
        <v>4254</v>
      </c>
      <c r="E284" s="248" t="s">
        <v>4420</v>
      </c>
      <c r="F284" s="237"/>
      <c r="G284" s="237"/>
      <c r="H284" s="237"/>
      <c r="I284" s="237"/>
      <c r="J284" s="237"/>
      <c r="K284" s="237"/>
      <c r="L284" s="237"/>
      <c r="M284" s="238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</row>
    <row r="285">
      <c r="A285" s="787" t="s">
        <v>4421</v>
      </c>
      <c r="B285" s="787" t="s">
        <v>4172</v>
      </c>
      <c r="C285" s="787" t="s">
        <v>96</v>
      </c>
      <c r="D285" s="787" t="s">
        <v>96</v>
      </c>
      <c r="E285" s="1075" t="s">
        <v>4225</v>
      </c>
      <c r="F285" s="237"/>
      <c r="G285" s="237"/>
      <c r="H285" s="237"/>
      <c r="I285" s="237"/>
      <c r="J285" s="237"/>
      <c r="K285" s="237"/>
      <c r="L285" s="237"/>
      <c r="M285" s="238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</row>
    <row r="286">
      <c r="A286" s="787" t="s">
        <v>4422</v>
      </c>
      <c r="B286" s="787" t="s">
        <v>4172</v>
      </c>
      <c r="C286" s="787" t="s">
        <v>4177</v>
      </c>
      <c r="D286" s="787" t="s">
        <v>4179</v>
      </c>
      <c r="E286" s="264" t="s">
        <v>4423</v>
      </c>
      <c r="F286" s="795"/>
      <c r="G286" s="795"/>
      <c r="H286" s="795"/>
      <c r="I286" s="795"/>
      <c r="J286" s="795"/>
      <c r="K286" s="795"/>
      <c r="L286" s="795"/>
      <c r="M286" s="796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</row>
    <row r="287">
      <c r="A287" s="263"/>
      <c r="B287" s="1066"/>
      <c r="C287" s="263"/>
      <c r="D287" s="263"/>
      <c r="E287" s="263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</row>
    <row r="288">
      <c r="A288" s="263"/>
      <c r="B288" s="1066"/>
      <c r="C288" s="263"/>
      <c r="D288" s="263"/>
      <c r="E288" s="263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</row>
    <row r="289">
      <c r="A289" s="263"/>
      <c r="B289" s="1066"/>
      <c r="C289" s="263"/>
      <c r="D289" s="263"/>
      <c r="E289" s="263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</row>
    <row r="290">
      <c r="A290" s="1068" t="s">
        <v>3759</v>
      </c>
      <c r="B290" s="1069"/>
      <c r="C290" s="1070" t="s">
        <v>4186</v>
      </c>
      <c r="D290" s="1071"/>
      <c r="E290" s="1071"/>
      <c r="F290" s="1072"/>
      <c r="G290" s="1072"/>
      <c r="H290" s="1072"/>
      <c r="I290" s="1072"/>
      <c r="J290" s="1072"/>
      <c r="K290" s="1072"/>
      <c r="L290" s="1072"/>
      <c r="M290" s="1073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</row>
    <row r="291">
      <c r="A291" s="1074" t="s">
        <v>3083</v>
      </c>
      <c r="B291" s="997" t="s">
        <v>4176</v>
      </c>
      <c r="C291" s="1075" t="s">
        <v>1266</v>
      </c>
      <c r="D291" s="249"/>
      <c r="E291" s="249"/>
      <c r="F291" s="237"/>
      <c r="G291" s="237"/>
      <c r="H291" s="237"/>
      <c r="I291" s="237"/>
      <c r="J291" s="237"/>
      <c r="K291" s="237"/>
      <c r="L291" s="237"/>
      <c r="M291" s="238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</row>
    <row r="292">
      <c r="A292" s="1074" t="s">
        <v>4246</v>
      </c>
      <c r="B292" s="997" t="s">
        <v>96</v>
      </c>
      <c r="C292" s="263" t="s">
        <v>4424</v>
      </c>
      <c r="D292" s="263"/>
      <c r="E292" s="263"/>
      <c r="F292" s="134"/>
      <c r="G292" s="134"/>
      <c r="H292" s="134"/>
      <c r="I292" s="134"/>
      <c r="J292" s="134"/>
      <c r="K292" s="134"/>
      <c r="L292" s="134"/>
      <c r="M292" s="149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</row>
    <row r="293">
      <c r="A293" s="1074" t="s">
        <v>4170</v>
      </c>
      <c r="B293" s="997" t="s">
        <v>4179</v>
      </c>
      <c r="C293" s="1075"/>
      <c r="D293" s="249"/>
      <c r="E293" s="249"/>
      <c r="F293" s="237"/>
      <c r="G293" s="237"/>
      <c r="H293" s="237"/>
      <c r="I293" s="237"/>
      <c r="J293" s="237"/>
      <c r="K293" s="237"/>
      <c r="L293" s="237"/>
      <c r="M293" s="238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</row>
    <row r="294">
      <c r="A294" s="1074" t="s">
        <v>4189</v>
      </c>
      <c r="B294" s="787" t="s">
        <v>4220</v>
      </c>
      <c r="C294" s="263"/>
      <c r="D294" s="263"/>
      <c r="E294" s="263"/>
      <c r="F294" s="134"/>
      <c r="G294" s="134"/>
      <c r="H294" s="134"/>
      <c r="I294" s="134"/>
      <c r="J294" s="134"/>
      <c r="K294" s="134"/>
      <c r="L294" s="134"/>
      <c r="M294" s="149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</row>
    <row r="295">
      <c r="A295" s="1074" t="s">
        <v>4206</v>
      </c>
      <c r="B295" s="997" t="s">
        <v>4177</v>
      </c>
      <c r="C295" s="248" t="s">
        <v>4425</v>
      </c>
      <c r="D295" s="249"/>
      <c r="E295" s="249"/>
      <c r="F295" s="237"/>
      <c r="G295" s="237"/>
      <c r="H295" s="237"/>
      <c r="I295" s="237"/>
      <c r="J295" s="237"/>
      <c r="K295" s="237"/>
      <c r="L295" s="237"/>
      <c r="M295" s="238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</row>
    <row r="296">
      <c r="A296" s="1064"/>
      <c r="B296" s="1066"/>
      <c r="C296" s="263"/>
      <c r="D296" s="263"/>
      <c r="E296" s="263"/>
      <c r="F296" s="134"/>
      <c r="G296" s="134"/>
      <c r="H296" s="134"/>
      <c r="I296" s="134"/>
      <c r="J296" s="134"/>
      <c r="K296" s="134"/>
      <c r="L296" s="134"/>
      <c r="M296" s="149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</row>
    <row r="297">
      <c r="A297" s="1074" t="s">
        <v>0</v>
      </c>
      <c r="B297" s="1074" t="s">
        <v>2</v>
      </c>
      <c r="C297" s="1074" t="s">
        <v>4192</v>
      </c>
      <c r="D297" s="1074" t="s">
        <v>4193</v>
      </c>
      <c r="E297" s="1076" t="s">
        <v>4186</v>
      </c>
      <c r="F297" s="1077"/>
      <c r="G297" s="1077"/>
      <c r="H297" s="1077"/>
      <c r="I297" s="1077"/>
      <c r="J297" s="1077"/>
      <c r="K297" s="1077"/>
      <c r="L297" s="1077"/>
      <c r="M297" s="1078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</row>
    <row r="298">
      <c r="A298" s="787" t="s">
        <v>4426</v>
      </c>
      <c r="B298" s="787" t="s">
        <v>4246</v>
      </c>
      <c r="C298" s="787" t="s">
        <v>4176</v>
      </c>
      <c r="D298" s="787" t="s">
        <v>4176</v>
      </c>
      <c r="E298" s="1075"/>
      <c r="F298" s="237"/>
      <c r="G298" s="237"/>
      <c r="H298" s="237"/>
      <c r="I298" s="237"/>
      <c r="J298" s="237"/>
      <c r="K298" s="237"/>
      <c r="L298" s="237"/>
      <c r="M298" s="238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</row>
    <row r="299">
      <c r="A299" s="787" t="s">
        <v>4427</v>
      </c>
      <c r="B299" s="787" t="s">
        <v>4246</v>
      </c>
      <c r="C299" s="997" t="s">
        <v>417</v>
      </c>
      <c r="D299" s="997" t="s">
        <v>417</v>
      </c>
      <c r="E299" s="263"/>
      <c r="F299" s="134"/>
      <c r="G299" s="134"/>
      <c r="H299" s="134"/>
      <c r="I299" s="134"/>
      <c r="J299" s="134"/>
      <c r="K299" s="134"/>
      <c r="L299" s="134"/>
      <c r="M299" s="149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</row>
    <row r="300">
      <c r="A300" s="787" t="s">
        <v>4428</v>
      </c>
      <c r="B300" s="787" t="s">
        <v>4246</v>
      </c>
      <c r="C300" s="787" t="s">
        <v>96</v>
      </c>
      <c r="D300" s="787" t="s">
        <v>96</v>
      </c>
      <c r="E300" s="1075" t="s">
        <v>4429</v>
      </c>
      <c r="F300" s="237"/>
      <c r="G300" s="237"/>
      <c r="H300" s="237"/>
      <c r="I300" s="237"/>
      <c r="J300" s="237"/>
      <c r="K300" s="237"/>
      <c r="L300" s="237"/>
      <c r="M300" s="238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</row>
    <row r="301">
      <c r="A301" s="787" t="s">
        <v>4430</v>
      </c>
      <c r="B301" s="787" t="s">
        <v>4170</v>
      </c>
      <c r="C301" s="787" t="s">
        <v>4199</v>
      </c>
      <c r="D301" s="787" t="s">
        <v>4199</v>
      </c>
      <c r="E301" s="1075"/>
      <c r="F301" s="237"/>
      <c r="G301" s="237"/>
      <c r="H301" s="237"/>
      <c r="I301" s="237"/>
      <c r="J301" s="237"/>
      <c r="K301" s="237"/>
      <c r="L301" s="237"/>
      <c r="M301" s="238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</row>
    <row r="302">
      <c r="A302" s="787" t="s">
        <v>4431</v>
      </c>
      <c r="B302" s="787" t="s">
        <v>4171</v>
      </c>
      <c r="C302" s="997" t="s">
        <v>417</v>
      </c>
      <c r="D302" s="997" t="s">
        <v>417</v>
      </c>
      <c r="E302" s="1079" t="s">
        <v>4236</v>
      </c>
      <c r="F302" s="795"/>
      <c r="G302" s="795"/>
      <c r="H302" s="795"/>
      <c r="I302" s="795"/>
      <c r="J302" s="795"/>
      <c r="K302" s="795"/>
      <c r="L302" s="795"/>
      <c r="M302" s="796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</row>
    <row r="303">
      <c r="A303" s="263"/>
      <c r="B303" s="1066"/>
      <c r="C303" s="263"/>
      <c r="D303" s="263"/>
      <c r="E303" s="263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</row>
    <row r="304">
      <c r="A304" s="263"/>
      <c r="B304" s="1066"/>
      <c r="C304" s="263"/>
      <c r="D304" s="263"/>
      <c r="E304" s="263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</row>
    <row r="305">
      <c r="A305" s="263"/>
      <c r="B305" s="1066"/>
      <c r="C305" s="263"/>
      <c r="D305" s="263"/>
      <c r="E305" s="263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</row>
    <row r="306">
      <c r="A306" s="1068" t="s">
        <v>3756</v>
      </c>
      <c r="B306" s="1069"/>
      <c r="C306" s="1070" t="s">
        <v>4186</v>
      </c>
      <c r="D306" s="1071"/>
      <c r="E306" s="1071"/>
      <c r="F306" s="1072"/>
      <c r="G306" s="1072"/>
      <c r="H306" s="1072"/>
      <c r="I306" s="1072"/>
      <c r="J306" s="1072"/>
      <c r="K306" s="1072"/>
      <c r="L306" s="1072"/>
      <c r="M306" s="1073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</row>
    <row r="307">
      <c r="A307" s="1074" t="s">
        <v>3083</v>
      </c>
      <c r="B307" s="997" t="s">
        <v>4177</v>
      </c>
      <c r="C307" s="1075" t="s">
        <v>4309</v>
      </c>
      <c r="D307" s="249"/>
      <c r="E307" s="249"/>
      <c r="F307" s="237"/>
      <c r="G307" s="237"/>
      <c r="H307" s="237"/>
      <c r="I307" s="237"/>
      <c r="J307" s="237"/>
      <c r="K307" s="237"/>
      <c r="L307" s="237"/>
      <c r="M307" s="238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</row>
    <row r="308">
      <c r="A308" s="1074" t="s">
        <v>4246</v>
      </c>
      <c r="B308" s="997" t="s">
        <v>96</v>
      </c>
      <c r="C308" s="263" t="s">
        <v>4432</v>
      </c>
      <c r="D308" s="263"/>
      <c r="E308" s="263"/>
      <c r="F308" s="134"/>
      <c r="G308" s="134"/>
      <c r="H308" s="134"/>
      <c r="I308" s="134"/>
      <c r="J308" s="134"/>
      <c r="K308" s="134"/>
      <c r="L308" s="134"/>
      <c r="M308" s="149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</row>
    <row r="309">
      <c r="A309" s="1074" t="s">
        <v>4171</v>
      </c>
      <c r="B309" s="997" t="s">
        <v>4177</v>
      </c>
      <c r="C309" s="1075" t="s">
        <v>4350</v>
      </c>
      <c r="D309" s="249"/>
      <c r="E309" s="249"/>
      <c r="F309" s="237"/>
      <c r="G309" s="237"/>
      <c r="H309" s="237"/>
      <c r="I309" s="237"/>
      <c r="J309" s="237"/>
      <c r="K309" s="237"/>
      <c r="L309" s="237"/>
      <c r="M309" s="238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</row>
    <row r="310">
      <c r="A310" s="1074" t="s">
        <v>4189</v>
      </c>
      <c r="B310" s="787" t="s">
        <v>4190</v>
      </c>
      <c r="C310" s="263"/>
      <c r="D310" s="263"/>
      <c r="E310" s="263"/>
      <c r="F310" s="134"/>
      <c r="G310" s="134"/>
      <c r="H310" s="134"/>
      <c r="I310" s="134"/>
      <c r="J310" s="134"/>
      <c r="K310" s="134"/>
      <c r="L310" s="134"/>
      <c r="M310" s="149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</row>
    <row r="311">
      <c r="A311" s="1074" t="s">
        <v>4206</v>
      </c>
      <c r="B311" s="997" t="s">
        <v>4177</v>
      </c>
      <c r="C311" s="1075" t="s">
        <v>4433</v>
      </c>
      <c r="D311" s="249"/>
      <c r="E311" s="249"/>
      <c r="F311" s="237"/>
      <c r="G311" s="237"/>
      <c r="H311" s="237"/>
      <c r="I311" s="237"/>
      <c r="J311" s="237"/>
      <c r="K311" s="237"/>
      <c r="L311" s="237"/>
      <c r="M311" s="238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</row>
    <row r="312">
      <c r="A312" s="1064"/>
      <c r="B312" s="1066"/>
      <c r="C312" s="263"/>
      <c r="D312" s="263"/>
      <c r="E312" s="263"/>
      <c r="F312" s="134"/>
      <c r="G312" s="134"/>
      <c r="H312" s="134"/>
      <c r="I312" s="134"/>
      <c r="J312" s="134"/>
      <c r="K312" s="134"/>
      <c r="L312" s="134"/>
      <c r="M312" s="149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</row>
    <row r="313">
      <c r="A313" s="1074" t="s">
        <v>0</v>
      </c>
      <c r="B313" s="1074" t="s">
        <v>2</v>
      </c>
      <c r="C313" s="1074" t="s">
        <v>4192</v>
      </c>
      <c r="D313" s="1074" t="s">
        <v>4193</v>
      </c>
      <c r="E313" s="1076" t="s">
        <v>4186</v>
      </c>
      <c r="F313" s="1077"/>
      <c r="G313" s="1077"/>
      <c r="H313" s="1077"/>
      <c r="I313" s="1077"/>
      <c r="J313" s="1077"/>
      <c r="K313" s="1077"/>
      <c r="L313" s="1077"/>
      <c r="M313" s="1078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</row>
    <row r="314">
      <c r="A314" s="787" t="s">
        <v>4434</v>
      </c>
      <c r="B314" s="787" t="s">
        <v>4246</v>
      </c>
      <c r="C314" s="997" t="s">
        <v>4177</v>
      </c>
      <c r="D314" s="997" t="s">
        <v>4177</v>
      </c>
      <c r="E314" s="1075" t="s">
        <v>4435</v>
      </c>
      <c r="F314" s="237"/>
      <c r="G314" s="237"/>
      <c r="H314" s="237"/>
      <c r="I314" s="237"/>
      <c r="J314" s="237"/>
      <c r="K314" s="237"/>
      <c r="L314" s="237"/>
      <c r="M314" s="238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</row>
    <row r="315">
      <c r="A315" s="787" t="s">
        <v>4436</v>
      </c>
      <c r="B315" s="787" t="s">
        <v>4246</v>
      </c>
      <c r="C315" s="787" t="s">
        <v>4176</v>
      </c>
      <c r="D315" s="787" t="s">
        <v>4176</v>
      </c>
      <c r="E315" s="263"/>
      <c r="F315" s="134"/>
      <c r="G315" s="134"/>
      <c r="H315" s="134"/>
      <c r="I315" s="134"/>
      <c r="J315" s="134"/>
      <c r="K315" s="134"/>
      <c r="L315" s="134"/>
      <c r="M315" s="149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</row>
    <row r="316">
      <c r="A316" s="787" t="s">
        <v>4437</v>
      </c>
      <c r="B316" s="787" t="s">
        <v>4246</v>
      </c>
      <c r="C316" s="787" t="s">
        <v>4176</v>
      </c>
      <c r="D316" s="787" t="s">
        <v>4176</v>
      </c>
      <c r="E316" s="1075"/>
      <c r="F316" s="237"/>
      <c r="G316" s="237"/>
      <c r="H316" s="237"/>
      <c r="I316" s="237"/>
      <c r="J316" s="237"/>
      <c r="K316" s="237"/>
      <c r="L316" s="237"/>
      <c r="M316" s="238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</row>
    <row r="317">
      <c r="A317" s="787" t="s">
        <v>4438</v>
      </c>
      <c r="B317" s="787" t="s">
        <v>4171</v>
      </c>
      <c r="C317" s="787" t="s">
        <v>4179</v>
      </c>
      <c r="D317" s="997" t="s">
        <v>96</v>
      </c>
      <c r="E317" s="248" t="s">
        <v>4439</v>
      </c>
      <c r="F317" s="237"/>
      <c r="G317" s="237"/>
      <c r="H317" s="237"/>
      <c r="I317" s="237"/>
      <c r="J317" s="237"/>
      <c r="K317" s="237"/>
      <c r="L317" s="237"/>
      <c r="M317" s="238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</row>
    <row r="318">
      <c r="A318" s="787" t="s">
        <v>4440</v>
      </c>
      <c r="B318" s="787" t="s">
        <v>4171</v>
      </c>
      <c r="C318" s="787" t="s">
        <v>4179</v>
      </c>
      <c r="D318" s="787" t="s">
        <v>4238</v>
      </c>
      <c r="E318" s="1079" t="s">
        <v>4441</v>
      </c>
      <c r="F318" s="795"/>
      <c r="G318" s="795"/>
      <c r="H318" s="795"/>
      <c r="I318" s="795"/>
      <c r="J318" s="795"/>
      <c r="K318" s="795"/>
      <c r="L318" s="795"/>
      <c r="M318" s="796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</row>
    <row r="319">
      <c r="A319" s="263"/>
      <c r="B319" s="1066"/>
      <c r="C319" s="263"/>
      <c r="D319" s="263"/>
      <c r="E319" s="263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</row>
    <row r="320">
      <c r="A320" s="263"/>
      <c r="B320" s="1066"/>
      <c r="C320" s="263"/>
      <c r="D320" s="263"/>
      <c r="E320" s="263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</row>
    <row r="321">
      <c r="A321" s="263"/>
      <c r="B321" s="1066"/>
      <c r="C321" s="263"/>
      <c r="D321" s="263"/>
      <c r="E321" s="263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</row>
    <row r="322">
      <c r="A322" s="1068" t="s">
        <v>3757</v>
      </c>
      <c r="B322" s="1069"/>
      <c r="C322" s="1070" t="s">
        <v>4186</v>
      </c>
      <c r="D322" s="1071"/>
      <c r="E322" s="1071"/>
      <c r="F322" s="1072"/>
      <c r="G322" s="1072"/>
      <c r="H322" s="1072"/>
      <c r="I322" s="1072"/>
      <c r="J322" s="1072"/>
      <c r="K322" s="1072"/>
      <c r="L322" s="1072"/>
      <c r="M322" s="1073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</row>
    <row r="323">
      <c r="A323" s="1074" t="s">
        <v>3083</v>
      </c>
      <c r="B323" s="997" t="s">
        <v>4177</v>
      </c>
      <c r="C323" s="1075" t="s">
        <v>4309</v>
      </c>
      <c r="D323" s="249"/>
      <c r="E323" s="249"/>
      <c r="F323" s="237"/>
      <c r="G323" s="237"/>
      <c r="H323" s="237"/>
      <c r="I323" s="237"/>
      <c r="J323" s="237"/>
      <c r="K323" s="237"/>
      <c r="L323" s="237"/>
      <c r="M323" s="238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</row>
    <row r="324">
      <c r="A324" s="1074" t="s">
        <v>4246</v>
      </c>
      <c r="B324" s="997" t="s">
        <v>96</v>
      </c>
      <c r="C324" s="263" t="s">
        <v>4442</v>
      </c>
      <c r="D324" s="263"/>
      <c r="E324" s="263"/>
      <c r="F324" s="134"/>
      <c r="G324" s="134"/>
      <c r="H324" s="134"/>
      <c r="I324" s="134"/>
      <c r="J324" s="134"/>
      <c r="K324" s="134"/>
      <c r="L324" s="134"/>
      <c r="M324" s="149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</row>
    <row r="325">
      <c r="A325" s="1074" t="s">
        <v>4171</v>
      </c>
      <c r="B325" s="997" t="s">
        <v>4177</v>
      </c>
      <c r="C325" s="1075" t="s">
        <v>4350</v>
      </c>
      <c r="D325" s="249"/>
      <c r="E325" s="249"/>
      <c r="F325" s="237"/>
      <c r="G325" s="237"/>
      <c r="H325" s="237"/>
      <c r="I325" s="237"/>
      <c r="J325" s="237"/>
      <c r="K325" s="237"/>
      <c r="L325" s="237"/>
      <c r="M325" s="238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</row>
    <row r="326">
      <c r="A326" s="1074" t="s">
        <v>4189</v>
      </c>
      <c r="B326" s="787" t="s">
        <v>4190</v>
      </c>
      <c r="C326" s="263"/>
      <c r="D326" s="263"/>
      <c r="E326" s="263"/>
      <c r="F326" s="134"/>
      <c r="G326" s="134"/>
      <c r="H326" s="134"/>
      <c r="I326" s="134"/>
      <c r="J326" s="134"/>
      <c r="K326" s="134"/>
      <c r="L326" s="134"/>
      <c r="M326" s="149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</row>
    <row r="327">
      <c r="A327" s="1074" t="s">
        <v>4206</v>
      </c>
      <c r="B327" s="997" t="s">
        <v>4177</v>
      </c>
      <c r="C327" s="1075" t="s">
        <v>4433</v>
      </c>
      <c r="D327" s="249"/>
      <c r="E327" s="249"/>
      <c r="F327" s="237"/>
      <c r="G327" s="237"/>
      <c r="H327" s="237"/>
      <c r="I327" s="237"/>
      <c r="J327" s="237"/>
      <c r="K327" s="237"/>
      <c r="L327" s="237"/>
      <c r="M327" s="238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</row>
    <row r="328">
      <c r="A328" s="1064"/>
      <c r="B328" s="1066"/>
      <c r="C328" s="263"/>
      <c r="D328" s="263"/>
      <c r="E328" s="263"/>
      <c r="F328" s="134"/>
      <c r="G328" s="134"/>
      <c r="H328" s="134"/>
      <c r="I328" s="134"/>
      <c r="J328" s="134"/>
      <c r="K328" s="134"/>
      <c r="L328" s="134"/>
      <c r="M328" s="149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</row>
    <row r="329">
      <c r="A329" s="1074" t="s">
        <v>0</v>
      </c>
      <c r="B329" s="1074" t="s">
        <v>2</v>
      </c>
      <c r="C329" s="1074" t="s">
        <v>4192</v>
      </c>
      <c r="D329" s="1074" t="s">
        <v>4193</v>
      </c>
      <c r="E329" s="1076" t="s">
        <v>4186</v>
      </c>
      <c r="F329" s="1077"/>
      <c r="G329" s="1077"/>
      <c r="H329" s="1077"/>
      <c r="I329" s="1077"/>
      <c r="J329" s="1077"/>
      <c r="K329" s="1077"/>
      <c r="L329" s="1077"/>
      <c r="M329" s="1078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</row>
    <row r="330">
      <c r="A330" s="787" t="s">
        <v>4443</v>
      </c>
      <c r="B330" s="787" t="s">
        <v>4246</v>
      </c>
      <c r="C330" s="787" t="s">
        <v>4176</v>
      </c>
      <c r="D330" s="787" t="s">
        <v>4176</v>
      </c>
      <c r="E330" s="1075"/>
      <c r="F330" s="237"/>
      <c r="G330" s="237"/>
      <c r="H330" s="237"/>
      <c r="I330" s="237"/>
      <c r="J330" s="237"/>
      <c r="K330" s="237"/>
      <c r="L330" s="237"/>
      <c r="M330" s="238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</row>
    <row r="331">
      <c r="A331" s="787" t="s">
        <v>4444</v>
      </c>
      <c r="B331" s="787" t="s">
        <v>4246</v>
      </c>
      <c r="C331" s="787" t="s">
        <v>96</v>
      </c>
      <c r="D331" s="787" t="s">
        <v>96</v>
      </c>
      <c r="E331" s="263" t="s">
        <v>4445</v>
      </c>
      <c r="F331" s="134"/>
      <c r="G331" s="134"/>
      <c r="H331" s="134"/>
      <c r="I331" s="134"/>
      <c r="J331" s="134"/>
      <c r="K331" s="134"/>
      <c r="L331" s="134"/>
      <c r="M331" s="149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</row>
    <row r="332">
      <c r="A332" s="787" t="s">
        <v>4446</v>
      </c>
      <c r="B332" s="787" t="s">
        <v>4246</v>
      </c>
      <c r="C332" s="787" t="s">
        <v>4177</v>
      </c>
      <c r="D332" s="787" t="s">
        <v>4177</v>
      </c>
      <c r="E332" s="1075"/>
      <c r="F332" s="237"/>
      <c r="G332" s="237"/>
      <c r="H332" s="237"/>
      <c r="I332" s="237"/>
      <c r="J332" s="237"/>
      <c r="K332" s="237"/>
      <c r="L332" s="237"/>
      <c r="M332" s="238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</row>
    <row r="333">
      <c r="A333" s="787" t="s">
        <v>4447</v>
      </c>
      <c r="B333" s="787" t="s">
        <v>4171</v>
      </c>
      <c r="C333" s="787" t="s">
        <v>4199</v>
      </c>
      <c r="D333" s="787" t="s">
        <v>4199</v>
      </c>
      <c r="E333" s="1075" t="s">
        <v>4448</v>
      </c>
      <c r="F333" s="237"/>
      <c r="G333" s="237"/>
      <c r="H333" s="237"/>
      <c r="I333" s="237"/>
      <c r="J333" s="237"/>
      <c r="K333" s="237"/>
      <c r="L333" s="237"/>
      <c r="M333" s="238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</row>
    <row r="334">
      <c r="A334" s="787" t="s">
        <v>4449</v>
      </c>
      <c r="B334" s="787" t="s">
        <v>4171</v>
      </c>
      <c r="C334" s="787" t="s">
        <v>4177</v>
      </c>
      <c r="D334" s="787" t="s">
        <v>4177</v>
      </c>
      <c r="E334" s="264" t="s">
        <v>4236</v>
      </c>
      <c r="F334" s="795"/>
      <c r="G334" s="795"/>
      <c r="H334" s="795"/>
      <c r="I334" s="795"/>
      <c r="J334" s="795"/>
      <c r="K334" s="795"/>
      <c r="L334" s="795"/>
      <c r="M334" s="796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</row>
  </sheetData>
  <dataValidations>
    <dataValidation type="list" allowBlank="1" showErrorMessage="1" sqref="B2:B4 B6 C9:D13 B18:B20 B22 C25:D29 B34:B36 B38 C41:D45 B50:B52 B54 C57:D61 B66:B68 B70 C73:D77 B82:B84 B86 C89:D93 B98:B100 B102 C105:D109 B114:B116 B118 C121:D125 B130:B132 B134 C137:D141 B146:B148 B150 C153:D157 B162:B164 B166 C169:D173 B178:B180 B182 C185:D189 B194:B196 B198 C201:D205 B210:B212 B214 C217:D221 B226:B228 C233:D237 B242:B244 B246 C249:D253 B258:B261 B263 C266:D270 B275:B277 B279 C282:D286 B291:B293 B295 C298:D302 B307:B309 B311 C314:D318 B323:B325 B327 C330:D334">
      <formula1>"S,A,B/A,B,C/B,C,D/B,D/C,D,F,TBD,Variable"</formula1>
    </dataValidation>
    <dataValidation type="list" allowBlank="1" showDropDown="1" showErrorMessage="1" sqref="B5 B21 B37 B53 B69 B85 B101 B117 B133 B149 B165 B181 B197 B213 B229 B245 B262 B278 B294 B310 B326">
      <formula1>"High,Medium,Low"</formula1>
    </dataValidation>
    <dataValidation type="list" allowBlank="1" showDropDown="1" showErrorMessage="1" sqref="B9:B13 B25:B29 B41:B45 B57:B61 B73:B77 B89:B93 B105:B109 B121:B125 B137:B141 B153:B157 B169:B173 B185:B189 B201:B205 B217:B221 B233:B237 B249:B253 B266:B270 B282:B286 B298:B302 B314:B318 B330:B334">
      <formula1>"Dance,Riding,Sailing,Ninjutsu,Defense,Dharma,Band,Siege"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cols>
    <col customWidth="1" min="1" max="1" width="14.0"/>
    <col customWidth="1" min="2" max="2" width="14.55"/>
    <col customWidth="1" min="3" max="3" width="9.27"/>
    <col customWidth="1" min="4" max="4" width="6.82"/>
    <col customWidth="1" min="5" max="5" width="6.73"/>
    <col customWidth="1" min="6" max="6" width="9.36"/>
  </cols>
  <sheetData>
    <row r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081" t="s">
        <v>4450</v>
      </c>
      <c r="B2" s="237"/>
      <c r="C2" s="237"/>
      <c r="D2" s="237"/>
      <c r="E2" s="237"/>
      <c r="F2" s="237"/>
      <c r="G2" s="238"/>
      <c r="H2" s="134"/>
      <c r="J2" s="1082" t="s">
        <v>4451</v>
      </c>
      <c r="K2" s="1083"/>
      <c r="L2" s="1077"/>
      <c r="M2" s="1077"/>
      <c r="N2" s="1078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</row>
    <row r="3">
      <c r="A3" s="1084" t="s">
        <v>4452</v>
      </c>
      <c r="B3" s="793" t="s">
        <v>4453</v>
      </c>
      <c r="G3" s="149"/>
      <c r="H3" s="134"/>
      <c r="J3" s="1085"/>
      <c r="K3" s="1086"/>
      <c r="L3" s="1086"/>
      <c r="M3" s="1086"/>
      <c r="N3" s="1087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>
      <c r="A4" s="1084" t="s">
        <v>4454</v>
      </c>
      <c r="B4" s="1023">
        <v>3080000.0</v>
      </c>
      <c r="C4" s="133"/>
      <c r="D4" s="133"/>
      <c r="E4" s="134"/>
      <c r="F4" s="134"/>
      <c r="G4" s="149"/>
      <c r="H4" s="134"/>
      <c r="J4" s="810" t="s">
        <v>4455</v>
      </c>
      <c r="K4" s="1088"/>
      <c r="L4" s="1088"/>
      <c r="M4" s="1089" t="s">
        <v>4456</v>
      </c>
      <c r="N4" s="1090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>
      <c r="A5" s="1091"/>
      <c r="B5" s="133"/>
      <c r="C5" s="133"/>
      <c r="D5" s="133"/>
      <c r="E5" s="134"/>
      <c r="F5" s="134"/>
      <c r="G5" s="149"/>
      <c r="H5" s="134"/>
      <c r="J5" s="1092" t="s">
        <v>4457</v>
      </c>
      <c r="K5" s="795"/>
      <c r="L5" s="795"/>
      <c r="M5" s="1093" t="s">
        <v>4458</v>
      </c>
      <c r="N5" s="796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</row>
    <row r="6">
      <c r="A6" s="1094" t="s">
        <v>4459</v>
      </c>
      <c r="B6" s="793" t="s">
        <v>4460</v>
      </c>
      <c r="C6" s="681"/>
      <c r="D6" s="681"/>
      <c r="E6" s="1088"/>
      <c r="F6" s="1088"/>
      <c r="G6" s="1090"/>
      <c r="H6" s="134"/>
      <c r="J6" s="1085"/>
      <c r="K6" s="1086"/>
      <c r="L6" s="1086"/>
      <c r="M6" s="1086"/>
      <c r="N6" s="1087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</row>
    <row r="7">
      <c r="A7" s="1084" t="s">
        <v>4461</v>
      </c>
      <c r="B7" s="1023">
        <v>3.0</v>
      </c>
      <c r="C7" s="133"/>
      <c r="D7" s="133"/>
      <c r="E7" s="133"/>
      <c r="F7" s="133"/>
      <c r="G7" s="1095"/>
      <c r="J7" s="810" t="s">
        <v>4462</v>
      </c>
      <c r="K7" s="1088"/>
      <c r="L7" s="1088"/>
      <c r="M7" s="1089" t="s">
        <v>4463</v>
      </c>
      <c r="N7" s="1090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</row>
    <row r="8">
      <c r="A8" s="1084" t="s">
        <v>4088</v>
      </c>
      <c r="B8" s="1027">
        <f>MIN(VLOOKUP(B7,$N$61:$P$67,2,TRUE), VLOOKUP($B$4,$K$71:$L$310,2,TRUE))</f>
        <v>80</v>
      </c>
      <c r="C8" s="133"/>
      <c r="D8" s="133"/>
      <c r="E8" s="133"/>
      <c r="F8" s="133"/>
      <c r="G8" s="1095"/>
      <c r="J8" s="1092" t="s">
        <v>4464</v>
      </c>
      <c r="K8" s="795"/>
      <c r="L8" s="795"/>
      <c r="M8" s="1093" t="s">
        <v>4465</v>
      </c>
      <c r="N8" s="796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</row>
    <row r="9">
      <c r="A9" s="792" t="s">
        <v>4466</v>
      </c>
      <c r="B9" s="792" t="s">
        <v>1</v>
      </c>
      <c r="C9" s="792" t="s">
        <v>4467</v>
      </c>
      <c r="D9" s="792" t="s">
        <v>4468</v>
      </c>
      <c r="E9" s="792" t="s">
        <v>4469</v>
      </c>
      <c r="F9" s="792" t="s">
        <v>4470</v>
      </c>
      <c r="G9" s="792" t="s">
        <v>4471</v>
      </c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</row>
    <row r="10">
      <c r="A10" s="1067" t="str">
        <f>VLOOKUP($B6,$B$45:$F$176,2,FALSE)</f>
        <v>Prairie</v>
      </c>
      <c r="B10" s="1067" t="str">
        <f>VLOOKUP($B6,$B$45:$F$176,3,FALSE)</f>
        <v>SSS</v>
      </c>
      <c r="C10" s="1067" t="str">
        <f>VLOOKUP($B6,$B$45:$F$176,5,FALSE)</f>
        <v>SSS</v>
      </c>
      <c r="D10" s="794">
        <f>VLOOKUP(B10,$I$46:$Q$49,2,FALSE)</f>
        <v>250</v>
      </c>
      <c r="E10" s="794">
        <f>VLOOKUP(B10,$I$46:$Q$49,B7+2,FALSE)</f>
        <v>125</v>
      </c>
      <c r="F10" s="794">
        <f>E10+D10*B8</f>
        <v>20125</v>
      </c>
      <c r="G10" s="1096">
        <f>FLOOR(F10*(1+IF(A10=$B$3,VLOOKUP(C10,$I$61:$J$65,2,FALSE)/100,0)),1)</f>
        <v>28175</v>
      </c>
      <c r="H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</row>
    <row r="11">
      <c r="A11" s="205"/>
      <c r="B11" s="134"/>
      <c r="C11" s="134"/>
      <c r="D11" s="134"/>
      <c r="E11" s="134"/>
      <c r="F11" s="134"/>
      <c r="G11" s="149"/>
      <c r="H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</row>
    <row r="12">
      <c r="A12" s="1094" t="s">
        <v>4472</v>
      </c>
      <c r="B12" s="793" t="s">
        <v>4473</v>
      </c>
      <c r="C12" s="681"/>
      <c r="D12" s="681"/>
      <c r="E12" s="1088"/>
      <c r="F12" s="1088"/>
      <c r="G12" s="1090"/>
      <c r="H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</row>
    <row r="13">
      <c r="A13" s="1084" t="s">
        <v>4461</v>
      </c>
      <c r="B13" s="1023">
        <v>4.0</v>
      </c>
      <c r="C13" s="133"/>
      <c r="D13" s="133"/>
      <c r="E13" s="133"/>
      <c r="F13" s="133"/>
      <c r="G13" s="1095"/>
      <c r="H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</row>
    <row r="14">
      <c r="A14" s="1084" t="s">
        <v>4088</v>
      </c>
      <c r="B14" s="1027">
        <f>MIN(VLOOKUP(B13,$N$61:$P$67,2,TRUE), VLOOKUP($B$4,$K$71:$L$310,2,TRUE))</f>
        <v>120</v>
      </c>
      <c r="C14" s="133"/>
      <c r="D14" s="133"/>
      <c r="E14" s="133"/>
      <c r="F14" s="133"/>
      <c r="G14" s="1095"/>
      <c r="H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</row>
    <row r="15">
      <c r="A15" s="792" t="s">
        <v>4466</v>
      </c>
      <c r="B15" s="792" t="s">
        <v>1</v>
      </c>
      <c r="C15" s="792" t="s">
        <v>4467</v>
      </c>
      <c r="D15" s="792" t="s">
        <v>4468</v>
      </c>
      <c r="E15" s="792" t="s">
        <v>4469</v>
      </c>
      <c r="F15" s="792" t="s">
        <v>4470</v>
      </c>
      <c r="G15" s="792" t="s">
        <v>4471</v>
      </c>
      <c r="H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</row>
    <row r="16">
      <c r="A16" s="1067" t="str">
        <f>VLOOKUP($B12,$B$45:$F$176,2,FALSE)</f>
        <v>Prairie</v>
      </c>
      <c r="B16" s="1067" t="str">
        <f>VLOOKUP($B12,$B$45:$F$176,3,FALSE)</f>
        <v>SS</v>
      </c>
      <c r="C16" s="1067" t="str">
        <f>VLOOKUP($B12,$B$45:$F$176,5,FALSE)</f>
        <v>SSS</v>
      </c>
      <c r="D16" s="794">
        <f>VLOOKUP(B16,$I$46:$Q$49,2,FALSE)</f>
        <v>225</v>
      </c>
      <c r="E16" s="794">
        <f>VLOOKUP(B16,$I$46:$Q$49,B13+2,FALSE)</f>
        <v>725</v>
      </c>
      <c r="F16" s="794">
        <f>E16+D16*B14</f>
        <v>27725</v>
      </c>
      <c r="G16" s="1096">
        <f>FLOOR(F16*(1+IF(A16=$B$3,VLOOKUP(C16,$I$61:$J$65,2,FALSE)/100,0)),1)</f>
        <v>38815</v>
      </c>
      <c r="H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</row>
    <row r="17">
      <c r="A17" s="134"/>
      <c r="B17" s="134"/>
      <c r="C17" s="134"/>
      <c r="D17" s="134"/>
      <c r="E17" s="134"/>
      <c r="F17" s="134"/>
      <c r="G17" s="134"/>
      <c r="H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</row>
    <row r="18">
      <c r="A18" s="134"/>
      <c r="B18" s="134"/>
      <c r="C18" s="134"/>
      <c r="D18" s="134"/>
      <c r="E18" s="134"/>
      <c r="F18" s="134"/>
      <c r="G18" s="134"/>
      <c r="H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</row>
    <row r="19">
      <c r="A19" s="134"/>
      <c r="B19" s="134"/>
      <c r="C19" s="134"/>
      <c r="D19" s="134"/>
      <c r="E19" s="134"/>
      <c r="F19" s="134"/>
      <c r="G19" s="134"/>
      <c r="H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</row>
    <row r="20">
      <c r="A20" s="134"/>
      <c r="B20" s="134"/>
      <c r="C20" s="134"/>
      <c r="D20" s="134"/>
      <c r="E20" s="134"/>
      <c r="F20" s="134"/>
      <c r="G20" s="134"/>
      <c r="H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</row>
    <row r="21">
      <c r="A21" s="1081" t="s">
        <v>4474</v>
      </c>
      <c r="B21" s="237"/>
      <c r="C21" s="237"/>
      <c r="D21" s="237"/>
      <c r="E21" s="237"/>
      <c r="F21" s="237"/>
      <c r="G21" s="238"/>
      <c r="H21" s="134"/>
      <c r="J21" s="1082" t="s">
        <v>4475</v>
      </c>
      <c r="K21" s="1083"/>
      <c r="L21" s="1077"/>
      <c r="M21" s="1077"/>
      <c r="N21" s="1078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</row>
    <row r="22">
      <c r="A22" s="1084" t="s">
        <v>4452</v>
      </c>
      <c r="B22" s="793" t="s">
        <v>3716</v>
      </c>
      <c r="G22" s="149"/>
      <c r="H22" s="134"/>
      <c r="J22" s="1085"/>
      <c r="K22" s="1086"/>
      <c r="L22" s="1086"/>
      <c r="M22" s="1086"/>
      <c r="N22" s="1087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</row>
    <row r="23">
      <c r="A23" s="1084" t="s">
        <v>4454</v>
      </c>
      <c r="B23" s="1023">
        <v>100000.0</v>
      </c>
      <c r="C23" s="133"/>
      <c r="D23" s="133"/>
      <c r="E23" s="134"/>
      <c r="F23" s="134"/>
      <c r="G23" s="149"/>
      <c r="H23" s="134"/>
      <c r="J23" s="810" t="s">
        <v>4476</v>
      </c>
      <c r="K23" s="1088"/>
      <c r="L23" s="1088"/>
      <c r="M23" s="1089" t="s">
        <v>4477</v>
      </c>
      <c r="N23" s="1090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</row>
    <row r="24">
      <c r="A24" s="1091"/>
      <c r="B24" s="133"/>
      <c r="C24" s="133"/>
      <c r="D24" s="133"/>
      <c r="E24" s="134"/>
      <c r="F24" s="134"/>
      <c r="G24" s="149"/>
      <c r="H24" s="134"/>
      <c r="J24" s="1092" t="s">
        <v>4478</v>
      </c>
      <c r="K24" s="795"/>
      <c r="L24" s="795"/>
      <c r="M24" s="1093" t="s">
        <v>4478</v>
      </c>
      <c r="N24" s="796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</row>
    <row r="25">
      <c r="A25" s="1094" t="s">
        <v>4459</v>
      </c>
      <c r="B25" s="793" t="s">
        <v>4479</v>
      </c>
      <c r="C25" s="681"/>
      <c r="D25" s="681"/>
      <c r="E25" s="1088"/>
      <c r="F25" s="1088"/>
      <c r="G25" s="1090"/>
      <c r="H25" s="134"/>
      <c r="J25" s="1085"/>
      <c r="K25" s="1086"/>
      <c r="L25" s="1086"/>
      <c r="M25" s="1086"/>
      <c r="N25" s="1087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</row>
    <row r="26">
      <c r="A26" s="1084" t="s">
        <v>4461</v>
      </c>
      <c r="B26" s="1023">
        <v>4.0</v>
      </c>
      <c r="C26" s="133"/>
      <c r="D26" s="133"/>
      <c r="E26" s="133"/>
      <c r="F26" s="133"/>
      <c r="G26" s="1095"/>
      <c r="H26" s="134"/>
      <c r="J26" s="810" t="s">
        <v>4455</v>
      </c>
      <c r="K26" s="1088"/>
      <c r="L26" s="1088"/>
      <c r="M26" s="1089" t="s">
        <v>4456</v>
      </c>
      <c r="N26" s="1090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</row>
    <row r="27">
      <c r="A27" s="1084" t="s">
        <v>4088</v>
      </c>
      <c r="B27" s="1027">
        <f>MIN(VLOOKUP(B26,$N$61:$P$67,3,TRUE), VLOOKUP($B$23,$K$71:$L$310,2,TRUE))</f>
        <v>57</v>
      </c>
      <c r="C27" s="133"/>
      <c r="D27" s="133"/>
      <c r="E27" s="133"/>
      <c r="F27" s="133"/>
      <c r="G27" s="1095"/>
      <c r="H27" s="134"/>
      <c r="J27" s="1092" t="s">
        <v>4478</v>
      </c>
      <c r="K27" s="795"/>
      <c r="L27" s="795"/>
      <c r="M27" s="1093" t="s">
        <v>4480</v>
      </c>
      <c r="N27" s="796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</row>
    <row r="28">
      <c r="A28" s="792" t="s">
        <v>4466</v>
      </c>
      <c r="B28" s="792" t="s">
        <v>1</v>
      </c>
      <c r="C28" s="792" t="s">
        <v>4467</v>
      </c>
      <c r="D28" s="792" t="s">
        <v>4468</v>
      </c>
      <c r="E28" s="792" t="s">
        <v>4469</v>
      </c>
      <c r="F28" s="792" t="s">
        <v>4470</v>
      </c>
      <c r="G28" s="792" t="s">
        <v>4471</v>
      </c>
      <c r="H28" s="134"/>
      <c r="J28" s="1085"/>
      <c r="K28" s="1086"/>
      <c r="L28" s="1086"/>
      <c r="M28" s="1086"/>
      <c r="N28" s="1087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</row>
    <row r="29">
      <c r="A29" s="1067" t="str">
        <f>VLOOKUP($B25,$B$45:$F$176,2,FALSE)</f>
        <v>Desert</v>
      </c>
      <c r="B29" s="1067" t="str">
        <f>VLOOKUP($B25,$B$45:$F$176,3,FALSE)</f>
        <v>S</v>
      </c>
      <c r="C29" s="1067" t="str">
        <f>VLOOKUP($B25,$B$45:$F$176,5,FALSE)</f>
        <v>S</v>
      </c>
      <c r="D29" s="794">
        <f>VLOOKUP(B29,$I$53:$Q$57,2,FALSE)</f>
        <v>40</v>
      </c>
      <c r="E29" s="794">
        <f>VLOOKUP(B29,$I$53:$Q$57,B26+2,FALSE)</f>
        <v>127</v>
      </c>
      <c r="F29" s="794">
        <f>E29+D29*B27</f>
        <v>2407</v>
      </c>
      <c r="G29" s="1096">
        <f>FLOOR(F29*(1+IF(A29=$B$22,VLOOKUP(C29,$I$61:$J$65,2,FALSE)/100,0)),1)</f>
        <v>3080</v>
      </c>
      <c r="H29" s="134"/>
      <c r="J29" s="810" t="s">
        <v>4481</v>
      </c>
      <c r="K29" s="1088"/>
      <c r="L29" s="1088"/>
      <c r="M29" s="1089" t="s">
        <v>4482</v>
      </c>
      <c r="N29" s="1090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</row>
    <row r="30">
      <c r="A30" s="205"/>
      <c r="B30" s="134"/>
      <c r="C30" s="134"/>
      <c r="D30" s="134"/>
      <c r="E30" s="134"/>
      <c r="F30" s="134"/>
      <c r="G30" s="149"/>
      <c r="H30" s="134"/>
      <c r="J30" s="1092" t="s">
        <v>4483</v>
      </c>
      <c r="K30" s="795"/>
      <c r="L30" s="795"/>
      <c r="M30" s="1093" t="s">
        <v>4484</v>
      </c>
      <c r="N30" s="796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</row>
    <row r="31">
      <c r="A31" s="1094" t="s">
        <v>4472</v>
      </c>
      <c r="B31" s="793" t="s">
        <v>4485</v>
      </c>
      <c r="C31" s="681"/>
      <c r="D31" s="681"/>
      <c r="E31" s="1088"/>
      <c r="F31" s="1088"/>
      <c r="G31" s="1090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</row>
    <row r="32">
      <c r="A32" s="1084" t="s">
        <v>4461</v>
      </c>
      <c r="B32" s="1023">
        <v>5.0</v>
      </c>
      <c r="C32" s="133"/>
      <c r="D32" s="133"/>
      <c r="E32" s="133"/>
      <c r="F32" s="133"/>
      <c r="G32" s="1095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3"/>
      <c r="Z32" s="134"/>
      <c r="AA32" s="134"/>
      <c r="AB32" s="134"/>
    </row>
    <row r="33">
      <c r="A33" s="1084" t="s">
        <v>4088</v>
      </c>
      <c r="B33" s="1027">
        <f>MIN(VLOOKUP(B32,$N$61:$P$67,3,TRUE), VLOOKUP($B$23,$K$71:$L$310,2,TRUE))</f>
        <v>57</v>
      </c>
      <c r="C33" s="133"/>
      <c r="D33" s="133"/>
      <c r="E33" s="133"/>
      <c r="F33" s="133"/>
      <c r="G33" s="1095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</row>
    <row r="34">
      <c r="A34" s="792" t="s">
        <v>4466</v>
      </c>
      <c r="B34" s="792" t="s">
        <v>1</v>
      </c>
      <c r="C34" s="792" t="s">
        <v>4467</v>
      </c>
      <c r="D34" s="792" t="s">
        <v>4468</v>
      </c>
      <c r="E34" s="792" t="s">
        <v>4469</v>
      </c>
      <c r="F34" s="792" t="s">
        <v>4470</v>
      </c>
      <c r="G34" s="792" t="s">
        <v>4471</v>
      </c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</row>
    <row r="35">
      <c r="A35" s="1067" t="str">
        <f>VLOOKUP($B31,$B$45:$F$176,2,FALSE)</f>
        <v>Desert</v>
      </c>
      <c r="B35" s="1067" t="str">
        <f>VLOOKUP($B31,$B$45:$F$176,3,FALSE)</f>
        <v>Purple</v>
      </c>
      <c r="C35" s="1067" t="str">
        <f>VLOOKUP($B31,$B$45:$F$176,5,FALSE)</f>
        <v>A</v>
      </c>
      <c r="D35" s="794">
        <f>VLOOKUP(B35,$I$53:$Q$57,2,FALSE)</f>
        <v>35</v>
      </c>
      <c r="E35" s="794">
        <f>VLOOKUP(B35,$I$53:$Q$57,B32+2,FALSE)</f>
        <v>661</v>
      </c>
      <c r="F35" s="794">
        <f>E35+D35*B33</f>
        <v>2656</v>
      </c>
      <c r="G35" s="1096">
        <f>FLOOR(F35*(1+IF(A35=$B$22,VLOOKUP(C35,$I$61:$J$65,2,FALSE)/100,0)),1)</f>
        <v>3240</v>
      </c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</row>
    <row r="37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</row>
    <row r="38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</row>
    <row r="39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</row>
    <row r="40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</row>
    <row r="4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</row>
    <row r="42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</row>
    <row r="43">
      <c r="A43" s="134"/>
      <c r="B43" s="134"/>
      <c r="C43" s="134"/>
      <c r="D43" s="134"/>
      <c r="E43" s="134"/>
      <c r="F43" s="134"/>
      <c r="G43" s="134"/>
      <c r="H43" s="134"/>
    </row>
    <row r="44">
      <c r="A44" s="666"/>
      <c r="B44" s="1097" t="s">
        <v>0</v>
      </c>
      <c r="C44" s="1098" t="s">
        <v>4466</v>
      </c>
      <c r="D44" s="1098" t="s">
        <v>1</v>
      </c>
      <c r="E44" s="1098" t="s">
        <v>2</v>
      </c>
      <c r="F44" s="1098" t="s">
        <v>4467</v>
      </c>
      <c r="G44" s="134"/>
      <c r="I44" s="1099" t="s">
        <v>4450</v>
      </c>
      <c r="J44" s="1100"/>
      <c r="K44" s="1100"/>
      <c r="L44" s="1100"/>
      <c r="M44" s="1100"/>
      <c r="N44" s="1100"/>
      <c r="O44" s="1100"/>
      <c r="P44" s="1100"/>
      <c r="Q44" s="1101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</row>
    <row r="45">
      <c r="A45" s="1037"/>
      <c r="B45" s="1102" t="s">
        <v>4486</v>
      </c>
      <c r="C45" s="1103" t="s">
        <v>4487</v>
      </c>
      <c r="D45" s="809" t="s">
        <v>8</v>
      </c>
      <c r="E45" s="809" t="s">
        <v>4450</v>
      </c>
      <c r="F45" s="809" t="s">
        <v>8</v>
      </c>
      <c r="G45" s="134"/>
      <c r="H45" s="781"/>
      <c r="I45" s="1104" t="s">
        <v>1</v>
      </c>
      <c r="J45" s="1104" t="s">
        <v>4468</v>
      </c>
      <c r="K45" s="1104" t="s">
        <v>4488</v>
      </c>
      <c r="L45" s="1104" t="s">
        <v>4489</v>
      </c>
      <c r="M45" s="1104" t="s">
        <v>4490</v>
      </c>
      <c r="N45" s="1104" t="s">
        <v>4491</v>
      </c>
      <c r="O45" s="1104" t="s">
        <v>4492</v>
      </c>
      <c r="P45" s="1104" t="s">
        <v>4493</v>
      </c>
      <c r="Q45" s="1104" t="s">
        <v>4494</v>
      </c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</row>
    <row r="46">
      <c r="A46" s="1037"/>
      <c r="B46" s="1102" t="s">
        <v>4495</v>
      </c>
      <c r="C46" s="1103" t="s">
        <v>4487</v>
      </c>
      <c r="D46" s="809" t="s">
        <v>54</v>
      </c>
      <c r="E46" s="809" t="s">
        <v>4450</v>
      </c>
      <c r="F46" s="809" t="s">
        <v>8</v>
      </c>
      <c r="G46" s="134"/>
      <c r="H46" s="781"/>
      <c r="I46" s="1104" t="s">
        <v>8</v>
      </c>
      <c r="J46" s="1105">
        <v>250.0</v>
      </c>
      <c r="K46" s="1105">
        <v>0.0</v>
      </c>
      <c r="L46" s="1105">
        <v>25.0</v>
      </c>
      <c r="M46" s="1105">
        <v>125.0</v>
      </c>
      <c r="N46" s="1105">
        <v>725.0</v>
      </c>
      <c r="O46" s="1105">
        <v>2825.0</v>
      </c>
      <c r="P46" s="1105">
        <v>6125.0</v>
      </c>
      <c r="Q46" s="1105">
        <v>22925.0</v>
      </c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</row>
    <row r="47">
      <c r="A47" s="263"/>
      <c r="B47" s="1104" t="s">
        <v>4496</v>
      </c>
      <c r="C47" s="1103" t="s">
        <v>4487</v>
      </c>
      <c r="D47" s="809" t="s">
        <v>8</v>
      </c>
      <c r="E47" s="809" t="s">
        <v>4450</v>
      </c>
      <c r="F47" s="809" t="s">
        <v>8</v>
      </c>
      <c r="G47" s="134"/>
      <c r="H47" s="781"/>
      <c r="I47" s="1104" t="s">
        <v>54</v>
      </c>
      <c r="J47" s="1105">
        <v>225.0</v>
      </c>
      <c r="K47" s="1105">
        <v>0.0</v>
      </c>
      <c r="L47" s="1105">
        <v>25.0</v>
      </c>
      <c r="M47" s="1105">
        <v>125.0</v>
      </c>
      <c r="N47" s="1105">
        <v>725.0</v>
      </c>
      <c r="O47" s="1105">
        <v>2825.0</v>
      </c>
      <c r="P47" s="1105">
        <v>6125.0</v>
      </c>
      <c r="Q47" s="1105">
        <v>22925.0</v>
      </c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</row>
    <row r="48">
      <c r="A48" s="263"/>
      <c r="B48" s="1104" t="s">
        <v>4497</v>
      </c>
      <c r="C48" s="1103" t="s">
        <v>4487</v>
      </c>
      <c r="D48" s="809" t="s">
        <v>54</v>
      </c>
      <c r="E48" s="809" t="s">
        <v>4450</v>
      </c>
      <c r="F48" s="809" t="s">
        <v>8</v>
      </c>
      <c r="G48" s="134"/>
      <c r="H48" s="781"/>
      <c r="I48" s="1104" t="s">
        <v>96</v>
      </c>
      <c r="J48" s="1105">
        <v>200.0</v>
      </c>
      <c r="K48" s="1105">
        <v>0.0</v>
      </c>
      <c r="L48" s="1105">
        <v>25.0</v>
      </c>
      <c r="M48" s="1105">
        <v>125.0</v>
      </c>
      <c r="N48" s="1105">
        <v>725.0</v>
      </c>
      <c r="O48" s="1105">
        <v>2825.0</v>
      </c>
      <c r="P48" s="1105">
        <v>6125.0</v>
      </c>
      <c r="Q48" s="110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</row>
    <row r="49">
      <c r="A49" s="1037"/>
      <c r="B49" s="1102" t="s">
        <v>4498</v>
      </c>
      <c r="C49" s="1103" t="s">
        <v>4487</v>
      </c>
      <c r="D49" s="1103" t="s">
        <v>96</v>
      </c>
      <c r="E49" s="809" t="s">
        <v>4450</v>
      </c>
      <c r="F49" s="1103" t="s">
        <v>54</v>
      </c>
      <c r="G49" s="134"/>
      <c r="H49" s="781"/>
      <c r="I49" s="1104" t="s">
        <v>1946</v>
      </c>
      <c r="J49" s="1105">
        <v>175.0</v>
      </c>
      <c r="K49" s="1105">
        <v>0.0</v>
      </c>
      <c r="L49" s="1105">
        <v>25.0</v>
      </c>
      <c r="M49" s="1105">
        <v>125.0</v>
      </c>
      <c r="N49" s="1105">
        <v>725.0</v>
      </c>
      <c r="O49" s="1105">
        <v>2825.0</v>
      </c>
      <c r="P49" s="1104"/>
      <c r="Q49" s="110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</row>
    <row r="50">
      <c r="A50" s="263"/>
      <c r="B50" s="1104" t="s">
        <v>4499</v>
      </c>
      <c r="C50" s="1103" t="s">
        <v>4487</v>
      </c>
      <c r="D50" s="809" t="s">
        <v>1946</v>
      </c>
      <c r="E50" s="809" t="s">
        <v>4450</v>
      </c>
      <c r="F50" s="809" t="s">
        <v>417</v>
      </c>
      <c r="G50" s="134"/>
      <c r="H50" s="781"/>
      <c r="I50" s="263"/>
      <c r="J50" s="263"/>
      <c r="K50" s="263"/>
      <c r="L50" s="263"/>
      <c r="M50" s="263"/>
      <c r="N50" s="263"/>
      <c r="O50" s="263"/>
      <c r="P50" s="263"/>
      <c r="Q50" s="263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</row>
    <row r="51">
      <c r="A51" s="1037"/>
      <c r="B51" s="1102" t="s">
        <v>4500</v>
      </c>
      <c r="C51" s="1103" t="s">
        <v>4487</v>
      </c>
      <c r="D51" s="809" t="s">
        <v>8</v>
      </c>
      <c r="E51" s="809" t="s">
        <v>4474</v>
      </c>
      <c r="F51" s="809" t="s">
        <v>8</v>
      </c>
      <c r="G51" s="134"/>
      <c r="I51" s="1099" t="s">
        <v>4474</v>
      </c>
      <c r="J51" s="1106"/>
      <c r="K51" s="1106"/>
      <c r="L51" s="1106"/>
      <c r="M51" s="1106"/>
      <c r="N51" s="1106"/>
      <c r="O51" s="1106"/>
      <c r="P51" s="1106"/>
      <c r="Q51" s="1107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</row>
    <row r="52">
      <c r="A52" s="1037"/>
      <c r="B52" s="1102" t="s">
        <v>4501</v>
      </c>
      <c r="C52" s="1103" t="s">
        <v>4487</v>
      </c>
      <c r="D52" s="809" t="s">
        <v>54</v>
      </c>
      <c r="E52" s="809" t="s">
        <v>4474</v>
      </c>
      <c r="F52" s="809" t="s">
        <v>8</v>
      </c>
      <c r="G52" s="134"/>
      <c r="H52" s="781"/>
      <c r="I52" s="1104" t="s">
        <v>1</v>
      </c>
      <c r="J52" s="1104" t="s">
        <v>4468</v>
      </c>
      <c r="K52" s="1104" t="s">
        <v>4488</v>
      </c>
      <c r="L52" s="1104" t="s">
        <v>4489</v>
      </c>
      <c r="M52" s="1104" t="s">
        <v>4490</v>
      </c>
      <c r="N52" s="1104" t="s">
        <v>4491</v>
      </c>
      <c r="O52" s="1104" t="s">
        <v>4492</v>
      </c>
      <c r="P52" s="1104" t="s">
        <v>4493</v>
      </c>
      <c r="Q52" s="1104" t="s">
        <v>4494</v>
      </c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</row>
    <row r="53">
      <c r="A53" s="1037"/>
      <c r="B53" s="1102" t="s">
        <v>4502</v>
      </c>
      <c r="C53" s="1103" t="s">
        <v>4487</v>
      </c>
      <c r="D53" s="809" t="s">
        <v>8</v>
      </c>
      <c r="E53" s="809" t="s">
        <v>4474</v>
      </c>
      <c r="F53" s="809" t="s">
        <v>8</v>
      </c>
      <c r="G53" s="134"/>
      <c r="H53" s="781"/>
      <c r="I53" s="1104" t="s">
        <v>8</v>
      </c>
      <c r="J53" s="1105">
        <v>50.0</v>
      </c>
      <c r="K53" s="1105">
        <v>0.0</v>
      </c>
      <c r="L53" s="1105">
        <v>5.0</v>
      </c>
      <c r="M53" s="1105">
        <v>25.0</v>
      </c>
      <c r="N53" s="1105">
        <v>127.0</v>
      </c>
      <c r="O53" s="1108">
        <v>661.0</v>
      </c>
      <c r="P53" s="1105">
        <v>1543.0</v>
      </c>
      <c r="Q53" s="1105">
        <v>4411.0</v>
      </c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</row>
    <row r="54">
      <c r="A54" s="1037"/>
      <c r="B54" s="1102" t="s">
        <v>4503</v>
      </c>
      <c r="C54" s="1103" t="s">
        <v>4487</v>
      </c>
      <c r="D54" s="809" t="s">
        <v>54</v>
      </c>
      <c r="E54" s="809" t="s">
        <v>4474</v>
      </c>
      <c r="F54" s="809" t="s">
        <v>8</v>
      </c>
      <c r="G54" s="134"/>
      <c r="H54" s="781"/>
      <c r="I54" s="1104" t="s">
        <v>54</v>
      </c>
      <c r="J54" s="1105">
        <v>45.0</v>
      </c>
      <c r="K54" s="1105">
        <v>0.0</v>
      </c>
      <c r="L54" s="1105">
        <v>5.0</v>
      </c>
      <c r="M54" s="1105">
        <v>25.0</v>
      </c>
      <c r="N54" s="1105">
        <v>127.0</v>
      </c>
      <c r="O54" s="1108">
        <v>661.0</v>
      </c>
      <c r="P54" s="1105">
        <v>1543.0</v>
      </c>
      <c r="Q54" s="1105">
        <v>4411.0</v>
      </c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</row>
    <row r="55">
      <c r="A55" s="1037"/>
      <c r="B55" s="1102" t="s">
        <v>4504</v>
      </c>
      <c r="C55" s="1103" t="s">
        <v>4487</v>
      </c>
      <c r="D55" s="809" t="s">
        <v>8</v>
      </c>
      <c r="E55" s="809" t="s">
        <v>4474</v>
      </c>
      <c r="F55" s="809" t="s">
        <v>8</v>
      </c>
      <c r="G55" s="134"/>
      <c r="H55" s="781"/>
      <c r="I55" s="1104" t="s">
        <v>96</v>
      </c>
      <c r="J55" s="1105">
        <v>40.0</v>
      </c>
      <c r="K55" s="1105">
        <v>0.0</v>
      </c>
      <c r="L55" s="1105">
        <v>5.0</v>
      </c>
      <c r="M55" s="1105">
        <v>25.0</v>
      </c>
      <c r="N55" s="1105">
        <v>127.0</v>
      </c>
      <c r="O55" s="1108">
        <v>661.0</v>
      </c>
      <c r="P55" s="1105">
        <v>1543.0</v>
      </c>
      <c r="Q55" s="110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</row>
    <row r="56">
      <c r="A56" s="1037"/>
      <c r="B56" s="1102" t="s">
        <v>4505</v>
      </c>
      <c r="C56" s="1103" t="s">
        <v>4487</v>
      </c>
      <c r="D56" s="809" t="s">
        <v>54</v>
      </c>
      <c r="E56" s="809" t="s">
        <v>4474</v>
      </c>
      <c r="F56" s="809" t="s">
        <v>8</v>
      </c>
      <c r="G56" s="134"/>
      <c r="H56" s="781"/>
      <c r="I56" s="1104" t="s">
        <v>1946</v>
      </c>
      <c r="J56" s="1105">
        <v>35.0</v>
      </c>
      <c r="K56" s="1105">
        <v>0.0</v>
      </c>
      <c r="L56" s="1105">
        <v>5.0</v>
      </c>
      <c r="M56" s="1105">
        <v>25.0</v>
      </c>
      <c r="N56" s="1105">
        <v>127.0</v>
      </c>
      <c r="O56" s="1108">
        <v>661.0</v>
      </c>
      <c r="P56" s="1104"/>
      <c r="Q56" s="110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</row>
    <row r="57">
      <c r="A57" s="263"/>
      <c r="B57" s="1104" t="s">
        <v>4506</v>
      </c>
      <c r="C57" s="1103" t="s">
        <v>4487</v>
      </c>
      <c r="D57" s="809" t="s">
        <v>54</v>
      </c>
      <c r="E57" s="809" t="s">
        <v>4474</v>
      </c>
      <c r="F57" s="809" t="s">
        <v>54</v>
      </c>
      <c r="G57" s="134"/>
      <c r="H57" s="781"/>
      <c r="I57" s="1104" t="s">
        <v>19</v>
      </c>
      <c r="J57" s="1105">
        <v>30.0</v>
      </c>
      <c r="K57" s="1105">
        <v>0.0</v>
      </c>
      <c r="L57" s="1105">
        <v>5.0</v>
      </c>
      <c r="M57" s="1105">
        <v>25.0</v>
      </c>
      <c r="N57" s="1105">
        <v>127.0</v>
      </c>
      <c r="O57" s="1104"/>
      <c r="P57" s="1104"/>
      <c r="Q57" s="110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</row>
    <row r="58">
      <c r="A58" s="1037"/>
      <c r="B58" s="1102" t="s">
        <v>4507</v>
      </c>
      <c r="C58" s="1103" t="s">
        <v>4487</v>
      </c>
      <c r="D58" s="1103" t="s">
        <v>96</v>
      </c>
      <c r="E58" s="1103" t="s">
        <v>4474</v>
      </c>
      <c r="F58" s="1103" t="s">
        <v>54</v>
      </c>
      <c r="G58" s="134"/>
      <c r="H58" s="781"/>
      <c r="I58" s="263"/>
      <c r="J58" s="263"/>
      <c r="K58" s="263"/>
      <c r="L58" s="263"/>
      <c r="M58" s="263"/>
      <c r="N58" s="263"/>
      <c r="O58" s="263"/>
      <c r="P58" s="263"/>
      <c r="Q58" s="263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</row>
    <row r="59">
      <c r="A59" s="1037"/>
      <c r="B59" s="1102" t="s">
        <v>4508</v>
      </c>
      <c r="C59" s="1103" t="s">
        <v>4487</v>
      </c>
      <c r="D59" s="1103" t="s">
        <v>96</v>
      </c>
      <c r="E59" s="1103" t="s">
        <v>4474</v>
      </c>
      <c r="F59" s="1103" t="s">
        <v>54</v>
      </c>
      <c r="G59" s="134"/>
      <c r="H59" s="781"/>
      <c r="I59" s="263"/>
      <c r="J59" s="263"/>
      <c r="K59" s="263"/>
      <c r="L59" s="263"/>
      <c r="M59" s="263"/>
      <c r="N59" s="263"/>
      <c r="O59" s="263"/>
      <c r="P59" s="263"/>
      <c r="Q59" s="263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</row>
    <row r="60">
      <c r="A60" s="1037"/>
      <c r="B60" s="1102" t="s">
        <v>4509</v>
      </c>
      <c r="C60" s="1103" t="s">
        <v>4487</v>
      </c>
      <c r="D60" s="1103" t="s">
        <v>96</v>
      </c>
      <c r="E60" s="1103" t="s">
        <v>4474</v>
      </c>
      <c r="F60" s="1103" t="s">
        <v>54</v>
      </c>
      <c r="G60" s="134"/>
      <c r="H60" s="781"/>
      <c r="I60" s="1104" t="s">
        <v>4467</v>
      </c>
      <c r="J60" s="1104" t="s">
        <v>4510</v>
      </c>
      <c r="K60" s="263"/>
      <c r="L60" s="263"/>
      <c r="M60" s="263"/>
      <c r="N60" s="1103" t="s">
        <v>4511</v>
      </c>
      <c r="O60" s="1103" t="s">
        <v>4512</v>
      </c>
      <c r="P60" s="1103" t="s">
        <v>4513</v>
      </c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</row>
    <row r="61">
      <c r="A61" s="1037"/>
      <c r="B61" s="1102" t="s">
        <v>4514</v>
      </c>
      <c r="C61" s="1103" t="s">
        <v>4487</v>
      </c>
      <c r="D61" s="1103" t="s">
        <v>96</v>
      </c>
      <c r="E61" s="1103" t="s">
        <v>4474</v>
      </c>
      <c r="F61" s="1103" t="s">
        <v>96</v>
      </c>
      <c r="G61" s="134"/>
      <c r="H61" s="781"/>
      <c r="I61" s="1104" t="s">
        <v>8</v>
      </c>
      <c r="J61" s="1105">
        <v>40.0</v>
      </c>
      <c r="K61" s="263"/>
      <c r="L61" s="263"/>
      <c r="M61" s="263"/>
      <c r="N61" s="1102">
        <v>1.0</v>
      </c>
      <c r="O61" s="1102">
        <v>20.0</v>
      </c>
      <c r="P61" s="1102">
        <v>10.0</v>
      </c>
      <c r="Q61" s="263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</row>
    <row r="62">
      <c r="A62" s="1037"/>
      <c r="B62" s="1102" t="s">
        <v>4515</v>
      </c>
      <c r="C62" s="1103" t="s">
        <v>4487</v>
      </c>
      <c r="D62" s="1103" t="s">
        <v>96</v>
      </c>
      <c r="E62" s="1103" t="s">
        <v>4474</v>
      </c>
      <c r="F62" s="1103" t="s">
        <v>96</v>
      </c>
      <c r="G62" s="134"/>
      <c r="H62" s="781"/>
      <c r="I62" s="1104" t="s">
        <v>54</v>
      </c>
      <c r="J62" s="1105">
        <v>34.0</v>
      </c>
      <c r="K62" s="263"/>
      <c r="L62" s="263"/>
      <c r="M62" s="263"/>
      <c r="N62" s="1102">
        <v>2.0</v>
      </c>
      <c r="O62" s="1102">
        <v>40.0</v>
      </c>
      <c r="P62" s="1102">
        <v>20.0</v>
      </c>
      <c r="Q62" s="263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</row>
    <row r="63">
      <c r="A63" s="1037"/>
      <c r="B63" s="1102" t="s">
        <v>4516</v>
      </c>
      <c r="C63" s="1103" t="s">
        <v>4487</v>
      </c>
      <c r="D63" s="1103" t="s">
        <v>96</v>
      </c>
      <c r="E63" s="1103" t="s">
        <v>4474</v>
      </c>
      <c r="F63" s="1103" t="s">
        <v>96</v>
      </c>
      <c r="G63" s="134"/>
      <c r="H63" s="781"/>
      <c r="I63" s="1104" t="s">
        <v>96</v>
      </c>
      <c r="J63" s="1105">
        <v>28.0</v>
      </c>
      <c r="K63" s="263"/>
      <c r="L63" s="263"/>
      <c r="M63" s="263"/>
      <c r="N63" s="1102">
        <v>3.0</v>
      </c>
      <c r="O63" s="1102">
        <v>80.0</v>
      </c>
      <c r="P63" s="1102">
        <v>40.0</v>
      </c>
      <c r="Q63" s="263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</row>
    <row r="64">
      <c r="A64" s="1037"/>
      <c r="B64" s="1102" t="s">
        <v>4517</v>
      </c>
      <c r="C64" s="1103" t="s">
        <v>4487</v>
      </c>
      <c r="D64" s="1103" t="s">
        <v>96</v>
      </c>
      <c r="E64" s="1103" t="s">
        <v>4474</v>
      </c>
      <c r="F64" s="1103" t="s">
        <v>96</v>
      </c>
      <c r="G64" s="134"/>
      <c r="H64" s="781"/>
      <c r="I64" s="1104" t="s">
        <v>417</v>
      </c>
      <c r="J64" s="1105">
        <v>22.0</v>
      </c>
      <c r="K64" s="263"/>
      <c r="L64" s="263"/>
      <c r="M64" s="263"/>
      <c r="N64" s="1102">
        <v>4.0</v>
      </c>
      <c r="O64" s="1102">
        <v>120.0</v>
      </c>
      <c r="P64" s="1102">
        <v>60.0</v>
      </c>
      <c r="Q64" s="263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</row>
    <row r="65">
      <c r="A65" s="1037"/>
      <c r="B65" s="1102" t="s">
        <v>4518</v>
      </c>
      <c r="C65" s="1103" t="s">
        <v>4487</v>
      </c>
      <c r="D65" s="1103" t="s">
        <v>96</v>
      </c>
      <c r="E65" s="1103" t="s">
        <v>4474</v>
      </c>
      <c r="F65" s="1103" t="s">
        <v>96</v>
      </c>
      <c r="G65" s="134"/>
      <c r="H65" s="134"/>
      <c r="I65" s="1104" t="s">
        <v>4177</v>
      </c>
      <c r="J65" s="1105">
        <v>16.0</v>
      </c>
      <c r="K65" s="263"/>
      <c r="L65" s="263"/>
      <c r="M65" s="263"/>
      <c r="N65" s="1102">
        <v>5.0</v>
      </c>
      <c r="O65" s="1102">
        <v>160.0</v>
      </c>
      <c r="P65" s="1102">
        <v>80.0</v>
      </c>
      <c r="Q65" s="263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</row>
    <row r="66">
      <c r="A66" s="1037"/>
      <c r="B66" s="1102" t="s">
        <v>4519</v>
      </c>
      <c r="C66" s="1103" t="s">
        <v>4487</v>
      </c>
      <c r="D66" s="1103" t="s">
        <v>96</v>
      </c>
      <c r="E66" s="1103" t="s">
        <v>4474</v>
      </c>
      <c r="F66" s="1103" t="s">
        <v>96</v>
      </c>
      <c r="G66" s="134"/>
      <c r="H66" s="134"/>
      <c r="I66" s="134"/>
      <c r="J66" s="134"/>
      <c r="K66" s="134"/>
      <c r="L66" s="134"/>
      <c r="M66" s="134"/>
      <c r="N66" s="1109">
        <v>6.0</v>
      </c>
      <c r="O66" s="1109">
        <v>200.0</v>
      </c>
      <c r="P66" s="1109">
        <v>100.0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</row>
    <row r="67">
      <c r="A67" s="1037"/>
      <c r="B67" s="1102" t="s">
        <v>4520</v>
      </c>
      <c r="C67" s="1103" t="s">
        <v>4487</v>
      </c>
      <c r="D67" s="1103" t="s">
        <v>96</v>
      </c>
      <c r="E67" s="1103" t="s">
        <v>4474</v>
      </c>
      <c r="F67" s="1103" t="s">
        <v>96</v>
      </c>
      <c r="G67" s="134"/>
      <c r="H67" s="134"/>
      <c r="I67" s="134"/>
      <c r="J67" s="134"/>
      <c r="K67" s="134"/>
      <c r="L67" s="134"/>
      <c r="M67" s="134"/>
      <c r="N67" s="1109">
        <v>7.0</v>
      </c>
      <c r="O67" s="1109">
        <v>240.0</v>
      </c>
      <c r="P67" s="1109">
        <v>120.0</v>
      </c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</row>
    <row r="68">
      <c r="A68" s="1037"/>
      <c r="B68" s="1102" t="s">
        <v>4521</v>
      </c>
      <c r="C68" s="1103" t="s">
        <v>4487</v>
      </c>
      <c r="D68" s="1103" t="s">
        <v>96</v>
      </c>
      <c r="E68" s="1103" t="s">
        <v>4474</v>
      </c>
      <c r="F68" s="1103" t="s">
        <v>96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</row>
    <row r="69">
      <c r="A69" s="1037"/>
      <c r="B69" s="1102" t="s">
        <v>4522</v>
      </c>
      <c r="C69" s="1103" t="s">
        <v>4487</v>
      </c>
      <c r="D69" s="1103" t="s">
        <v>1946</v>
      </c>
      <c r="E69" s="809" t="s">
        <v>4474</v>
      </c>
      <c r="F69" s="1103" t="s">
        <v>417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</row>
    <row r="70">
      <c r="A70" s="1037"/>
      <c r="B70" s="1102" t="s">
        <v>4523</v>
      </c>
      <c r="C70" s="1103" t="s">
        <v>4487</v>
      </c>
      <c r="D70" s="1103" t="s">
        <v>19</v>
      </c>
      <c r="E70" s="809" t="s">
        <v>4474</v>
      </c>
      <c r="F70" s="1103" t="s">
        <v>4177</v>
      </c>
      <c r="G70" s="134"/>
      <c r="H70" s="134"/>
      <c r="I70" s="808" t="s">
        <v>4088</v>
      </c>
      <c r="J70" s="808" t="s">
        <v>4454</v>
      </c>
      <c r="K70" s="808" t="s">
        <v>4524</v>
      </c>
      <c r="L70" s="808" t="s">
        <v>4525</v>
      </c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</row>
    <row r="71">
      <c r="A71" s="1037"/>
      <c r="B71" s="1102" t="s">
        <v>4526</v>
      </c>
      <c r="C71" s="1103" t="s">
        <v>4527</v>
      </c>
      <c r="D71" s="809" t="s">
        <v>8</v>
      </c>
      <c r="E71" s="809" t="s">
        <v>4450</v>
      </c>
      <c r="F71" s="809" t="s">
        <v>8</v>
      </c>
      <c r="G71" s="134"/>
      <c r="H71" s="134"/>
      <c r="I71" s="1109">
        <v>1.0</v>
      </c>
      <c r="J71" s="1110">
        <v>0.0</v>
      </c>
      <c r="K71" s="1111">
        <f t="shared" ref="K71:K310" si="1">SUM(OFFSET($J$70,1,0,I71))</f>
        <v>0</v>
      </c>
      <c r="L71" s="1109">
        <v>1.0</v>
      </c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</row>
    <row r="72">
      <c r="A72" s="1037"/>
      <c r="B72" s="1102" t="s">
        <v>4528</v>
      </c>
      <c r="C72" s="1103" t="s">
        <v>4527</v>
      </c>
      <c r="D72" s="809" t="s">
        <v>54</v>
      </c>
      <c r="E72" s="809" t="s">
        <v>4450</v>
      </c>
      <c r="F72" s="809" t="s">
        <v>8</v>
      </c>
      <c r="G72" s="134"/>
      <c r="H72" s="134"/>
      <c r="I72" s="1109">
        <v>2.0</v>
      </c>
      <c r="J72" s="1112">
        <f t="shared" ref="J72:J129" si="2">60*(I71+1)</f>
        <v>120</v>
      </c>
      <c r="K72" s="1111">
        <f t="shared" si="1"/>
        <v>120</v>
      </c>
      <c r="L72" s="1109">
        <v>2.0</v>
      </c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</row>
    <row r="73">
      <c r="A73" s="263"/>
      <c r="B73" s="1104" t="s">
        <v>4529</v>
      </c>
      <c r="C73" s="1103" t="s">
        <v>4527</v>
      </c>
      <c r="D73" s="809" t="s">
        <v>8</v>
      </c>
      <c r="E73" s="809" t="s">
        <v>4450</v>
      </c>
      <c r="F73" s="809" t="s">
        <v>8</v>
      </c>
      <c r="G73" s="134"/>
      <c r="H73" s="134"/>
      <c r="I73" s="1109">
        <v>3.0</v>
      </c>
      <c r="J73" s="1112">
        <f t="shared" si="2"/>
        <v>180</v>
      </c>
      <c r="K73" s="1111">
        <f t="shared" si="1"/>
        <v>300</v>
      </c>
      <c r="L73" s="1109">
        <v>3.0</v>
      </c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</row>
    <row r="74">
      <c r="A74" s="263"/>
      <c r="B74" s="1104" t="s">
        <v>4530</v>
      </c>
      <c r="C74" s="1103" t="s">
        <v>4527</v>
      </c>
      <c r="D74" s="809" t="s">
        <v>54</v>
      </c>
      <c r="E74" s="809" t="s">
        <v>4450</v>
      </c>
      <c r="F74" s="809" t="s">
        <v>8</v>
      </c>
      <c r="G74" s="134"/>
      <c r="H74" s="134"/>
      <c r="I74" s="1109">
        <v>4.0</v>
      </c>
      <c r="J74" s="1112">
        <f t="shared" si="2"/>
        <v>240</v>
      </c>
      <c r="K74" s="1111">
        <f t="shared" si="1"/>
        <v>540</v>
      </c>
      <c r="L74" s="1109">
        <v>4.0</v>
      </c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</row>
    <row r="75">
      <c r="A75" s="1037"/>
      <c r="B75" s="1102" t="s">
        <v>4531</v>
      </c>
      <c r="C75" s="1103" t="s">
        <v>4527</v>
      </c>
      <c r="D75" s="1103" t="s">
        <v>96</v>
      </c>
      <c r="E75" s="1103" t="s">
        <v>4450</v>
      </c>
      <c r="F75" s="1103" t="s">
        <v>54</v>
      </c>
      <c r="G75" s="134"/>
      <c r="H75" s="134"/>
      <c r="I75" s="1109">
        <v>5.0</v>
      </c>
      <c r="J75" s="1112">
        <f t="shared" si="2"/>
        <v>300</v>
      </c>
      <c r="K75" s="1111">
        <f t="shared" si="1"/>
        <v>840</v>
      </c>
      <c r="L75" s="1109">
        <v>5.0</v>
      </c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</row>
    <row r="76">
      <c r="A76" s="263"/>
      <c r="B76" s="1104" t="s">
        <v>4532</v>
      </c>
      <c r="C76" s="1103" t="s">
        <v>4527</v>
      </c>
      <c r="D76" s="809" t="s">
        <v>8</v>
      </c>
      <c r="E76" s="809" t="s">
        <v>4474</v>
      </c>
      <c r="F76" s="809" t="s">
        <v>8</v>
      </c>
      <c r="G76" s="134"/>
      <c r="H76" s="134"/>
      <c r="I76" s="1109">
        <v>6.0</v>
      </c>
      <c r="J76" s="1112">
        <f t="shared" si="2"/>
        <v>360</v>
      </c>
      <c r="K76" s="1111">
        <f t="shared" si="1"/>
        <v>1200</v>
      </c>
      <c r="L76" s="1109">
        <v>6.0</v>
      </c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</row>
    <row r="77">
      <c r="A77" s="263"/>
      <c r="B77" s="1104" t="s">
        <v>4533</v>
      </c>
      <c r="C77" s="1103" t="s">
        <v>4527</v>
      </c>
      <c r="D77" s="809" t="s">
        <v>54</v>
      </c>
      <c r="E77" s="809" t="s">
        <v>4474</v>
      </c>
      <c r="F77" s="809" t="s">
        <v>8</v>
      </c>
      <c r="G77" s="134"/>
      <c r="H77" s="134"/>
      <c r="I77" s="1109">
        <v>7.0</v>
      </c>
      <c r="J77" s="1112">
        <f t="shared" si="2"/>
        <v>420</v>
      </c>
      <c r="K77" s="1111">
        <f t="shared" si="1"/>
        <v>1620</v>
      </c>
      <c r="L77" s="1109">
        <v>7.0</v>
      </c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</row>
    <row r="78">
      <c r="A78" s="1037"/>
      <c r="B78" s="1102" t="s">
        <v>4534</v>
      </c>
      <c r="C78" s="1103" t="s">
        <v>4527</v>
      </c>
      <c r="D78" s="809" t="s">
        <v>8</v>
      </c>
      <c r="E78" s="809" t="s">
        <v>4474</v>
      </c>
      <c r="F78" s="809" t="s">
        <v>8</v>
      </c>
      <c r="G78" s="134"/>
      <c r="H78" s="134"/>
      <c r="I78" s="1109">
        <v>8.0</v>
      </c>
      <c r="J78" s="1112">
        <f t="shared" si="2"/>
        <v>480</v>
      </c>
      <c r="K78" s="1111">
        <f t="shared" si="1"/>
        <v>2100</v>
      </c>
      <c r="L78" s="1109">
        <v>8.0</v>
      </c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</row>
    <row r="79">
      <c r="A79" s="1037"/>
      <c r="B79" s="1102" t="s">
        <v>4535</v>
      </c>
      <c r="C79" s="1103" t="s">
        <v>4527</v>
      </c>
      <c r="D79" s="809" t="s">
        <v>54</v>
      </c>
      <c r="E79" s="809" t="s">
        <v>4474</v>
      </c>
      <c r="F79" s="809" t="s">
        <v>8</v>
      </c>
      <c r="G79" s="134"/>
      <c r="H79" s="134"/>
      <c r="I79" s="1109">
        <v>9.0</v>
      </c>
      <c r="J79" s="1112">
        <f t="shared" si="2"/>
        <v>540</v>
      </c>
      <c r="K79" s="1111">
        <f t="shared" si="1"/>
        <v>2640</v>
      </c>
      <c r="L79" s="1109">
        <v>9.0</v>
      </c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</row>
    <row r="80">
      <c r="A80" s="1037"/>
      <c r="B80" s="1102" t="s">
        <v>4536</v>
      </c>
      <c r="C80" s="1103" t="s">
        <v>4527</v>
      </c>
      <c r="D80" s="809" t="s">
        <v>8</v>
      </c>
      <c r="E80" s="809" t="s">
        <v>4474</v>
      </c>
      <c r="F80" s="809" t="s">
        <v>8</v>
      </c>
      <c r="G80" s="134"/>
      <c r="H80" s="134"/>
      <c r="I80" s="1109">
        <v>10.0</v>
      </c>
      <c r="J80" s="1112">
        <f t="shared" si="2"/>
        <v>600</v>
      </c>
      <c r="K80" s="1111">
        <f t="shared" si="1"/>
        <v>3240</v>
      </c>
      <c r="L80" s="1109">
        <v>10.0</v>
      </c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</row>
    <row r="81">
      <c r="A81" s="1037"/>
      <c r="B81" s="1102" t="s">
        <v>4537</v>
      </c>
      <c r="C81" s="1103" t="s">
        <v>4527</v>
      </c>
      <c r="D81" s="809" t="s">
        <v>54</v>
      </c>
      <c r="E81" s="809" t="s">
        <v>4474</v>
      </c>
      <c r="F81" s="809" t="s">
        <v>8</v>
      </c>
      <c r="G81" s="134"/>
      <c r="H81" s="134"/>
      <c r="I81" s="1109">
        <v>11.0</v>
      </c>
      <c r="J81" s="1112">
        <f t="shared" si="2"/>
        <v>660</v>
      </c>
      <c r="K81" s="1111">
        <f t="shared" si="1"/>
        <v>3900</v>
      </c>
      <c r="L81" s="1109">
        <v>11.0</v>
      </c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</row>
    <row r="82">
      <c r="A82" s="263"/>
      <c r="B82" s="1104" t="s">
        <v>4538</v>
      </c>
      <c r="C82" s="1103" t="s">
        <v>4527</v>
      </c>
      <c r="D82" s="809" t="s">
        <v>54</v>
      </c>
      <c r="E82" s="809" t="s">
        <v>4474</v>
      </c>
      <c r="F82" s="809" t="s">
        <v>54</v>
      </c>
      <c r="G82" s="134"/>
      <c r="H82" s="134"/>
      <c r="I82" s="1109">
        <v>12.0</v>
      </c>
      <c r="J82" s="1112">
        <f t="shared" si="2"/>
        <v>720</v>
      </c>
      <c r="K82" s="1111">
        <f t="shared" si="1"/>
        <v>4620</v>
      </c>
      <c r="L82" s="1109">
        <v>12.0</v>
      </c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</row>
    <row r="83">
      <c r="A83" s="1037"/>
      <c r="B83" s="1102" t="s">
        <v>4539</v>
      </c>
      <c r="C83" s="1103" t="s">
        <v>4527</v>
      </c>
      <c r="D83" s="1103" t="s">
        <v>96</v>
      </c>
      <c r="E83" s="1103" t="s">
        <v>4474</v>
      </c>
      <c r="F83" s="1103" t="s">
        <v>54</v>
      </c>
      <c r="G83" s="134"/>
      <c r="H83" s="134"/>
      <c r="I83" s="1109">
        <v>13.0</v>
      </c>
      <c r="J83" s="1112">
        <f t="shared" si="2"/>
        <v>780</v>
      </c>
      <c r="K83" s="1111">
        <f t="shared" si="1"/>
        <v>5400</v>
      </c>
      <c r="L83" s="1109">
        <v>13.0</v>
      </c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</row>
    <row r="84">
      <c r="A84" s="1037"/>
      <c r="B84" s="1102" t="s">
        <v>4540</v>
      </c>
      <c r="C84" s="1103" t="s">
        <v>4527</v>
      </c>
      <c r="D84" s="1103" t="s">
        <v>96</v>
      </c>
      <c r="E84" s="1103" t="s">
        <v>4474</v>
      </c>
      <c r="F84" s="1103" t="s">
        <v>54</v>
      </c>
      <c r="G84" s="134"/>
      <c r="H84" s="134"/>
      <c r="I84" s="1109">
        <v>14.0</v>
      </c>
      <c r="J84" s="1112">
        <f t="shared" si="2"/>
        <v>840</v>
      </c>
      <c r="K84" s="1111">
        <f t="shared" si="1"/>
        <v>6240</v>
      </c>
      <c r="L84" s="1109">
        <v>14.0</v>
      </c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</row>
    <row r="85">
      <c r="A85" s="1037"/>
      <c r="B85" s="1102" t="s">
        <v>4541</v>
      </c>
      <c r="C85" s="1103" t="s">
        <v>4527</v>
      </c>
      <c r="D85" s="1103" t="s">
        <v>96</v>
      </c>
      <c r="E85" s="1103" t="s">
        <v>4474</v>
      </c>
      <c r="F85" s="1103" t="s">
        <v>54</v>
      </c>
      <c r="G85" s="134"/>
      <c r="H85" s="134"/>
      <c r="I85" s="1109">
        <v>15.0</v>
      </c>
      <c r="J85" s="1112">
        <f t="shared" si="2"/>
        <v>900</v>
      </c>
      <c r="K85" s="1111">
        <f t="shared" si="1"/>
        <v>7140</v>
      </c>
      <c r="L85" s="1109">
        <v>15.0</v>
      </c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</row>
    <row r="86">
      <c r="A86" s="1037"/>
      <c r="B86" s="1102" t="s">
        <v>4542</v>
      </c>
      <c r="C86" s="1103" t="s">
        <v>4527</v>
      </c>
      <c r="D86" s="1103" t="s">
        <v>96</v>
      </c>
      <c r="E86" s="1103" t="s">
        <v>4474</v>
      </c>
      <c r="F86" s="1103" t="s">
        <v>96</v>
      </c>
      <c r="G86" s="134"/>
      <c r="H86" s="134"/>
      <c r="I86" s="1109">
        <v>16.0</v>
      </c>
      <c r="J86" s="1112">
        <f t="shared" si="2"/>
        <v>960</v>
      </c>
      <c r="K86" s="1111">
        <f t="shared" si="1"/>
        <v>8100</v>
      </c>
      <c r="L86" s="1109">
        <v>16.0</v>
      </c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</row>
    <row r="87">
      <c r="A87" s="1037"/>
      <c r="B87" s="1102" t="s">
        <v>4543</v>
      </c>
      <c r="C87" s="1103" t="s">
        <v>4527</v>
      </c>
      <c r="D87" s="1103" t="s">
        <v>96</v>
      </c>
      <c r="E87" s="1103" t="s">
        <v>4474</v>
      </c>
      <c r="F87" s="1103" t="s">
        <v>96</v>
      </c>
      <c r="G87" s="134"/>
      <c r="H87" s="134"/>
      <c r="I87" s="1109">
        <v>17.0</v>
      </c>
      <c r="J87" s="1112">
        <f t="shared" si="2"/>
        <v>1020</v>
      </c>
      <c r="K87" s="1111">
        <f t="shared" si="1"/>
        <v>9120</v>
      </c>
      <c r="L87" s="1109">
        <v>17.0</v>
      </c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</row>
    <row r="88">
      <c r="A88" s="1037"/>
      <c r="B88" s="1102" t="s">
        <v>4544</v>
      </c>
      <c r="C88" s="1103" t="s">
        <v>4527</v>
      </c>
      <c r="D88" s="1103" t="s">
        <v>96</v>
      </c>
      <c r="E88" s="1103" t="s">
        <v>4474</v>
      </c>
      <c r="F88" s="1103" t="s">
        <v>96</v>
      </c>
      <c r="G88" s="134"/>
      <c r="H88" s="134"/>
      <c r="I88" s="1109">
        <v>18.0</v>
      </c>
      <c r="J88" s="1112">
        <f t="shared" si="2"/>
        <v>1080</v>
      </c>
      <c r="K88" s="1111">
        <f t="shared" si="1"/>
        <v>10200</v>
      </c>
      <c r="L88" s="1109">
        <v>18.0</v>
      </c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</row>
    <row r="89">
      <c r="A89" s="1037"/>
      <c r="B89" s="1102" t="s">
        <v>4545</v>
      </c>
      <c r="C89" s="1103" t="s">
        <v>4527</v>
      </c>
      <c r="D89" s="1103" t="s">
        <v>96</v>
      </c>
      <c r="E89" s="1103" t="s">
        <v>4474</v>
      </c>
      <c r="F89" s="1103" t="s">
        <v>96</v>
      </c>
      <c r="G89" s="134"/>
      <c r="H89" s="134"/>
      <c r="I89" s="1109">
        <v>19.0</v>
      </c>
      <c r="J89" s="1112">
        <f t="shared" si="2"/>
        <v>1140</v>
      </c>
      <c r="K89" s="1111">
        <f t="shared" si="1"/>
        <v>11340</v>
      </c>
      <c r="L89" s="1109">
        <v>19.0</v>
      </c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</row>
    <row r="90">
      <c r="A90" s="1037"/>
      <c r="B90" s="1102" t="s">
        <v>4546</v>
      </c>
      <c r="C90" s="1103" t="s">
        <v>4527</v>
      </c>
      <c r="D90" s="1103" t="s">
        <v>96</v>
      </c>
      <c r="E90" s="1103" t="s">
        <v>4474</v>
      </c>
      <c r="F90" s="1103" t="s">
        <v>96</v>
      </c>
      <c r="G90" s="134"/>
      <c r="H90" s="134"/>
      <c r="I90" s="1109">
        <v>20.0</v>
      </c>
      <c r="J90" s="1112">
        <f t="shared" si="2"/>
        <v>1200</v>
      </c>
      <c r="K90" s="1111">
        <f t="shared" si="1"/>
        <v>12540</v>
      </c>
      <c r="L90" s="1109">
        <v>20.0</v>
      </c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</row>
    <row r="91">
      <c r="A91" s="1037"/>
      <c r="B91" s="1102" t="s">
        <v>4547</v>
      </c>
      <c r="C91" s="1103" t="s">
        <v>4527</v>
      </c>
      <c r="D91" s="1103" t="s">
        <v>96</v>
      </c>
      <c r="E91" s="1103" t="s">
        <v>4474</v>
      </c>
      <c r="F91" s="1103" t="s">
        <v>96</v>
      </c>
      <c r="G91" s="134"/>
      <c r="H91" s="134"/>
      <c r="I91" s="1109">
        <v>21.0</v>
      </c>
      <c r="J91" s="1112">
        <f t="shared" si="2"/>
        <v>1260</v>
      </c>
      <c r="K91" s="1111">
        <f t="shared" si="1"/>
        <v>13800</v>
      </c>
      <c r="L91" s="1109">
        <v>21.0</v>
      </c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</row>
    <row r="92">
      <c r="A92" s="1037"/>
      <c r="B92" s="1102" t="s">
        <v>4548</v>
      </c>
      <c r="C92" s="1103" t="s">
        <v>4527</v>
      </c>
      <c r="D92" s="1103" t="s">
        <v>96</v>
      </c>
      <c r="E92" s="1103" t="s">
        <v>4474</v>
      </c>
      <c r="F92" s="1103" t="s">
        <v>96</v>
      </c>
      <c r="G92" s="134"/>
      <c r="H92" s="134"/>
      <c r="I92" s="1109">
        <v>22.0</v>
      </c>
      <c r="J92" s="1112">
        <f t="shared" si="2"/>
        <v>1320</v>
      </c>
      <c r="K92" s="1111">
        <f t="shared" si="1"/>
        <v>15120</v>
      </c>
      <c r="L92" s="1109">
        <v>22.0</v>
      </c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</row>
    <row r="93">
      <c r="A93" s="1037"/>
      <c r="B93" s="1102" t="s">
        <v>4549</v>
      </c>
      <c r="C93" s="1103" t="s">
        <v>4527</v>
      </c>
      <c r="D93" s="1103" t="s">
        <v>96</v>
      </c>
      <c r="E93" s="1103" t="s">
        <v>4474</v>
      </c>
      <c r="F93" s="1103" t="s">
        <v>96</v>
      </c>
      <c r="G93" s="134"/>
      <c r="H93" s="134"/>
      <c r="I93" s="1109">
        <v>23.0</v>
      </c>
      <c r="J93" s="1112">
        <f t="shared" si="2"/>
        <v>1380</v>
      </c>
      <c r="K93" s="1111">
        <f t="shared" si="1"/>
        <v>16500</v>
      </c>
      <c r="L93" s="1109">
        <v>23.0</v>
      </c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</row>
    <row r="94">
      <c r="A94" s="263"/>
      <c r="B94" s="1104" t="s">
        <v>4550</v>
      </c>
      <c r="C94" s="1103" t="s">
        <v>4527</v>
      </c>
      <c r="D94" s="809" t="s">
        <v>1946</v>
      </c>
      <c r="E94" s="809" t="s">
        <v>4474</v>
      </c>
      <c r="F94" s="809" t="s">
        <v>417</v>
      </c>
      <c r="G94" s="134"/>
      <c r="H94" s="134"/>
      <c r="I94" s="1109">
        <v>24.0</v>
      </c>
      <c r="J94" s="1112">
        <f t="shared" si="2"/>
        <v>1440</v>
      </c>
      <c r="K94" s="1111">
        <f t="shared" si="1"/>
        <v>17940</v>
      </c>
      <c r="L94" s="1109">
        <v>24.0</v>
      </c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</row>
    <row r="95">
      <c r="A95" s="263"/>
      <c r="B95" s="1104" t="s">
        <v>4551</v>
      </c>
      <c r="C95" s="1103" t="s">
        <v>4527</v>
      </c>
      <c r="D95" s="809" t="s">
        <v>1946</v>
      </c>
      <c r="E95" s="809" t="s">
        <v>4474</v>
      </c>
      <c r="F95" s="809" t="s">
        <v>417</v>
      </c>
      <c r="G95" s="134"/>
      <c r="H95" s="134"/>
      <c r="I95" s="1109">
        <v>25.0</v>
      </c>
      <c r="J95" s="1112">
        <f t="shared" si="2"/>
        <v>1500</v>
      </c>
      <c r="K95" s="1111">
        <f t="shared" si="1"/>
        <v>19440</v>
      </c>
      <c r="L95" s="1109">
        <v>25.0</v>
      </c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</row>
    <row r="96">
      <c r="A96" s="263"/>
      <c r="B96" s="1104" t="s">
        <v>4552</v>
      </c>
      <c r="C96" s="1103" t="s">
        <v>4527</v>
      </c>
      <c r="D96" s="809" t="s">
        <v>19</v>
      </c>
      <c r="E96" s="809" t="s">
        <v>4474</v>
      </c>
      <c r="F96" s="809" t="s">
        <v>4177</v>
      </c>
      <c r="G96" s="134"/>
      <c r="H96" s="134"/>
      <c r="I96" s="1109">
        <v>26.0</v>
      </c>
      <c r="J96" s="1112">
        <f t="shared" si="2"/>
        <v>1560</v>
      </c>
      <c r="K96" s="1111">
        <f t="shared" si="1"/>
        <v>21000</v>
      </c>
      <c r="L96" s="1109">
        <v>26.0</v>
      </c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</row>
    <row r="97">
      <c r="A97" s="1037"/>
      <c r="B97" s="1102" t="s">
        <v>4553</v>
      </c>
      <c r="C97" s="1103" t="s">
        <v>3716</v>
      </c>
      <c r="D97" s="809" t="s">
        <v>8</v>
      </c>
      <c r="E97" s="809" t="s">
        <v>4450</v>
      </c>
      <c r="F97" s="809" t="s">
        <v>8</v>
      </c>
      <c r="G97" s="134"/>
      <c r="H97" s="134"/>
      <c r="I97" s="1109">
        <v>27.0</v>
      </c>
      <c r="J97" s="1112">
        <f t="shared" si="2"/>
        <v>1620</v>
      </c>
      <c r="K97" s="1111">
        <f t="shared" si="1"/>
        <v>22620</v>
      </c>
      <c r="L97" s="1109">
        <v>27.0</v>
      </c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</row>
    <row r="98">
      <c r="A98" s="1037"/>
      <c r="B98" s="1102" t="s">
        <v>4554</v>
      </c>
      <c r="C98" s="1103" t="s">
        <v>3716</v>
      </c>
      <c r="D98" s="809" t="s">
        <v>54</v>
      </c>
      <c r="E98" s="809" t="s">
        <v>4450</v>
      </c>
      <c r="F98" s="809" t="s">
        <v>8</v>
      </c>
      <c r="G98" s="134"/>
      <c r="H98" s="134"/>
      <c r="I98" s="1109">
        <v>28.0</v>
      </c>
      <c r="J98" s="1112">
        <f t="shared" si="2"/>
        <v>1680</v>
      </c>
      <c r="K98" s="1111">
        <f t="shared" si="1"/>
        <v>24300</v>
      </c>
      <c r="L98" s="1109">
        <v>28.0</v>
      </c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</row>
    <row r="99">
      <c r="A99" s="263"/>
      <c r="B99" s="1104" t="s">
        <v>4555</v>
      </c>
      <c r="C99" s="1103" t="s">
        <v>3716</v>
      </c>
      <c r="D99" s="809" t="s">
        <v>8</v>
      </c>
      <c r="E99" s="809" t="s">
        <v>4450</v>
      </c>
      <c r="F99" s="809" t="s">
        <v>8</v>
      </c>
      <c r="G99" s="134"/>
      <c r="H99" s="134"/>
      <c r="I99" s="1109">
        <v>29.0</v>
      </c>
      <c r="J99" s="1112">
        <f t="shared" si="2"/>
        <v>1740</v>
      </c>
      <c r="K99" s="1111">
        <f t="shared" si="1"/>
        <v>26040</v>
      </c>
      <c r="L99" s="1109">
        <v>29.0</v>
      </c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</row>
    <row r="100">
      <c r="A100" s="263"/>
      <c r="B100" s="1104" t="s">
        <v>4556</v>
      </c>
      <c r="C100" s="1103" t="s">
        <v>3716</v>
      </c>
      <c r="D100" s="809" t="s">
        <v>54</v>
      </c>
      <c r="E100" s="809" t="s">
        <v>4450</v>
      </c>
      <c r="F100" s="809" t="s">
        <v>8</v>
      </c>
      <c r="G100" s="134"/>
      <c r="H100" s="134"/>
      <c r="I100" s="1109">
        <v>30.0</v>
      </c>
      <c r="J100" s="1112">
        <f t="shared" si="2"/>
        <v>1800</v>
      </c>
      <c r="K100" s="1111">
        <f t="shared" si="1"/>
        <v>27840</v>
      </c>
      <c r="L100" s="1109">
        <v>30.0</v>
      </c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</row>
    <row r="101">
      <c r="A101" s="263"/>
      <c r="B101" s="1104" t="s">
        <v>4557</v>
      </c>
      <c r="C101" s="1103" t="s">
        <v>3716</v>
      </c>
      <c r="D101" s="809" t="s">
        <v>96</v>
      </c>
      <c r="E101" s="809" t="s">
        <v>4450</v>
      </c>
      <c r="F101" s="809" t="s">
        <v>54</v>
      </c>
      <c r="G101" s="134"/>
      <c r="H101" s="134"/>
      <c r="I101" s="1109">
        <v>31.0</v>
      </c>
      <c r="J101" s="1112">
        <f t="shared" si="2"/>
        <v>1860</v>
      </c>
      <c r="K101" s="1111">
        <f t="shared" si="1"/>
        <v>29700</v>
      </c>
      <c r="L101" s="1109">
        <v>31.0</v>
      </c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</row>
    <row r="102">
      <c r="A102" s="1037"/>
      <c r="B102" s="1102" t="s">
        <v>4558</v>
      </c>
      <c r="C102" s="1103" t="s">
        <v>3716</v>
      </c>
      <c r="D102" s="1103" t="s">
        <v>1946</v>
      </c>
      <c r="E102" s="1103" t="s">
        <v>4450</v>
      </c>
      <c r="F102" s="1103" t="s">
        <v>417</v>
      </c>
      <c r="G102" s="134"/>
      <c r="H102" s="134"/>
      <c r="I102" s="1109">
        <v>32.0</v>
      </c>
      <c r="J102" s="1112">
        <f t="shared" si="2"/>
        <v>1920</v>
      </c>
      <c r="K102" s="1111">
        <f t="shared" si="1"/>
        <v>31620</v>
      </c>
      <c r="L102" s="1109">
        <v>32.0</v>
      </c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</row>
    <row r="103">
      <c r="A103" s="1037"/>
      <c r="B103" s="1102" t="s">
        <v>4559</v>
      </c>
      <c r="C103" s="1103" t="s">
        <v>3716</v>
      </c>
      <c r="D103" s="1103" t="s">
        <v>8</v>
      </c>
      <c r="E103" s="809" t="s">
        <v>4474</v>
      </c>
      <c r="F103" s="1103" t="s">
        <v>8</v>
      </c>
      <c r="G103" s="134"/>
      <c r="H103" s="134"/>
      <c r="I103" s="1109">
        <v>33.0</v>
      </c>
      <c r="J103" s="1112">
        <f t="shared" si="2"/>
        <v>1980</v>
      </c>
      <c r="K103" s="1111">
        <f t="shared" si="1"/>
        <v>33600</v>
      </c>
      <c r="L103" s="1109">
        <v>33.0</v>
      </c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</row>
    <row r="104">
      <c r="A104" s="1037"/>
      <c r="B104" s="1102" t="s">
        <v>4560</v>
      </c>
      <c r="C104" s="1103" t="s">
        <v>3716</v>
      </c>
      <c r="D104" s="1103" t="s">
        <v>54</v>
      </c>
      <c r="E104" s="809" t="s">
        <v>4474</v>
      </c>
      <c r="F104" s="1103" t="s">
        <v>8</v>
      </c>
      <c r="G104" s="134"/>
      <c r="H104" s="134"/>
      <c r="I104" s="1109">
        <v>34.0</v>
      </c>
      <c r="J104" s="1112">
        <f t="shared" si="2"/>
        <v>2040</v>
      </c>
      <c r="K104" s="1111">
        <f t="shared" si="1"/>
        <v>35640</v>
      </c>
      <c r="L104" s="1109">
        <v>34.0</v>
      </c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</row>
    <row r="105">
      <c r="A105" s="1037"/>
      <c r="B105" s="1102" t="s">
        <v>4561</v>
      </c>
      <c r="C105" s="1103" t="s">
        <v>3716</v>
      </c>
      <c r="D105" s="1103" t="s">
        <v>8</v>
      </c>
      <c r="E105" s="809" t="s">
        <v>4474</v>
      </c>
      <c r="F105" s="1103" t="s">
        <v>8</v>
      </c>
      <c r="G105" s="134"/>
      <c r="H105" s="134"/>
      <c r="I105" s="1109">
        <v>35.0</v>
      </c>
      <c r="J105" s="1112">
        <f t="shared" si="2"/>
        <v>2100</v>
      </c>
      <c r="K105" s="1111">
        <f t="shared" si="1"/>
        <v>37740</v>
      </c>
      <c r="L105" s="1109">
        <v>35.0</v>
      </c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</row>
    <row r="106">
      <c r="A106" s="1037"/>
      <c r="B106" s="1102" t="s">
        <v>4562</v>
      </c>
      <c r="C106" s="1103" t="s">
        <v>3716</v>
      </c>
      <c r="D106" s="1103" t="s">
        <v>54</v>
      </c>
      <c r="E106" s="809" t="s">
        <v>4474</v>
      </c>
      <c r="F106" s="1103" t="s">
        <v>8</v>
      </c>
      <c r="G106" s="134"/>
      <c r="H106" s="134"/>
      <c r="I106" s="1109">
        <v>36.0</v>
      </c>
      <c r="J106" s="1112">
        <f t="shared" si="2"/>
        <v>2160</v>
      </c>
      <c r="K106" s="1111">
        <f t="shared" si="1"/>
        <v>39900</v>
      </c>
      <c r="L106" s="1109">
        <v>36.0</v>
      </c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</row>
    <row r="107">
      <c r="A107" s="1037"/>
      <c r="B107" s="1102" t="s">
        <v>4563</v>
      </c>
      <c r="C107" s="1103" t="s">
        <v>3716</v>
      </c>
      <c r="D107" s="1103" t="s">
        <v>8</v>
      </c>
      <c r="E107" s="809" t="s">
        <v>4474</v>
      </c>
      <c r="F107" s="1103" t="s">
        <v>8</v>
      </c>
      <c r="G107" s="134"/>
      <c r="H107" s="134"/>
      <c r="I107" s="1109">
        <v>37.0</v>
      </c>
      <c r="J107" s="1112">
        <f t="shared" si="2"/>
        <v>2220</v>
      </c>
      <c r="K107" s="1111">
        <f t="shared" si="1"/>
        <v>42120</v>
      </c>
      <c r="L107" s="1109">
        <v>37.0</v>
      </c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</row>
    <row r="108">
      <c r="A108" s="1037"/>
      <c r="B108" s="1102" t="s">
        <v>4564</v>
      </c>
      <c r="C108" s="1103" t="s">
        <v>3716</v>
      </c>
      <c r="D108" s="1103" t="s">
        <v>54</v>
      </c>
      <c r="E108" s="809" t="s">
        <v>4474</v>
      </c>
      <c r="F108" s="1103" t="s">
        <v>8</v>
      </c>
      <c r="G108" s="134"/>
      <c r="H108" s="134"/>
      <c r="I108" s="1109">
        <v>38.0</v>
      </c>
      <c r="J108" s="1112">
        <f t="shared" si="2"/>
        <v>2280</v>
      </c>
      <c r="K108" s="1111">
        <f t="shared" si="1"/>
        <v>44400</v>
      </c>
      <c r="L108" s="1109">
        <v>38.0</v>
      </c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</row>
    <row r="109">
      <c r="A109" s="263"/>
      <c r="B109" s="1104" t="s">
        <v>4565</v>
      </c>
      <c r="C109" s="1103" t="s">
        <v>3716</v>
      </c>
      <c r="D109" s="809" t="s">
        <v>54</v>
      </c>
      <c r="E109" s="809" t="s">
        <v>4474</v>
      </c>
      <c r="F109" s="809" t="s">
        <v>54</v>
      </c>
      <c r="G109" s="134"/>
      <c r="H109" s="134"/>
      <c r="I109" s="1109">
        <v>39.0</v>
      </c>
      <c r="J109" s="1112">
        <f t="shared" si="2"/>
        <v>2340</v>
      </c>
      <c r="K109" s="1111">
        <f t="shared" si="1"/>
        <v>46740</v>
      </c>
      <c r="L109" s="1109">
        <v>39.0</v>
      </c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</row>
    <row r="110">
      <c r="A110" s="1037"/>
      <c r="B110" s="1102" t="s">
        <v>4566</v>
      </c>
      <c r="C110" s="1103" t="s">
        <v>3716</v>
      </c>
      <c r="D110" s="1103" t="s">
        <v>96</v>
      </c>
      <c r="E110" s="1103" t="s">
        <v>4474</v>
      </c>
      <c r="F110" s="1103" t="s">
        <v>54</v>
      </c>
      <c r="G110" s="134"/>
      <c r="H110" s="134"/>
      <c r="I110" s="1109">
        <v>40.0</v>
      </c>
      <c r="J110" s="1112">
        <f t="shared" si="2"/>
        <v>2400</v>
      </c>
      <c r="K110" s="1111">
        <f t="shared" si="1"/>
        <v>49140</v>
      </c>
      <c r="L110" s="1109">
        <v>40.0</v>
      </c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</row>
    <row r="111">
      <c r="A111" s="1037"/>
      <c r="B111" s="1102" t="s">
        <v>4567</v>
      </c>
      <c r="C111" s="1103" t="s">
        <v>3716</v>
      </c>
      <c r="D111" s="1103" t="s">
        <v>96</v>
      </c>
      <c r="E111" s="1103" t="s">
        <v>4474</v>
      </c>
      <c r="F111" s="1103" t="s">
        <v>54</v>
      </c>
      <c r="G111" s="134"/>
      <c r="H111" s="134"/>
      <c r="I111" s="1109">
        <v>41.0</v>
      </c>
      <c r="J111" s="1112">
        <f t="shared" si="2"/>
        <v>2460</v>
      </c>
      <c r="K111" s="1111">
        <f t="shared" si="1"/>
        <v>51600</v>
      </c>
      <c r="L111" s="1109">
        <v>41.0</v>
      </c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</row>
    <row r="112">
      <c r="A112" s="1037"/>
      <c r="B112" s="1102" t="s">
        <v>4568</v>
      </c>
      <c r="C112" s="1103" t="s">
        <v>3716</v>
      </c>
      <c r="D112" s="1103" t="s">
        <v>96</v>
      </c>
      <c r="E112" s="1103" t="s">
        <v>4474</v>
      </c>
      <c r="F112" s="1103" t="s">
        <v>54</v>
      </c>
      <c r="G112" s="134"/>
      <c r="H112" s="134"/>
      <c r="I112" s="1109">
        <v>42.0</v>
      </c>
      <c r="J112" s="1112">
        <f t="shared" si="2"/>
        <v>2520</v>
      </c>
      <c r="K112" s="1111">
        <f t="shared" si="1"/>
        <v>54120</v>
      </c>
      <c r="L112" s="1109">
        <v>42.0</v>
      </c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</row>
    <row r="113">
      <c r="A113" s="1037"/>
      <c r="B113" s="1102" t="s">
        <v>4479</v>
      </c>
      <c r="C113" s="1103" t="s">
        <v>3716</v>
      </c>
      <c r="D113" s="1103" t="s">
        <v>96</v>
      </c>
      <c r="E113" s="1103" t="s">
        <v>4474</v>
      </c>
      <c r="F113" s="1103" t="s">
        <v>96</v>
      </c>
      <c r="G113" s="134"/>
      <c r="H113" s="134"/>
      <c r="I113" s="1109">
        <v>43.0</v>
      </c>
      <c r="J113" s="1112">
        <f t="shared" si="2"/>
        <v>2580</v>
      </c>
      <c r="K113" s="1111">
        <f t="shared" si="1"/>
        <v>56700</v>
      </c>
      <c r="L113" s="1109">
        <v>43.0</v>
      </c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</row>
    <row r="114">
      <c r="A114" s="1037"/>
      <c r="B114" s="1102" t="s">
        <v>4569</v>
      </c>
      <c r="C114" s="1103" t="s">
        <v>3716</v>
      </c>
      <c r="D114" s="1103" t="s">
        <v>96</v>
      </c>
      <c r="E114" s="1103" t="s">
        <v>4474</v>
      </c>
      <c r="F114" s="1103" t="s">
        <v>96</v>
      </c>
      <c r="G114" s="134"/>
      <c r="H114" s="134"/>
      <c r="I114" s="1109">
        <v>44.0</v>
      </c>
      <c r="J114" s="1112">
        <f t="shared" si="2"/>
        <v>2640</v>
      </c>
      <c r="K114" s="1111">
        <f t="shared" si="1"/>
        <v>59340</v>
      </c>
      <c r="L114" s="1109">
        <v>44.0</v>
      </c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</row>
    <row r="115">
      <c r="A115" s="1037"/>
      <c r="B115" s="1102" t="s">
        <v>4570</v>
      </c>
      <c r="C115" s="1103" t="s">
        <v>3716</v>
      </c>
      <c r="D115" s="1103" t="s">
        <v>96</v>
      </c>
      <c r="E115" s="1103" t="s">
        <v>4474</v>
      </c>
      <c r="F115" s="1103" t="s">
        <v>96</v>
      </c>
      <c r="G115" s="134"/>
      <c r="H115" s="134"/>
      <c r="I115" s="1109">
        <v>45.0</v>
      </c>
      <c r="J115" s="1112">
        <f t="shared" si="2"/>
        <v>2700</v>
      </c>
      <c r="K115" s="1111">
        <f t="shared" si="1"/>
        <v>62040</v>
      </c>
      <c r="L115" s="1109">
        <v>45.0</v>
      </c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</row>
    <row r="116">
      <c r="A116" s="1037"/>
      <c r="B116" s="1102" t="s">
        <v>4571</v>
      </c>
      <c r="C116" s="1103" t="s">
        <v>3716</v>
      </c>
      <c r="D116" s="1103" t="s">
        <v>96</v>
      </c>
      <c r="E116" s="1103" t="s">
        <v>4474</v>
      </c>
      <c r="F116" s="1103" t="s">
        <v>96</v>
      </c>
      <c r="G116" s="134"/>
      <c r="H116" s="134"/>
      <c r="I116" s="1109">
        <v>46.0</v>
      </c>
      <c r="J116" s="1112">
        <f t="shared" si="2"/>
        <v>2760</v>
      </c>
      <c r="K116" s="1111">
        <f t="shared" si="1"/>
        <v>64800</v>
      </c>
      <c r="L116" s="1109">
        <v>46.0</v>
      </c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</row>
    <row r="117">
      <c r="A117" s="1037"/>
      <c r="B117" s="1102" t="s">
        <v>4572</v>
      </c>
      <c r="C117" s="1103" t="s">
        <v>3716</v>
      </c>
      <c r="D117" s="1103" t="s">
        <v>96</v>
      </c>
      <c r="E117" s="1103" t="s">
        <v>4474</v>
      </c>
      <c r="F117" s="1103" t="s">
        <v>96</v>
      </c>
      <c r="G117" s="134"/>
      <c r="H117" s="134"/>
      <c r="I117" s="1109">
        <v>47.0</v>
      </c>
      <c r="J117" s="1112">
        <f t="shared" si="2"/>
        <v>2820</v>
      </c>
      <c r="K117" s="1111">
        <f t="shared" si="1"/>
        <v>67620</v>
      </c>
      <c r="L117" s="1109">
        <v>47.0</v>
      </c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</row>
    <row r="118">
      <c r="A118" s="1037"/>
      <c r="B118" s="1102" t="s">
        <v>4573</v>
      </c>
      <c r="C118" s="1103" t="s">
        <v>3716</v>
      </c>
      <c r="D118" s="1103" t="s">
        <v>96</v>
      </c>
      <c r="E118" s="1103" t="s">
        <v>4474</v>
      </c>
      <c r="F118" s="1103" t="s">
        <v>96</v>
      </c>
      <c r="G118" s="134"/>
      <c r="H118" s="134"/>
      <c r="I118" s="1109">
        <v>48.0</v>
      </c>
      <c r="J118" s="1112">
        <f t="shared" si="2"/>
        <v>2880</v>
      </c>
      <c r="K118" s="1111">
        <f t="shared" si="1"/>
        <v>70500</v>
      </c>
      <c r="L118" s="1109">
        <v>48.0</v>
      </c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</row>
    <row r="119">
      <c r="A119" s="1037"/>
      <c r="B119" s="1102" t="s">
        <v>4574</v>
      </c>
      <c r="C119" s="1103" t="s">
        <v>3716</v>
      </c>
      <c r="D119" s="1103" t="s">
        <v>96</v>
      </c>
      <c r="E119" s="1103" t="s">
        <v>4474</v>
      </c>
      <c r="F119" s="1103" t="s">
        <v>96</v>
      </c>
      <c r="G119" s="134"/>
      <c r="H119" s="134"/>
      <c r="I119" s="1109">
        <v>49.0</v>
      </c>
      <c r="J119" s="1112">
        <f t="shared" si="2"/>
        <v>2940</v>
      </c>
      <c r="K119" s="1111">
        <f t="shared" si="1"/>
        <v>73440</v>
      </c>
      <c r="L119" s="1109">
        <v>49.0</v>
      </c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</row>
    <row r="120">
      <c r="A120" s="1037"/>
      <c r="B120" s="1102" t="s">
        <v>4575</v>
      </c>
      <c r="C120" s="1103" t="s">
        <v>3716</v>
      </c>
      <c r="D120" s="1103" t="s">
        <v>96</v>
      </c>
      <c r="E120" s="1103" t="s">
        <v>4474</v>
      </c>
      <c r="F120" s="1103" t="s">
        <v>96</v>
      </c>
      <c r="G120" s="134"/>
      <c r="H120" s="134"/>
      <c r="I120" s="1109">
        <v>50.0</v>
      </c>
      <c r="J120" s="1112">
        <f t="shared" si="2"/>
        <v>3000</v>
      </c>
      <c r="K120" s="1111">
        <f t="shared" si="1"/>
        <v>76440</v>
      </c>
      <c r="L120" s="1109">
        <v>50.0</v>
      </c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</row>
    <row r="121">
      <c r="A121" s="1037"/>
      <c r="B121" s="1102" t="s">
        <v>4485</v>
      </c>
      <c r="C121" s="1103" t="s">
        <v>3716</v>
      </c>
      <c r="D121" s="1103" t="s">
        <v>1946</v>
      </c>
      <c r="E121" s="1103" t="s">
        <v>4474</v>
      </c>
      <c r="F121" s="1103" t="s">
        <v>417</v>
      </c>
      <c r="G121" s="134"/>
      <c r="H121" s="134"/>
      <c r="I121" s="1109">
        <v>51.0</v>
      </c>
      <c r="J121" s="1112">
        <f t="shared" si="2"/>
        <v>3060</v>
      </c>
      <c r="K121" s="1111">
        <f t="shared" si="1"/>
        <v>79500</v>
      </c>
      <c r="L121" s="1109">
        <v>51.0</v>
      </c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</row>
    <row r="122">
      <c r="A122" s="1037"/>
      <c r="B122" s="1102" t="s">
        <v>4576</v>
      </c>
      <c r="C122" s="1103" t="s">
        <v>3716</v>
      </c>
      <c r="D122" s="1103" t="s">
        <v>19</v>
      </c>
      <c r="E122" s="809" t="s">
        <v>4474</v>
      </c>
      <c r="F122" s="1103" t="s">
        <v>4177</v>
      </c>
      <c r="G122" s="134"/>
      <c r="H122" s="134"/>
      <c r="I122" s="1109">
        <v>52.0</v>
      </c>
      <c r="J122" s="1112">
        <f t="shared" si="2"/>
        <v>3120</v>
      </c>
      <c r="K122" s="1111">
        <f t="shared" si="1"/>
        <v>82620</v>
      </c>
      <c r="L122" s="1109">
        <v>52.0</v>
      </c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</row>
    <row r="123">
      <c r="A123" s="1037"/>
      <c r="B123" s="1102" t="s">
        <v>4577</v>
      </c>
      <c r="C123" s="1103" t="s">
        <v>4578</v>
      </c>
      <c r="D123" s="1103" t="s">
        <v>8</v>
      </c>
      <c r="E123" s="809" t="s">
        <v>4450</v>
      </c>
      <c r="F123" s="809" t="s">
        <v>8</v>
      </c>
      <c r="G123" s="134"/>
      <c r="H123" s="134"/>
      <c r="I123" s="1109">
        <v>53.0</v>
      </c>
      <c r="J123" s="1112">
        <f t="shared" si="2"/>
        <v>3180</v>
      </c>
      <c r="K123" s="1111">
        <f t="shared" si="1"/>
        <v>85800</v>
      </c>
      <c r="L123" s="1109">
        <v>53.0</v>
      </c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</row>
    <row r="124">
      <c r="A124" s="263"/>
      <c r="B124" s="1104" t="s">
        <v>4579</v>
      </c>
      <c r="C124" s="1103" t="s">
        <v>4578</v>
      </c>
      <c r="D124" s="809" t="s">
        <v>54</v>
      </c>
      <c r="E124" s="809" t="s">
        <v>4450</v>
      </c>
      <c r="F124" s="809" t="s">
        <v>8</v>
      </c>
      <c r="G124" s="134"/>
      <c r="H124" s="134"/>
      <c r="I124" s="1109">
        <v>54.0</v>
      </c>
      <c r="J124" s="1112">
        <f t="shared" si="2"/>
        <v>3240</v>
      </c>
      <c r="K124" s="1111">
        <f t="shared" si="1"/>
        <v>89040</v>
      </c>
      <c r="L124" s="1109">
        <v>54.0</v>
      </c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</row>
    <row r="125">
      <c r="A125" s="1037"/>
      <c r="B125" s="1102" t="s">
        <v>4580</v>
      </c>
      <c r="C125" s="1103" t="s">
        <v>4578</v>
      </c>
      <c r="D125" s="1103" t="s">
        <v>8</v>
      </c>
      <c r="E125" s="809" t="s">
        <v>4450</v>
      </c>
      <c r="F125" s="809" t="s">
        <v>8</v>
      </c>
      <c r="G125" s="134"/>
      <c r="H125" s="134"/>
      <c r="I125" s="1109">
        <v>55.0</v>
      </c>
      <c r="J125" s="1112">
        <f t="shared" si="2"/>
        <v>3300</v>
      </c>
      <c r="K125" s="1111">
        <f t="shared" si="1"/>
        <v>92340</v>
      </c>
      <c r="L125" s="1109">
        <v>55.0</v>
      </c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</row>
    <row r="126">
      <c r="A126" s="1037"/>
      <c r="B126" s="1102" t="s">
        <v>4581</v>
      </c>
      <c r="C126" s="1103" t="s">
        <v>4578</v>
      </c>
      <c r="D126" s="809" t="s">
        <v>54</v>
      </c>
      <c r="E126" s="809" t="s">
        <v>4450</v>
      </c>
      <c r="F126" s="809" t="s">
        <v>8</v>
      </c>
      <c r="G126" s="134"/>
      <c r="H126" s="134"/>
      <c r="I126" s="1109">
        <v>56.0</v>
      </c>
      <c r="J126" s="1112">
        <f t="shared" si="2"/>
        <v>3360</v>
      </c>
      <c r="K126" s="1111">
        <f t="shared" si="1"/>
        <v>95700</v>
      </c>
      <c r="L126" s="1109">
        <v>56.0</v>
      </c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</row>
    <row r="127">
      <c r="A127" s="263"/>
      <c r="B127" s="1104" t="s">
        <v>4582</v>
      </c>
      <c r="C127" s="1103" t="s">
        <v>4578</v>
      </c>
      <c r="D127" s="809" t="s">
        <v>8</v>
      </c>
      <c r="E127" s="809" t="s">
        <v>4450</v>
      </c>
      <c r="F127" s="809" t="s">
        <v>8</v>
      </c>
      <c r="G127" s="134"/>
      <c r="H127" s="134"/>
      <c r="I127" s="1109">
        <v>57.0</v>
      </c>
      <c r="J127" s="1112">
        <f t="shared" si="2"/>
        <v>3420</v>
      </c>
      <c r="K127" s="1111">
        <f t="shared" si="1"/>
        <v>99120</v>
      </c>
      <c r="L127" s="1109">
        <v>57.0</v>
      </c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</row>
    <row r="128">
      <c r="A128" s="263"/>
      <c r="B128" s="1104" t="s">
        <v>4583</v>
      </c>
      <c r="C128" s="1103" t="s">
        <v>4578</v>
      </c>
      <c r="D128" s="809" t="s">
        <v>54</v>
      </c>
      <c r="E128" s="809" t="s">
        <v>4450</v>
      </c>
      <c r="F128" s="809" t="s">
        <v>8</v>
      </c>
      <c r="G128" s="134"/>
      <c r="H128" s="134"/>
      <c r="I128" s="1109">
        <v>58.0</v>
      </c>
      <c r="J128" s="1112">
        <f t="shared" si="2"/>
        <v>3480</v>
      </c>
      <c r="K128" s="1111">
        <f t="shared" si="1"/>
        <v>102600</v>
      </c>
      <c r="L128" s="1109">
        <v>58.0</v>
      </c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</row>
    <row r="129">
      <c r="A129" s="1037"/>
      <c r="B129" s="1102" t="s">
        <v>4584</v>
      </c>
      <c r="C129" s="1103" t="s">
        <v>4578</v>
      </c>
      <c r="D129" s="1103" t="s">
        <v>96</v>
      </c>
      <c r="E129" s="1103" t="s">
        <v>4450</v>
      </c>
      <c r="F129" s="1103" t="s">
        <v>54</v>
      </c>
      <c r="G129" s="134"/>
      <c r="H129" s="134"/>
      <c r="I129" s="1109">
        <v>59.0</v>
      </c>
      <c r="J129" s="1112">
        <f t="shared" si="2"/>
        <v>3540</v>
      </c>
      <c r="K129" s="1111">
        <f t="shared" si="1"/>
        <v>106140</v>
      </c>
      <c r="L129" s="1109">
        <v>59.0</v>
      </c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</row>
    <row r="130">
      <c r="A130" s="1037"/>
      <c r="B130" s="1102" t="s">
        <v>4585</v>
      </c>
      <c r="C130" s="1103" t="s">
        <v>4578</v>
      </c>
      <c r="D130" s="1103" t="s">
        <v>8</v>
      </c>
      <c r="E130" s="809" t="s">
        <v>4474</v>
      </c>
      <c r="F130" s="1103" t="s">
        <v>8</v>
      </c>
      <c r="G130" s="134"/>
      <c r="H130" s="134"/>
      <c r="I130" s="1109">
        <v>60.0</v>
      </c>
      <c r="J130" s="1112">
        <f t="shared" ref="J130:J310" si="3">60*(I129+1) + 20*MAX(I130-60, 0)</f>
        <v>3600</v>
      </c>
      <c r="K130" s="1111">
        <f t="shared" si="1"/>
        <v>109740</v>
      </c>
      <c r="L130" s="1109">
        <v>60.0</v>
      </c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</row>
    <row r="131">
      <c r="A131" s="1037"/>
      <c r="B131" s="1102" t="s">
        <v>4586</v>
      </c>
      <c r="C131" s="1103" t="s">
        <v>4578</v>
      </c>
      <c r="D131" s="1103" t="s">
        <v>54</v>
      </c>
      <c r="E131" s="809" t="s">
        <v>4474</v>
      </c>
      <c r="F131" s="1103" t="s">
        <v>8</v>
      </c>
      <c r="G131" s="134"/>
      <c r="H131" s="134"/>
      <c r="I131" s="1109">
        <v>61.0</v>
      </c>
      <c r="J131" s="1112">
        <f t="shared" si="3"/>
        <v>3680</v>
      </c>
      <c r="K131" s="1111">
        <f t="shared" si="1"/>
        <v>113420</v>
      </c>
      <c r="L131" s="1109">
        <v>61.0</v>
      </c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</row>
    <row r="132">
      <c r="A132" s="1037"/>
      <c r="B132" s="1102" t="s">
        <v>4587</v>
      </c>
      <c r="C132" s="1103" t="s">
        <v>4578</v>
      </c>
      <c r="D132" s="1103" t="s">
        <v>8</v>
      </c>
      <c r="E132" s="809" t="s">
        <v>4474</v>
      </c>
      <c r="F132" s="1103" t="s">
        <v>8</v>
      </c>
      <c r="G132" s="134"/>
      <c r="H132" s="134"/>
      <c r="I132" s="1109">
        <v>62.0</v>
      </c>
      <c r="J132" s="1112">
        <f t="shared" si="3"/>
        <v>3760</v>
      </c>
      <c r="K132" s="1111">
        <f t="shared" si="1"/>
        <v>117180</v>
      </c>
      <c r="L132" s="1109">
        <v>62.0</v>
      </c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</row>
    <row r="133">
      <c r="A133" s="1037"/>
      <c r="B133" s="1102" t="s">
        <v>4588</v>
      </c>
      <c r="C133" s="1103" t="s">
        <v>4578</v>
      </c>
      <c r="D133" s="1103" t="s">
        <v>54</v>
      </c>
      <c r="E133" s="809" t="s">
        <v>4474</v>
      </c>
      <c r="F133" s="1103" t="s">
        <v>8</v>
      </c>
      <c r="G133" s="134"/>
      <c r="H133" s="134"/>
      <c r="I133" s="1109">
        <v>63.0</v>
      </c>
      <c r="J133" s="1112">
        <f t="shared" si="3"/>
        <v>3840</v>
      </c>
      <c r="K133" s="1111">
        <f t="shared" si="1"/>
        <v>121020</v>
      </c>
      <c r="L133" s="1109">
        <v>63.0</v>
      </c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</row>
    <row r="134">
      <c r="A134" s="1037"/>
      <c r="B134" s="1102" t="s">
        <v>4589</v>
      </c>
      <c r="C134" s="1103" t="s">
        <v>4578</v>
      </c>
      <c r="D134" s="1103" t="s">
        <v>8</v>
      </c>
      <c r="E134" s="809" t="s">
        <v>4474</v>
      </c>
      <c r="F134" s="1103" t="s">
        <v>8</v>
      </c>
      <c r="G134" s="134"/>
      <c r="H134" s="134"/>
      <c r="I134" s="1109">
        <v>64.0</v>
      </c>
      <c r="J134" s="1112">
        <f t="shared" si="3"/>
        <v>3920</v>
      </c>
      <c r="K134" s="1111">
        <f t="shared" si="1"/>
        <v>124940</v>
      </c>
      <c r="L134" s="1109">
        <v>64.0</v>
      </c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</row>
    <row r="135">
      <c r="A135" s="1037"/>
      <c r="B135" s="1102" t="s">
        <v>4590</v>
      </c>
      <c r="C135" s="1103" t="s">
        <v>4578</v>
      </c>
      <c r="D135" s="1103" t="s">
        <v>54</v>
      </c>
      <c r="E135" s="809" t="s">
        <v>4474</v>
      </c>
      <c r="F135" s="1103" t="s">
        <v>8</v>
      </c>
      <c r="G135" s="134"/>
      <c r="H135" s="134"/>
      <c r="I135" s="1109">
        <v>65.0</v>
      </c>
      <c r="J135" s="1112">
        <f t="shared" si="3"/>
        <v>4000</v>
      </c>
      <c r="K135" s="1111">
        <f t="shared" si="1"/>
        <v>128940</v>
      </c>
      <c r="L135" s="1109">
        <v>65.0</v>
      </c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</row>
    <row r="136">
      <c r="A136" s="263"/>
      <c r="B136" s="1104" t="s">
        <v>1945</v>
      </c>
      <c r="C136" s="1103" t="s">
        <v>4578</v>
      </c>
      <c r="D136" s="809" t="s">
        <v>54</v>
      </c>
      <c r="E136" s="809" t="s">
        <v>4474</v>
      </c>
      <c r="F136" s="809" t="s">
        <v>54</v>
      </c>
      <c r="G136" s="134"/>
      <c r="H136" s="134"/>
      <c r="I136" s="1109">
        <v>66.0</v>
      </c>
      <c r="J136" s="1112">
        <f t="shared" si="3"/>
        <v>4080</v>
      </c>
      <c r="K136" s="1111">
        <f t="shared" si="1"/>
        <v>133020</v>
      </c>
      <c r="L136" s="1109">
        <v>66.0</v>
      </c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</row>
    <row r="137">
      <c r="A137" s="1037"/>
      <c r="B137" s="1102" t="s">
        <v>4591</v>
      </c>
      <c r="C137" s="1103" t="s">
        <v>4578</v>
      </c>
      <c r="D137" s="1103" t="s">
        <v>96</v>
      </c>
      <c r="E137" s="1103" t="s">
        <v>4474</v>
      </c>
      <c r="F137" s="1103" t="s">
        <v>54</v>
      </c>
      <c r="G137" s="134"/>
      <c r="H137" s="134"/>
      <c r="I137" s="1109">
        <v>67.0</v>
      </c>
      <c r="J137" s="1112">
        <f t="shared" si="3"/>
        <v>4160</v>
      </c>
      <c r="K137" s="1111">
        <f t="shared" si="1"/>
        <v>137180</v>
      </c>
      <c r="L137" s="1109">
        <v>67.0</v>
      </c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</row>
    <row r="138">
      <c r="A138" s="1037"/>
      <c r="B138" s="1102" t="s">
        <v>4592</v>
      </c>
      <c r="C138" s="1103" t="s">
        <v>4578</v>
      </c>
      <c r="D138" s="1103" t="s">
        <v>96</v>
      </c>
      <c r="E138" s="1103" t="s">
        <v>4474</v>
      </c>
      <c r="F138" s="1103" t="s">
        <v>54</v>
      </c>
      <c r="G138" s="134"/>
      <c r="H138" s="134"/>
      <c r="I138" s="1109">
        <v>68.0</v>
      </c>
      <c r="J138" s="1112">
        <f t="shared" si="3"/>
        <v>4240</v>
      </c>
      <c r="K138" s="1111">
        <f t="shared" si="1"/>
        <v>141420</v>
      </c>
      <c r="L138" s="1109">
        <v>68.0</v>
      </c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</row>
    <row r="139">
      <c r="A139" s="1037"/>
      <c r="B139" s="1102" t="s">
        <v>4593</v>
      </c>
      <c r="C139" s="1103" t="s">
        <v>4578</v>
      </c>
      <c r="D139" s="1103" t="s">
        <v>96</v>
      </c>
      <c r="E139" s="1103" t="s">
        <v>4474</v>
      </c>
      <c r="F139" s="1103" t="s">
        <v>54</v>
      </c>
      <c r="G139" s="134"/>
      <c r="H139" s="134"/>
      <c r="I139" s="1109">
        <v>69.0</v>
      </c>
      <c r="J139" s="1112">
        <f t="shared" si="3"/>
        <v>4320</v>
      </c>
      <c r="K139" s="1111">
        <f t="shared" si="1"/>
        <v>145740</v>
      </c>
      <c r="L139" s="1109">
        <v>69.0</v>
      </c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</row>
    <row r="140">
      <c r="A140" s="1037"/>
      <c r="B140" s="1102" t="s">
        <v>4594</v>
      </c>
      <c r="C140" s="1103" t="s">
        <v>4578</v>
      </c>
      <c r="D140" s="1103" t="s">
        <v>96</v>
      </c>
      <c r="E140" s="1103" t="s">
        <v>4474</v>
      </c>
      <c r="F140" s="1103" t="s">
        <v>96</v>
      </c>
      <c r="G140" s="134"/>
      <c r="H140" s="134"/>
      <c r="I140" s="1109">
        <v>70.0</v>
      </c>
      <c r="J140" s="1112">
        <f t="shared" si="3"/>
        <v>4400</v>
      </c>
      <c r="K140" s="1111">
        <f t="shared" si="1"/>
        <v>150140</v>
      </c>
      <c r="L140" s="1109">
        <v>70.0</v>
      </c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</row>
    <row r="141">
      <c r="A141" s="1037"/>
      <c r="B141" s="1102" t="s">
        <v>4595</v>
      </c>
      <c r="C141" s="1103" t="s">
        <v>4578</v>
      </c>
      <c r="D141" s="1103" t="s">
        <v>96</v>
      </c>
      <c r="E141" s="1103" t="s">
        <v>4474</v>
      </c>
      <c r="F141" s="1103" t="s">
        <v>96</v>
      </c>
      <c r="G141" s="134"/>
      <c r="H141" s="134"/>
      <c r="I141" s="1109">
        <v>71.0</v>
      </c>
      <c r="J141" s="1112">
        <f t="shared" si="3"/>
        <v>4480</v>
      </c>
      <c r="K141" s="1111">
        <f t="shared" si="1"/>
        <v>154620</v>
      </c>
      <c r="L141" s="1109">
        <v>71.0</v>
      </c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</row>
    <row r="142">
      <c r="A142" s="1037"/>
      <c r="B142" s="1102" t="s">
        <v>4596</v>
      </c>
      <c r="C142" s="1103" t="s">
        <v>4578</v>
      </c>
      <c r="D142" s="1103" t="s">
        <v>96</v>
      </c>
      <c r="E142" s="1103" t="s">
        <v>4474</v>
      </c>
      <c r="F142" s="1103" t="s">
        <v>96</v>
      </c>
      <c r="G142" s="134"/>
      <c r="H142" s="134"/>
      <c r="I142" s="1109">
        <v>72.0</v>
      </c>
      <c r="J142" s="1112">
        <f t="shared" si="3"/>
        <v>4560</v>
      </c>
      <c r="K142" s="1111">
        <f t="shared" si="1"/>
        <v>159180</v>
      </c>
      <c r="L142" s="1109">
        <v>72.0</v>
      </c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</row>
    <row r="143">
      <c r="A143" s="1037"/>
      <c r="B143" s="1102" t="s">
        <v>4597</v>
      </c>
      <c r="C143" s="1103" t="s">
        <v>4578</v>
      </c>
      <c r="D143" s="1103" t="s">
        <v>96</v>
      </c>
      <c r="E143" s="1103" t="s">
        <v>4474</v>
      </c>
      <c r="F143" s="1103" t="s">
        <v>96</v>
      </c>
      <c r="G143" s="134"/>
      <c r="H143" s="134"/>
      <c r="I143" s="1109">
        <v>73.0</v>
      </c>
      <c r="J143" s="1112">
        <f t="shared" si="3"/>
        <v>4640</v>
      </c>
      <c r="K143" s="1111">
        <f t="shared" si="1"/>
        <v>163820</v>
      </c>
      <c r="L143" s="1109">
        <v>73.0</v>
      </c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</row>
    <row r="144">
      <c r="A144" s="1037"/>
      <c r="B144" s="1102" t="s">
        <v>4598</v>
      </c>
      <c r="C144" s="1103" t="s">
        <v>4578</v>
      </c>
      <c r="D144" s="1103" t="s">
        <v>96</v>
      </c>
      <c r="E144" s="1103" t="s">
        <v>4474</v>
      </c>
      <c r="F144" s="1103" t="s">
        <v>96</v>
      </c>
      <c r="G144" s="134"/>
      <c r="H144" s="134"/>
      <c r="I144" s="1109">
        <v>74.0</v>
      </c>
      <c r="J144" s="1112">
        <f t="shared" si="3"/>
        <v>4720</v>
      </c>
      <c r="K144" s="1111">
        <f t="shared" si="1"/>
        <v>168540</v>
      </c>
      <c r="L144" s="1109">
        <v>74.0</v>
      </c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</row>
    <row r="145">
      <c r="A145" s="1037"/>
      <c r="B145" s="1102" t="s">
        <v>4599</v>
      </c>
      <c r="C145" s="1103" t="s">
        <v>4578</v>
      </c>
      <c r="D145" s="1103" t="s">
        <v>96</v>
      </c>
      <c r="E145" s="1103" t="s">
        <v>4474</v>
      </c>
      <c r="F145" s="1103" t="s">
        <v>96</v>
      </c>
      <c r="G145" s="134"/>
      <c r="H145" s="134"/>
      <c r="I145" s="1109">
        <v>75.0</v>
      </c>
      <c r="J145" s="1112">
        <f t="shared" si="3"/>
        <v>4800</v>
      </c>
      <c r="K145" s="1111">
        <f t="shared" si="1"/>
        <v>173340</v>
      </c>
      <c r="L145" s="1109">
        <v>75.0</v>
      </c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</row>
    <row r="146">
      <c r="A146" s="1037"/>
      <c r="B146" s="1102" t="s">
        <v>4600</v>
      </c>
      <c r="C146" s="1103" t="s">
        <v>4578</v>
      </c>
      <c r="D146" s="1103" t="s">
        <v>96</v>
      </c>
      <c r="E146" s="1103" t="s">
        <v>4474</v>
      </c>
      <c r="F146" s="1103" t="s">
        <v>96</v>
      </c>
      <c r="G146" s="134"/>
      <c r="H146" s="134"/>
      <c r="I146" s="1109">
        <v>76.0</v>
      </c>
      <c r="J146" s="1112">
        <f t="shared" si="3"/>
        <v>4880</v>
      </c>
      <c r="K146" s="1111">
        <f t="shared" si="1"/>
        <v>178220</v>
      </c>
      <c r="L146" s="1109">
        <v>76.0</v>
      </c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</row>
    <row r="147">
      <c r="A147" s="1037"/>
      <c r="B147" s="1102" t="s">
        <v>4601</v>
      </c>
      <c r="C147" s="1103" t="s">
        <v>4578</v>
      </c>
      <c r="D147" s="1103" t="s">
        <v>96</v>
      </c>
      <c r="E147" s="1103" t="s">
        <v>4474</v>
      </c>
      <c r="F147" s="1103" t="s">
        <v>96</v>
      </c>
      <c r="G147" s="134"/>
      <c r="H147" s="134"/>
      <c r="I147" s="1109">
        <v>77.0</v>
      </c>
      <c r="J147" s="1112">
        <f t="shared" si="3"/>
        <v>4960</v>
      </c>
      <c r="K147" s="1111">
        <f t="shared" si="1"/>
        <v>183180</v>
      </c>
      <c r="L147" s="1109">
        <v>77.0</v>
      </c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</row>
    <row r="148">
      <c r="A148" s="263"/>
      <c r="B148" s="1102" t="s">
        <v>4602</v>
      </c>
      <c r="C148" s="1103" t="s">
        <v>4578</v>
      </c>
      <c r="D148" s="1103" t="s">
        <v>1946</v>
      </c>
      <c r="E148" s="1103" t="s">
        <v>4474</v>
      </c>
      <c r="F148" s="1103" t="s">
        <v>417</v>
      </c>
      <c r="G148" s="134"/>
      <c r="H148" s="134"/>
      <c r="I148" s="1109">
        <v>78.0</v>
      </c>
      <c r="J148" s="1112">
        <f t="shared" si="3"/>
        <v>5040</v>
      </c>
      <c r="K148" s="1111">
        <f t="shared" si="1"/>
        <v>188220</v>
      </c>
      <c r="L148" s="1109">
        <v>78.0</v>
      </c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</row>
    <row r="149">
      <c r="A149" s="263"/>
      <c r="B149" s="1102" t="s">
        <v>4603</v>
      </c>
      <c r="C149" s="1103" t="s">
        <v>4578</v>
      </c>
      <c r="D149" s="1103" t="s">
        <v>1946</v>
      </c>
      <c r="E149" s="1103" t="s">
        <v>4474</v>
      </c>
      <c r="F149" s="1103" t="s">
        <v>417</v>
      </c>
      <c r="G149" s="134"/>
      <c r="H149" s="134"/>
      <c r="I149" s="1109">
        <v>79.0</v>
      </c>
      <c r="J149" s="1112">
        <f t="shared" si="3"/>
        <v>5120</v>
      </c>
      <c r="K149" s="1111">
        <f t="shared" si="1"/>
        <v>193340</v>
      </c>
      <c r="L149" s="1109">
        <v>79.0</v>
      </c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</row>
    <row r="150">
      <c r="A150" s="1037"/>
      <c r="B150" s="1102" t="s">
        <v>4604</v>
      </c>
      <c r="C150" s="1103" t="s">
        <v>4578</v>
      </c>
      <c r="D150" s="1103" t="s">
        <v>19</v>
      </c>
      <c r="E150" s="809" t="s">
        <v>4474</v>
      </c>
      <c r="F150" s="1103" t="s">
        <v>4177</v>
      </c>
      <c r="G150" s="134"/>
      <c r="H150" s="134"/>
      <c r="I150" s="1109">
        <v>80.0</v>
      </c>
      <c r="J150" s="1112">
        <f t="shared" si="3"/>
        <v>5200</v>
      </c>
      <c r="K150" s="1111">
        <f t="shared" si="1"/>
        <v>198540</v>
      </c>
      <c r="L150" s="1109">
        <v>80.0</v>
      </c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</row>
    <row r="151">
      <c r="A151" s="1037"/>
      <c r="B151" s="1102" t="s">
        <v>4605</v>
      </c>
      <c r="C151" s="1103" t="s">
        <v>4453</v>
      </c>
      <c r="D151" s="809" t="s">
        <v>8</v>
      </c>
      <c r="E151" s="809" t="s">
        <v>4450</v>
      </c>
      <c r="F151" s="809" t="s">
        <v>8</v>
      </c>
      <c r="G151" s="134"/>
      <c r="H151" s="134"/>
      <c r="I151" s="1109">
        <v>81.0</v>
      </c>
      <c r="J151" s="1112">
        <f t="shared" si="3"/>
        <v>5280</v>
      </c>
      <c r="K151" s="1111">
        <f t="shared" si="1"/>
        <v>203820</v>
      </c>
      <c r="L151" s="1109">
        <v>81.0</v>
      </c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</row>
    <row r="152">
      <c r="A152" s="1037"/>
      <c r="B152" s="1102" t="s">
        <v>4606</v>
      </c>
      <c r="C152" s="1103" t="s">
        <v>4453</v>
      </c>
      <c r="D152" s="809" t="s">
        <v>54</v>
      </c>
      <c r="E152" s="809" t="s">
        <v>4450</v>
      </c>
      <c r="F152" s="809" t="s">
        <v>8</v>
      </c>
      <c r="G152" s="134"/>
      <c r="H152" s="134"/>
      <c r="I152" s="1109">
        <v>82.0</v>
      </c>
      <c r="J152" s="1112">
        <f t="shared" si="3"/>
        <v>5360</v>
      </c>
      <c r="K152" s="1111">
        <f t="shared" si="1"/>
        <v>209180</v>
      </c>
      <c r="L152" s="1109">
        <v>82.0</v>
      </c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</row>
    <row r="153">
      <c r="A153" s="1037"/>
      <c r="B153" s="1104" t="s">
        <v>4460</v>
      </c>
      <c r="C153" s="1103" t="s">
        <v>4453</v>
      </c>
      <c r="D153" s="809" t="s">
        <v>8</v>
      </c>
      <c r="E153" s="809" t="s">
        <v>4450</v>
      </c>
      <c r="F153" s="809" t="s">
        <v>8</v>
      </c>
      <c r="G153" s="134"/>
      <c r="H153" s="134"/>
      <c r="I153" s="1109">
        <v>83.0</v>
      </c>
      <c r="J153" s="1112">
        <f t="shared" si="3"/>
        <v>5440</v>
      </c>
      <c r="K153" s="1111">
        <f t="shared" si="1"/>
        <v>214620</v>
      </c>
      <c r="L153" s="1109">
        <v>83.0</v>
      </c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</row>
    <row r="154">
      <c r="A154" s="1037"/>
      <c r="B154" s="1104" t="s">
        <v>4473</v>
      </c>
      <c r="C154" s="1103" t="s">
        <v>4453</v>
      </c>
      <c r="D154" s="809" t="s">
        <v>54</v>
      </c>
      <c r="E154" s="809" t="s">
        <v>4450</v>
      </c>
      <c r="F154" s="809" t="s">
        <v>8</v>
      </c>
      <c r="G154" s="134"/>
      <c r="H154" s="134"/>
      <c r="I154" s="1109">
        <v>84.0</v>
      </c>
      <c r="J154" s="1112">
        <f t="shared" si="3"/>
        <v>5520</v>
      </c>
      <c r="K154" s="1111">
        <f t="shared" si="1"/>
        <v>220140</v>
      </c>
      <c r="L154" s="1109">
        <v>84.0</v>
      </c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</row>
    <row r="155">
      <c r="A155" s="263"/>
      <c r="B155" s="1104" t="s">
        <v>4607</v>
      </c>
      <c r="C155" s="1103" t="s">
        <v>4453</v>
      </c>
      <c r="D155" s="809" t="s">
        <v>96</v>
      </c>
      <c r="E155" s="809" t="s">
        <v>4450</v>
      </c>
      <c r="F155" s="809" t="s">
        <v>54</v>
      </c>
      <c r="G155" s="134"/>
      <c r="H155" s="134"/>
      <c r="I155" s="1109">
        <v>85.0</v>
      </c>
      <c r="J155" s="1112">
        <f t="shared" si="3"/>
        <v>5600</v>
      </c>
      <c r="K155" s="1111">
        <f t="shared" si="1"/>
        <v>225740</v>
      </c>
      <c r="L155" s="1109">
        <v>85.0</v>
      </c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</row>
    <row r="156">
      <c r="A156" s="263"/>
      <c r="B156" s="1102" t="s">
        <v>4608</v>
      </c>
      <c r="C156" s="1103" t="s">
        <v>4453</v>
      </c>
      <c r="D156" s="809" t="s">
        <v>8</v>
      </c>
      <c r="E156" s="809" t="s">
        <v>4474</v>
      </c>
      <c r="F156" s="809" t="s">
        <v>8</v>
      </c>
      <c r="G156" s="134"/>
      <c r="H156" s="134"/>
      <c r="I156" s="1109">
        <v>86.0</v>
      </c>
      <c r="J156" s="1112">
        <f t="shared" si="3"/>
        <v>5680</v>
      </c>
      <c r="K156" s="1111">
        <f t="shared" si="1"/>
        <v>231420</v>
      </c>
      <c r="L156" s="1109">
        <v>86.0</v>
      </c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</row>
    <row r="157">
      <c r="A157" s="263"/>
      <c r="B157" s="1102" t="s">
        <v>4609</v>
      </c>
      <c r="C157" s="1103" t="s">
        <v>4453</v>
      </c>
      <c r="D157" s="809" t="s">
        <v>54</v>
      </c>
      <c r="E157" s="809" t="s">
        <v>4474</v>
      </c>
      <c r="F157" s="809" t="s">
        <v>8</v>
      </c>
      <c r="G157" s="134"/>
      <c r="H157" s="134"/>
      <c r="I157" s="1109">
        <v>87.0</v>
      </c>
      <c r="J157" s="1112">
        <f t="shared" si="3"/>
        <v>5760</v>
      </c>
      <c r="K157" s="1111">
        <f t="shared" si="1"/>
        <v>237180</v>
      </c>
      <c r="L157" s="1109">
        <v>87.0</v>
      </c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</row>
    <row r="158">
      <c r="A158" s="1037"/>
      <c r="B158" s="1102" t="s">
        <v>4610</v>
      </c>
      <c r="C158" s="1103" t="s">
        <v>4453</v>
      </c>
      <c r="D158" s="809" t="s">
        <v>8</v>
      </c>
      <c r="E158" s="809" t="s">
        <v>4474</v>
      </c>
      <c r="F158" s="809" t="s">
        <v>8</v>
      </c>
      <c r="G158" s="134"/>
      <c r="H158" s="134"/>
      <c r="I158" s="1109">
        <v>88.0</v>
      </c>
      <c r="J158" s="1112">
        <f t="shared" si="3"/>
        <v>5840</v>
      </c>
      <c r="K158" s="1111">
        <f t="shared" si="1"/>
        <v>243020</v>
      </c>
      <c r="L158" s="1109">
        <v>88.0</v>
      </c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</row>
    <row r="159">
      <c r="A159" s="1037"/>
      <c r="B159" s="1102" t="s">
        <v>4611</v>
      </c>
      <c r="C159" s="1103" t="s">
        <v>4453</v>
      </c>
      <c r="D159" s="809" t="s">
        <v>54</v>
      </c>
      <c r="E159" s="809" t="s">
        <v>4474</v>
      </c>
      <c r="F159" s="809" t="s">
        <v>8</v>
      </c>
      <c r="G159" s="134"/>
      <c r="H159" s="134"/>
      <c r="I159" s="1109">
        <v>89.0</v>
      </c>
      <c r="J159" s="1112">
        <f t="shared" si="3"/>
        <v>5920</v>
      </c>
      <c r="K159" s="1111">
        <f t="shared" si="1"/>
        <v>248940</v>
      </c>
      <c r="L159" s="1109">
        <v>89.0</v>
      </c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</row>
    <row r="160">
      <c r="A160" s="1037"/>
      <c r="B160" s="1104" t="s">
        <v>4612</v>
      </c>
      <c r="C160" s="1103" t="s">
        <v>4453</v>
      </c>
      <c r="D160" s="809" t="s">
        <v>8</v>
      </c>
      <c r="E160" s="809" t="s">
        <v>4474</v>
      </c>
      <c r="F160" s="809" t="s">
        <v>8</v>
      </c>
      <c r="G160" s="134"/>
      <c r="H160" s="134"/>
      <c r="I160" s="1109">
        <v>90.0</v>
      </c>
      <c r="J160" s="1112">
        <f t="shared" si="3"/>
        <v>6000</v>
      </c>
      <c r="K160" s="1111">
        <f t="shared" si="1"/>
        <v>254940</v>
      </c>
      <c r="L160" s="1109">
        <v>90.0</v>
      </c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</row>
    <row r="161">
      <c r="A161" s="1037"/>
      <c r="B161" s="1104" t="s">
        <v>4613</v>
      </c>
      <c r="C161" s="1103" t="s">
        <v>4453</v>
      </c>
      <c r="D161" s="809" t="s">
        <v>54</v>
      </c>
      <c r="E161" s="809" t="s">
        <v>4474</v>
      </c>
      <c r="F161" s="809" t="s">
        <v>8</v>
      </c>
      <c r="G161" s="134"/>
      <c r="H161" s="134"/>
      <c r="I161" s="1109">
        <v>91.0</v>
      </c>
      <c r="J161" s="1112">
        <f t="shared" si="3"/>
        <v>6080</v>
      </c>
      <c r="K161" s="1111">
        <f t="shared" si="1"/>
        <v>261020</v>
      </c>
      <c r="L161" s="1109">
        <v>91.0</v>
      </c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</row>
    <row r="162">
      <c r="A162" s="263"/>
      <c r="B162" s="1104" t="s">
        <v>4614</v>
      </c>
      <c r="C162" s="1103" t="s">
        <v>4453</v>
      </c>
      <c r="D162" s="809" t="s">
        <v>54</v>
      </c>
      <c r="E162" s="809" t="s">
        <v>4474</v>
      </c>
      <c r="F162" s="809" t="s">
        <v>54</v>
      </c>
      <c r="G162" s="134"/>
      <c r="H162" s="134"/>
      <c r="I162" s="1109">
        <v>92.0</v>
      </c>
      <c r="J162" s="1112">
        <f t="shared" si="3"/>
        <v>6160</v>
      </c>
      <c r="K162" s="1111">
        <f t="shared" si="1"/>
        <v>267180</v>
      </c>
      <c r="L162" s="1109">
        <v>92.0</v>
      </c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</row>
    <row r="163">
      <c r="A163" s="263"/>
      <c r="B163" s="1102" t="s">
        <v>4615</v>
      </c>
      <c r="C163" s="1103" t="s">
        <v>4453</v>
      </c>
      <c r="D163" s="1103" t="s">
        <v>96</v>
      </c>
      <c r="E163" s="1103" t="s">
        <v>4474</v>
      </c>
      <c r="F163" s="1103" t="s">
        <v>54</v>
      </c>
      <c r="G163" s="134"/>
      <c r="H163" s="134"/>
      <c r="I163" s="1109">
        <v>93.0</v>
      </c>
      <c r="J163" s="1112">
        <f t="shared" si="3"/>
        <v>6240</v>
      </c>
      <c r="K163" s="1111">
        <f t="shared" si="1"/>
        <v>273420</v>
      </c>
      <c r="L163" s="1109">
        <v>93.0</v>
      </c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</row>
    <row r="164">
      <c r="A164" s="263"/>
      <c r="B164" s="1102" t="s">
        <v>4616</v>
      </c>
      <c r="C164" s="1103" t="s">
        <v>4453</v>
      </c>
      <c r="D164" s="1103" t="s">
        <v>96</v>
      </c>
      <c r="E164" s="1103" t="s">
        <v>4474</v>
      </c>
      <c r="F164" s="1103" t="s">
        <v>54</v>
      </c>
      <c r="G164" s="134"/>
      <c r="H164" s="134"/>
      <c r="I164" s="1109">
        <v>94.0</v>
      </c>
      <c r="J164" s="1112">
        <f t="shared" si="3"/>
        <v>6320</v>
      </c>
      <c r="K164" s="1111">
        <f t="shared" si="1"/>
        <v>279740</v>
      </c>
      <c r="L164" s="1109">
        <v>94.0</v>
      </c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</row>
    <row r="165">
      <c r="A165" s="1037"/>
      <c r="B165" s="1102" t="s">
        <v>4617</v>
      </c>
      <c r="C165" s="1103" t="s">
        <v>4453</v>
      </c>
      <c r="D165" s="1103" t="s">
        <v>96</v>
      </c>
      <c r="E165" s="1103" t="s">
        <v>4474</v>
      </c>
      <c r="F165" s="1103" t="s">
        <v>54</v>
      </c>
      <c r="G165" s="134"/>
      <c r="H165" s="134"/>
      <c r="I165" s="1109">
        <v>95.0</v>
      </c>
      <c r="J165" s="1112">
        <f t="shared" si="3"/>
        <v>6400</v>
      </c>
      <c r="K165" s="1111">
        <f t="shared" si="1"/>
        <v>286140</v>
      </c>
      <c r="L165" s="1109">
        <v>95.0</v>
      </c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</row>
    <row r="166">
      <c r="A166" s="1037"/>
      <c r="B166" s="1102" t="s">
        <v>4618</v>
      </c>
      <c r="C166" s="1103" t="s">
        <v>4453</v>
      </c>
      <c r="D166" s="1103" t="s">
        <v>96</v>
      </c>
      <c r="E166" s="1103" t="s">
        <v>4474</v>
      </c>
      <c r="F166" s="1103" t="s">
        <v>96</v>
      </c>
      <c r="G166" s="134"/>
      <c r="H166" s="134"/>
      <c r="I166" s="1109">
        <v>96.0</v>
      </c>
      <c r="J166" s="1112">
        <f t="shared" si="3"/>
        <v>6480</v>
      </c>
      <c r="K166" s="1111">
        <f t="shared" si="1"/>
        <v>292620</v>
      </c>
      <c r="L166" s="1109">
        <v>96.0</v>
      </c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</row>
    <row r="167">
      <c r="A167" s="1037"/>
      <c r="B167" s="1102" t="s">
        <v>4619</v>
      </c>
      <c r="C167" s="1103" t="s">
        <v>4453</v>
      </c>
      <c r="D167" s="1103" t="s">
        <v>96</v>
      </c>
      <c r="E167" s="1103" t="s">
        <v>4474</v>
      </c>
      <c r="F167" s="1103" t="s">
        <v>96</v>
      </c>
      <c r="G167" s="134"/>
      <c r="H167" s="134"/>
      <c r="I167" s="1109">
        <v>97.0</v>
      </c>
      <c r="J167" s="1112">
        <f t="shared" si="3"/>
        <v>6560</v>
      </c>
      <c r="K167" s="1111">
        <f t="shared" si="1"/>
        <v>299180</v>
      </c>
      <c r="L167" s="1109">
        <v>97.0</v>
      </c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</row>
    <row r="168">
      <c r="A168" s="1037"/>
      <c r="B168" s="1102" t="s">
        <v>4620</v>
      </c>
      <c r="C168" s="1103" t="s">
        <v>4453</v>
      </c>
      <c r="D168" s="1103" t="s">
        <v>96</v>
      </c>
      <c r="E168" s="1103" t="s">
        <v>4474</v>
      </c>
      <c r="F168" s="1103" t="s">
        <v>96</v>
      </c>
      <c r="G168" s="134"/>
      <c r="H168" s="134"/>
      <c r="I168" s="1109">
        <v>98.0</v>
      </c>
      <c r="J168" s="1112">
        <f t="shared" si="3"/>
        <v>6640</v>
      </c>
      <c r="K168" s="1111">
        <f t="shared" si="1"/>
        <v>305820</v>
      </c>
      <c r="L168" s="1109">
        <v>98.0</v>
      </c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</row>
    <row r="169">
      <c r="A169" s="1037"/>
      <c r="B169" s="1102" t="s">
        <v>4621</v>
      </c>
      <c r="C169" s="1103" t="s">
        <v>4453</v>
      </c>
      <c r="D169" s="1103" t="s">
        <v>96</v>
      </c>
      <c r="E169" s="1103" t="s">
        <v>4474</v>
      </c>
      <c r="F169" s="1103" t="s">
        <v>96</v>
      </c>
      <c r="G169" s="134"/>
      <c r="H169" s="134"/>
      <c r="I169" s="1109">
        <v>99.0</v>
      </c>
      <c r="J169" s="1112">
        <f t="shared" si="3"/>
        <v>6720</v>
      </c>
      <c r="K169" s="1111">
        <f t="shared" si="1"/>
        <v>312540</v>
      </c>
      <c r="L169" s="1109">
        <v>99.0</v>
      </c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</row>
    <row r="170">
      <c r="A170" s="1037"/>
      <c r="B170" s="1102" t="s">
        <v>4622</v>
      </c>
      <c r="C170" s="1103" t="s">
        <v>4453</v>
      </c>
      <c r="D170" s="1103" t="s">
        <v>96</v>
      </c>
      <c r="E170" s="1103" t="s">
        <v>4474</v>
      </c>
      <c r="F170" s="1103" t="s">
        <v>96</v>
      </c>
      <c r="G170" s="134"/>
      <c r="H170" s="134"/>
      <c r="I170" s="1109">
        <v>100.0</v>
      </c>
      <c r="J170" s="1112">
        <f t="shared" si="3"/>
        <v>6800</v>
      </c>
      <c r="K170" s="1111">
        <f t="shared" si="1"/>
        <v>319340</v>
      </c>
      <c r="L170" s="1109">
        <v>100.0</v>
      </c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</row>
    <row r="171">
      <c r="A171" s="1037"/>
      <c r="B171" s="1102" t="s">
        <v>4623</v>
      </c>
      <c r="C171" s="1103" t="s">
        <v>4453</v>
      </c>
      <c r="D171" s="1103" t="s">
        <v>96</v>
      </c>
      <c r="E171" s="1103" t="s">
        <v>4474</v>
      </c>
      <c r="F171" s="1103" t="s">
        <v>96</v>
      </c>
      <c r="G171" s="134"/>
      <c r="H171" s="134"/>
      <c r="I171" s="1109">
        <v>101.0</v>
      </c>
      <c r="J171" s="1112">
        <f t="shared" si="3"/>
        <v>6880</v>
      </c>
      <c r="K171" s="1111">
        <f t="shared" si="1"/>
        <v>326220</v>
      </c>
      <c r="L171" s="1109">
        <v>101.0</v>
      </c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</row>
    <row r="172">
      <c r="A172" s="1037"/>
      <c r="B172" s="1102" t="s">
        <v>4624</v>
      </c>
      <c r="C172" s="1103" t="s">
        <v>4453</v>
      </c>
      <c r="D172" s="1103" t="s">
        <v>96</v>
      </c>
      <c r="E172" s="1103" t="s">
        <v>4474</v>
      </c>
      <c r="F172" s="1103" t="s">
        <v>96</v>
      </c>
      <c r="G172" s="134"/>
      <c r="H172" s="134"/>
      <c r="I172" s="1109">
        <v>102.0</v>
      </c>
      <c r="J172" s="1112">
        <f t="shared" si="3"/>
        <v>6960</v>
      </c>
      <c r="K172" s="1111">
        <f t="shared" si="1"/>
        <v>333180</v>
      </c>
      <c r="L172" s="1109">
        <v>102.0</v>
      </c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</row>
    <row r="173">
      <c r="A173" s="1037"/>
      <c r="B173" s="1102" t="s">
        <v>4625</v>
      </c>
      <c r="C173" s="1103" t="s">
        <v>4453</v>
      </c>
      <c r="D173" s="1103" t="s">
        <v>96</v>
      </c>
      <c r="E173" s="1103" t="s">
        <v>4474</v>
      </c>
      <c r="F173" s="1103" t="s">
        <v>96</v>
      </c>
      <c r="G173" s="134"/>
      <c r="H173" s="134"/>
      <c r="I173" s="1109">
        <v>103.0</v>
      </c>
      <c r="J173" s="1112">
        <f t="shared" si="3"/>
        <v>7040</v>
      </c>
      <c r="K173" s="1111">
        <f t="shared" si="1"/>
        <v>340220</v>
      </c>
      <c r="L173" s="1109">
        <v>103.0</v>
      </c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</row>
    <row r="174">
      <c r="A174" s="1037"/>
      <c r="B174" s="1102" t="s">
        <v>4626</v>
      </c>
      <c r="C174" s="1103" t="s">
        <v>4453</v>
      </c>
      <c r="D174" s="1103" t="s">
        <v>1946</v>
      </c>
      <c r="E174" s="1103" t="s">
        <v>4474</v>
      </c>
      <c r="F174" s="1103" t="s">
        <v>417</v>
      </c>
      <c r="G174" s="134"/>
      <c r="H174" s="134"/>
      <c r="I174" s="1109">
        <v>104.0</v>
      </c>
      <c r="J174" s="1112">
        <f t="shared" si="3"/>
        <v>7120</v>
      </c>
      <c r="K174" s="1111">
        <f t="shared" si="1"/>
        <v>347340</v>
      </c>
      <c r="L174" s="1109">
        <v>104.0</v>
      </c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</row>
    <row r="175">
      <c r="A175" s="1037"/>
      <c r="B175" s="1104" t="s">
        <v>4627</v>
      </c>
      <c r="C175" s="1103" t="s">
        <v>4453</v>
      </c>
      <c r="D175" s="809" t="s">
        <v>1946</v>
      </c>
      <c r="E175" s="809" t="s">
        <v>4474</v>
      </c>
      <c r="F175" s="809" t="s">
        <v>417</v>
      </c>
      <c r="G175" s="134"/>
      <c r="H175" s="134"/>
      <c r="I175" s="1109">
        <v>105.0</v>
      </c>
      <c r="J175" s="1112">
        <f t="shared" si="3"/>
        <v>7200</v>
      </c>
      <c r="K175" s="1111">
        <f t="shared" si="1"/>
        <v>354540</v>
      </c>
      <c r="L175" s="1109">
        <v>105.0</v>
      </c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</row>
    <row r="176">
      <c r="A176" s="1037"/>
      <c r="B176" s="1109" t="s">
        <v>4628</v>
      </c>
      <c r="C176" s="808" t="s">
        <v>4453</v>
      </c>
      <c r="D176" s="808" t="s">
        <v>19</v>
      </c>
      <c r="E176" s="808" t="s">
        <v>4474</v>
      </c>
      <c r="F176" s="808" t="s">
        <v>4177</v>
      </c>
      <c r="G176" s="134"/>
      <c r="H176" s="134"/>
      <c r="I176" s="1109">
        <v>106.0</v>
      </c>
      <c r="J176" s="1112">
        <f t="shared" si="3"/>
        <v>7280</v>
      </c>
      <c r="K176" s="1111">
        <f t="shared" si="1"/>
        <v>361820</v>
      </c>
      <c r="L176" s="1109">
        <v>106.0</v>
      </c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</row>
    <row r="177">
      <c r="A177" s="263"/>
      <c r="G177" s="134"/>
      <c r="H177" s="134"/>
      <c r="I177" s="1109">
        <v>107.0</v>
      </c>
      <c r="J177" s="1112">
        <f t="shared" si="3"/>
        <v>7360</v>
      </c>
      <c r="K177" s="1111">
        <f t="shared" si="1"/>
        <v>369180</v>
      </c>
      <c r="L177" s="1109">
        <v>107.0</v>
      </c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</row>
    <row r="178">
      <c r="A178" s="133"/>
      <c r="G178" s="134"/>
      <c r="H178" s="134"/>
      <c r="I178" s="1109">
        <v>108.0</v>
      </c>
      <c r="J178" s="1112">
        <f t="shared" si="3"/>
        <v>7440</v>
      </c>
      <c r="K178" s="1111">
        <f t="shared" si="1"/>
        <v>376620</v>
      </c>
      <c r="L178" s="1109">
        <v>108.0</v>
      </c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</row>
    <row r="179">
      <c r="I179" s="1109">
        <v>109.0</v>
      </c>
      <c r="J179" s="1112">
        <f t="shared" si="3"/>
        <v>7520</v>
      </c>
      <c r="K179" s="1111">
        <f t="shared" si="1"/>
        <v>384140</v>
      </c>
      <c r="L179" s="1109">
        <v>109.0</v>
      </c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</row>
    <row r="180">
      <c r="I180" s="1109">
        <v>110.0</v>
      </c>
      <c r="J180" s="1112">
        <f t="shared" si="3"/>
        <v>7600</v>
      </c>
      <c r="K180" s="1111">
        <f t="shared" si="1"/>
        <v>391740</v>
      </c>
      <c r="L180" s="1109">
        <v>110.0</v>
      </c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</row>
    <row r="181">
      <c r="I181" s="1109">
        <v>111.0</v>
      </c>
      <c r="J181" s="1112">
        <f t="shared" si="3"/>
        <v>7680</v>
      </c>
      <c r="K181" s="1111">
        <f t="shared" si="1"/>
        <v>399420</v>
      </c>
      <c r="L181" s="1109">
        <v>111.0</v>
      </c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</row>
    <row r="182">
      <c r="I182" s="1109">
        <v>112.0</v>
      </c>
      <c r="J182" s="1112">
        <f t="shared" si="3"/>
        <v>7760</v>
      </c>
      <c r="K182" s="1111">
        <f t="shared" si="1"/>
        <v>407180</v>
      </c>
      <c r="L182" s="1109">
        <v>112.0</v>
      </c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</row>
    <row r="183">
      <c r="I183" s="1109">
        <v>113.0</v>
      </c>
      <c r="J183" s="1112">
        <f t="shared" si="3"/>
        <v>7840</v>
      </c>
      <c r="K183" s="1111">
        <f t="shared" si="1"/>
        <v>415020</v>
      </c>
      <c r="L183" s="1109">
        <v>113.0</v>
      </c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</row>
    <row r="184">
      <c r="I184" s="1109">
        <v>114.0</v>
      </c>
      <c r="J184" s="1112">
        <f t="shared" si="3"/>
        <v>7920</v>
      </c>
      <c r="K184" s="1111">
        <f t="shared" si="1"/>
        <v>422940</v>
      </c>
      <c r="L184" s="1109">
        <v>114.0</v>
      </c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</row>
    <row r="185">
      <c r="I185" s="1109">
        <v>115.0</v>
      </c>
      <c r="J185" s="1112">
        <f t="shared" si="3"/>
        <v>8000</v>
      </c>
      <c r="K185" s="1111">
        <f t="shared" si="1"/>
        <v>430940</v>
      </c>
      <c r="L185" s="1109">
        <v>115.0</v>
      </c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</row>
    <row r="186">
      <c r="I186" s="1109">
        <v>116.0</v>
      </c>
      <c r="J186" s="1112">
        <f t="shared" si="3"/>
        <v>8080</v>
      </c>
      <c r="K186" s="1111">
        <f t="shared" si="1"/>
        <v>439020</v>
      </c>
      <c r="L186" s="1109">
        <v>116.0</v>
      </c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</row>
    <row r="187">
      <c r="I187" s="1109">
        <v>117.0</v>
      </c>
      <c r="J187" s="1112">
        <f t="shared" si="3"/>
        <v>8160</v>
      </c>
      <c r="K187" s="1111">
        <f t="shared" si="1"/>
        <v>447180</v>
      </c>
      <c r="L187" s="1109">
        <v>117.0</v>
      </c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</row>
    <row r="188">
      <c r="I188" s="1109">
        <v>118.0</v>
      </c>
      <c r="J188" s="1112">
        <f t="shared" si="3"/>
        <v>8240</v>
      </c>
      <c r="K188" s="1111">
        <f t="shared" si="1"/>
        <v>455420</v>
      </c>
      <c r="L188" s="1109">
        <v>118.0</v>
      </c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</row>
    <row r="189">
      <c r="I189" s="1109">
        <v>119.0</v>
      </c>
      <c r="J189" s="1112">
        <f t="shared" si="3"/>
        <v>8320</v>
      </c>
      <c r="K189" s="1111">
        <f t="shared" si="1"/>
        <v>463740</v>
      </c>
      <c r="L189" s="1109">
        <v>119.0</v>
      </c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</row>
    <row r="190">
      <c r="I190" s="1109">
        <v>120.0</v>
      </c>
      <c r="J190" s="1112">
        <f t="shared" si="3"/>
        <v>8400</v>
      </c>
      <c r="K190" s="1111">
        <f t="shared" si="1"/>
        <v>472140</v>
      </c>
      <c r="L190" s="1109">
        <v>120.0</v>
      </c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</row>
    <row r="191">
      <c r="I191" s="1109">
        <v>121.0</v>
      </c>
      <c r="J191" s="1112">
        <f t="shared" si="3"/>
        <v>8480</v>
      </c>
      <c r="K191" s="1111">
        <f t="shared" si="1"/>
        <v>480620</v>
      </c>
      <c r="L191" s="1109">
        <v>121.0</v>
      </c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</row>
    <row r="192">
      <c r="I192" s="1109">
        <v>122.0</v>
      </c>
      <c r="J192" s="1112">
        <f t="shared" si="3"/>
        <v>8560</v>
      </c>
      <c r="K192" s="1111">
        <f t="shared" si="1"/>
        <v>489180</v>
      </c>
      <c r="L192" s="1109">
        <v>122.0</v>
      </c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</row>
    <row r="193">
      <c r="I193" s="1109">
        <v>123.0</v>
      </c>
      <c r="J193" s="1112">
        <f t="shared" si="3"/>
        <v>8640</v>
      </c>
      <c r="K193" s="1111">
        <f t="shared" si="1"/>
        <v>497820</v>
      </c>
      <c r="L193" s="1109">
        <v>123.0</v>
      </c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</row>
    <row r="194">
      <c r="I194" s="1109">
        <v>124.0</v>
      </c>
      <c r="J194" s="1112">
        <f t="shared" si="3"/>
        <v>8720</v>
      </c>
      <c r="K194" s="1111">
        <f t="shared" si="1"/>
        <v>506540</v>
      </c>
      <c r="L194" s="1109">
        <v>124.0</v>
      </c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</row>
    <row r="195">
      <c r="I195" s="1109">
        <v>125.0</v>
      </c>
      <c r="J195" s="1112">
        <f t="shared" si="3"/>
        <v>8800</v>
      </c>
      <c r="K195" s="1111">
        <f t="shared" si="1"/>
        <v>515340</v>
      </c>
      <c r="L195" s="1109">
        <v>125.0</v>
      </c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</row>
    <row r="196">
      <c r="I196" s="1109">
        <v>126.0</v>
      </c>
      <c r="J196" s="1112">
        <f t="shared" si="3"/>
        <v>8880</v>
      </c>
      <c r="K196" s="1111">
        <f t="shared" si="1"/>
        <v>524220</v>
      </c>
      <c r="L196" s="1109">
        <v>126.0</v>
      </c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</row>
    <row r="197">
      <c r="I197" s="1109">
        <v>127.0</v>
      </c>
      <c r="J197" s="1112">
        <f t="shared" si="3"/>
        <v>8960</v>
      </c>
      <c r="K197" s="1111">
        <f t="shared" si="1"/>
        <v>533180</v>
      </c>
      <c r="L197" s="1109">
        <v>127.0</v>
      </c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</row>
    <row r="198">
      <c r="I198" s="1109">
        <v>128.0</v>
      </c>
      <c r="J198" s="1112">
        <f t="shared" si="3"/>
        <v>9040</v>
      </c>
      <c r="K198" s="1111">
        <f t="shared" si="1"/>
        <v>542220</v>
      </c>
      <c r="L198" s="1109">
        <v>128.0</v>
      </c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</row>
    <row r="199">
      <c r="I199" s="1109">
        <v>129.0</v>
      </c>
      <c r="J199" s="1112">
        <f t="shared" si="3"/>
        <v>9120</v>
      </c>
      <c r="K199" s="1111">
        <f t="shared" si="1"/>
        <v>551340</v>
      </c>
      <c r="L199" s="1109">
        <v>129.0</v>
      </c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</row>
    <row r="200">
      <c r="I200" s="1109">
        <v>130.0</v>
      </c>
      <c r="J200" s="1112">
        <f t="shared" si="3"/>
        <v>9200</v>
      </c>
      <c r="K200" s="1111">
        <f t="shared" si="1"/>
        <v>560540</v>
      </c>
      <c r="L200" s="1109">
        <v>130.0</v>
      </c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</row>
    <row r="201">
      <c r="I201" s="1109">
        <v>131.0</v>
      </c>
      <c r="J201" s="1112">
        <f t="shared" si="3"/>
        <v>9280</v>
      </c>
      <c r="K201" s="1111">
        <f t="shared" si="1"/>
        <v>569820</v>
      </c>
      <c r="L201" s="1109">
        <v>131.0</v>
      </c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</row>
    <row r="202">
      <c r="I202" s="1109">
        <v>132.0</v>
      </c>
      <c r="J202" s="1112">
        <f t="shared" si="3"/>
        <v>9360</v>
      </c>
      <c r="K202" s="1111">
        <f t="shared" si="1"/>
        <v>579180</v>
      </c>
      <c r="L202" s="1109">
        <v>132.0</v>
      </c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</row>
    <row r="203">
      <c r="I203" s="1109">
        <v>133.0</v>
      </c>
      <c r="J203" s="1112">
        <f t="shared" si="3"/>
        <v>9440</v>
      </c>
      <c r="K203" s="1111">
        <f t="shared" si="1"/>
        <v>588620</v>
      </c>
      <c r="L203" s="1109">
        <v>133.0</v>
      </c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</row>
    <row r="204">
      <c r="I204" s="1109">
        <v>134.0</v>
      </c>
      <c r="J204" s="1112">
        <f t="shared" si="3"/>
        <v>9520</v>
      </c>
      <c r="K204" s="1111">
        <f t="shared" si="1"/>
        <v>598140</v>
      </c>
      <c r="L204" s="1109">
        <v>134.0</v>
      </c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</row>
    <row r="205">
      <c r="I205" s="1109">
        <v>135.0</v>
      </c>
      <c r="J205" s="1112">
        <f t="shared" si="3"/>
        <v>9600</v>
      </c>
      <c r="K205" s="1111">
        <f t="shared" si="1"/>
        <v>607740</v>
      </c>
      <c r="L205" s="1109">
        <v>135.0</v>
      </c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</row>
    <row r="206">
      <c r="I206" s="1109">
        <v>136.0</v>
      </c>
      <c r="J206" s="1112">
        <f t="shared" si="3"/>
        <v>9680</v>
      </c>
      <c r="K206" s="1111">
        <f t="shared" si="1"/>
        <v>617420</v>
      </c>
      <c r="L206" s="1109">
        <v>136.0</v>
      </c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</row>
    <row r="207">
      <c r="I207" s="1109">
        <v>137.0</v>
      </c>
      <c r="J207" s="1112">
        <f t="shared" si="3"/>
        <v>9760</v>
      </c>
      <c r="K207" s="1111">
        <f t="shared" si="1"/>
        <v>627180</v>
      </c>
      <c r="L207" s="1109">
        <v>137.0</v>
      </c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</row>
    <row r="208">
      <c r="I208" s="1109">
        <v>138.0</v>
      </c>
      <c r="J208" s="1112">
        <f t="shared" si="3"/>
        <v>9840</v>
      </c>
      <c r="K208" s="1111">
        <f t="shared" si="1"/>
        <v>637020</v>
      </c>
      <c r="L208" s="1109">
        <v>138.0</v>
      </c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</row>
    <row r="209">
      <c r="I209" s="1109">
        <v>139.0</v>
      </c>
      <c r="J209" s="1112">
        <f t="shared" si="3"/>
        <v>9920</v>
      </c>
      <c r="K209" s="1111">
        <f t="shared" si="1"/>
        <v>646940</v>
      </c>
      <c r="L209" s="1109">
        <v>139.0</v>
      </c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</row>
    <row r="210">
      <c r="I210" s="1109">
        <v>140.0</v>
      </c>
      <c r="J210" s="1112">
        <f t="shared" si="3"/>
        <v>10000</v>
      </c>
      <c r="K210" s="1111">
        <f t="shared" si="1"/>
        <v>656940</v>
      </c>
      <c r="L210" s="1109">
        <v>140.0</v>
      </c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</row>
    <row r="211">
      <c r="I211" s="1109">
        <v>141.0</v>
      </c>
      <c r="J211" s="1112">
        <f t="shared" si="3"/>
        <v>10080</v>
      </c>
      <c r="K211" s="1111">
        <f t="shared" si="1"/>
        <v>667020</v>
      </c>
      <c r="L211" s="1109">
        <v>141.0</v>
      </c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</row>
    <row r="212">
      <c r="I212" s="1109">
        <v>142.0</v>
      </c>
      <c r="J212" s="1112">
        <f t="shared" si="3"/>
        <v>10160</v>
      </c>
      <c r="K212" s="1111">
        <f t="shared" si="1"/>
        <v>677180</v>
      </c>
      <c r="L212" s="1109">
        <v>142.0</v>
      </c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</row>
    <row r="213">
      <c r="I213" s="1109">
        <v>143.0</v>
      </c>
      <c r="J213" s="1112">
        <f t="shared" si="3"/>
        <v>10240</v>
      </c>
      <c r="K213" s="1111">
        <f t="shared" si="1"/>
        <v>687420</v>
      </c>
      <c r="L213" s="1109">
        <v>143.0</v>
      </c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</row>
    <row r="214">
      <c r="I214" s="1109">
        <v>144.0</v>
      </c>
      <c r="J214" s="1112">
        <f t="shared" si="3"/>
        <v>10320</v>
      </c>
      <c r="K214" s="1111">
        <f t="shared" si="1"/>
        <v>697740</v>
      </c>
      <c r="L214" s="1109">
        <v>144.0</v>
      </c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</row>
    <row r="215">
      <c r="I215" s="1109">
        <v>145.0</v>
      </c>
      <c r="J215" s="1112">
        <f t="shared" si="3"/>
        <v>10400</v>
      </c>
      <c r="K215" s="1111">
        <f t="shared" si="1"/>
        <v>708140</v>
      </c>
      <c r="L215" s="1109">
        <v>145.0</v>
      </c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</row>
    <row r="216">
      <c r="I216" s="1109">
        <v>146.0</v>
      </c>
      <c r="J216" s="1112">
        <f t="shared" si="3"/>
        <v>10480</v>
      </c>
      <c r="K216" s="1111">
        <f t="shared" si="1"/>
        <v>718620</v>
      </c>
      <c r="L216" s="1109">
        <v>146.0</v>
      </c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</row>
    <row r="217">
      <c r="I217" s="1109">
        <v>147.0</v>
      </c>
      <c r="J217" s="1112">
        <f t="shared" si="3"/>
        <v>10560</v>
      </c>
      <c r="K217" s="1111">
        <f t="shared" si="1"/>
        <v>729180</v>
      </c>
      <c r="L217" s="1109">
        <v>147.0</v>
      </c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</row>
    <row r="218">
      <c r="I218" s="1109">
        <v>148.0</v>
      </c>
      <c r="J218" s="1112">
        <f t="shared" si="3"/>
        <v>10640</v>
      </c>
      <c r="K218" s="1111">
        <f t="shared" si="1"/>
        <v>739820</v>
      </c>
      <c r="L218" s="1109">
        <v>148.0</v>
      </c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</row>
    <row r="219">
      <c r="I219" s="1109">
        <v>149.0</v>
      </c>
      <c r="J219" s="1112">
        <f t="shared" si="3"/>
        <v>10720</v>
      </c>
      <c r="K219" s="1111">
        <f t="shared" si="1"/>
        <v>750540</v>
      </c>
      <c r="L219" s="1109">
        <v>149.0</v>
      </c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</row>
    <row r="220">
      <c r="I220" s="1109">
        <v>150.0</v>
      </c>
      <c r="J220" s="1112">
        <f t="shared" si="3"/>
        <v>10800</v>
      </c>
      <c r="K220" s="1111">
        <f t="shared" si="1"/>
        <v>761340</v>
      </c>
      <c r="L220" s="1109">
        <v>150.0</v>
      </c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</row>
    <row r="221">
      <c r="I221" s="1109">
        <v>151.0</v>
      </c>
      <c r="J221" s="1112">
        <f t="shared" si="3"/>
        <v>10880</v>
      </c>
      <c r="K221" s="1111">
        <f t="shared" si="1"/>
        <v>772220</v>
      </c>
      <c r="L221" s="1109">
        <v>151.0</v>
      </c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</row>
    <row r="222">
      <c r="I222" s="1109">
        <v>152.0</v>
      </c>
      <c r="J222" s="1112">
        <f t="shared" si="3"/>
        <v>10960</v>
      </c>
      <c r="K222" s="1111">
        <f t="shared" si="1"/>
        <v>783180</v>
      </c>
      <c r="L222" s="1109">
        <v>152.0</v>
      </c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</row>
    <row r="223">
      <c r="I223" s="1109">
        <v>153.0</v>
      </c>
      <c r="J223" s="1112">
        <f t="shared" si="3"/>
        <v>11040</v>
      </c>
      <c r="K223" s="1111">
        <f t="shared" si="1"/>
        <v>794220</v>
      </c>
      <c r="L223" s="1109">
        <v>153.0</v>
      </c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</row>
    <row r="224">
      <c r="I224" s="1109">
        <v>154.0</v>
      </c>
      <c r="J224" s="1112">
        <f t="shared" si="3"/>
        <v>11120</v>
      </c>
      <c r="K224" s="1111">
        <f t="shared" si="1"/>
        <v>805340</v>
      </c>
      <c r="L224" s="1109">
        <v>154.0</v>
      </c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</row>
    <row r="225">
      <c r="I225" s="1109">
        <v>155.0</v>
      </c>
      <c r="J225" s="1112">
        <f t="shared" si="3"/>
        <v>11200</v>
      </c>
      <c r="K225" s="1111">
        <f t="shared" si="1"/>
        <v>816540</v>
      </c>
      <c r="L225" s="1109">
        <v>155.0</v>
      </c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</row>
    <row r="226">
      <c r="I226" s="1109">
        <v>156.0</v>
      </c>
      <c r="J226" s="1112">
        <f t="shared" si="3"/>
        <v>11280</v>
      </c>
      <c r="K226" s="1111">
        <f t="shared" si="1"/>
        <v>827820</v>
      </c>
      <c r="L226" s="1109">
        <v>156.0</v>
      </c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</row>
    <row r="227">
      <c r="I227" s="1109">
        <v>157.0</v>
      </c>
      <c r="J227" s="1112">
        <f t="shared" si="3"/>
        <v>11360</v>
      </c>
      <c r="K227" s="1111">
        <f t="shared" si="1"/>
        <v>839180</v>
      </c>
      <c r="L227" s="1109">
        <v>157.0</v>
      </c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</row>
    <row r="228">
      <c r="I228" s="1109">
        <v>158.0</v>
      </c>
      <c r="J228" s="1112">
        <f t="shared" si="3"/>
        <v>11440</v>
      </c>
      <c r="K228" s="1111">
        <f t="shared" si="1"/>
        <v>850620</v>
      </c>
      <c r="L228" s="1109">
        <v>158.0</v>
      </c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</row>
    <row r="229">
      <c r="I229" s="1109">
        <v>159.0</v>
      </c>
      <c r="J229" s="1112">
        <f t="shared" si="3"/>
        <v>11520</v>
      </c>
      <c r="K229" s="1111">
        <f t="shared" si="1"/>
        <v>862140</v>
      </c>
      <c r="L229" s="1109">
        <v>159.0</v>
      </c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</row>
    <row r="230">
      <c r="I230" s="1109">
        <v>160.0</v>
      </c>
      <c r="J230" s="1112">
        <f t="shared" si="3"/>
        <v>11600</v>
      </c>
      <c r="K230" s="1111">
        <f t="shared" si="1"/>
        <v>873740</v>
      </c>
      <c r="L230" s="1109">
        <v>160.0</v>
      </c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</row>
    <row r="231">
      <c r="I231" s="1109">
        <v>161.0</v>
      </c>
      <c r="J231" s="1112">
        <f t="shared" si="3"/>
        <v>11680</v>
      </c>
      <c r="K231" s="1111">
        <f t="shared" si="1"/>
        <v>885420</v>
      </c>
      <c r="L231" s="1109">
        <v>161.0</v>
      </c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</row>
    <row r="232">
      <c r="I232" s="1109">
        <v>162.0</v>
      </c>
      <c r="J232" s="1112">
        <f t="shared" si="3"/>
        <v>11760</v>
      </c>
      <c r="K232" s="1111">
        <f t="shared" si="1"/>
        <v>897180</v>
      </c>
      <c r="L232" s="1109">
        <v>162.0</v>
      </c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</row>
    <row r="233">
      <c r="I233" s="1109">
        <v>163.0</v>
      </c>
      <c r="J233" s="1112">
        <f t="shared" si="3"/>
        <v>11840</v>
      </c>
      <c r="K233" s="1111">
        <f t="shared" si="1"/>
        <v>909020</v>
      </c>
      <c r="L233" s="1109">
        <v>163.0</v>
      </c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</row>
    <row r="234">
      <c r="I234" s="1109">
        <v>164.0</v>
      </c>
      <c r="J234" s="1112">
        <f t="shared" si="3"/>
        <v>11920</v>
      </c>
      <c r="K234" s="1111">
        <f t="shared" si="1"/>
        <v>920940</v>
      </c>
      <c r="L234" s="1109">
        <v>164.0</v>
      </c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</row>
    <row r="235">
      <c r="I235" s="1109">
        <v>165.0</v>
      </c>
      <c r="J235" s="1112">
        <f t="shared" si="3"/>
        <v>12000</v>
      </c>
      <c r="K235" s="1111">
        <f t="shared" si="1"/>
        <v>932940</v>
      </c>
      <c r="L235" s="1109">
        <v>165.0</v>
      </c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</row>
    <row r="236">
      <c r="I236" s="1109">
        <v>166.0</v>
      </c>
      <c r="J236" s="1112">
        <f t="shared" si="3"/>
        <v>12080</v>
      </c>
      <c r="K236" s="1111">
        <f t="shared" si="1"/>
        <v>945020</v>
      </c>
      <c r="L236" s="1109">
        <v>166.0</v>
      </c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</row>
    <row r="237">
      <c r="I237" s="1109">
        <v>167.0</v>
      </c>
      <c r="J237" s="1112">
        <f t="shared" si="3"/>
        <v>12160</v>
      </c>
      <c r="K237" s="1111">
        <f t="shared" si="1"/>
        <v>957180</v>
      </c>
      <c r="L237" s="1109">
        <v>167.0</v>
      </c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</row>
    <row r="238">
      <c r="I238" s="1109">
        <v>168.0</v>
      </c>
      <c r="J238" s="1112">
        <f t="shared" si="3"/>
        <v>12240</v>
      </c>
      <c r="K238" s="1111">
        <f t="shared" si="1"/>
        <v>969420</v>
      </c>
      <c r="L238" s="1109">
        <v>168.0</v>
      </c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</row>
    <row r="239">
      <c r="I239" s="1109">
        <v>169.0</v>
      </c>
      <c r="J239" s="1112">
        <f t="shared" si="3"/>
        <v>12320</v>
      </c>
      <c r="K239" s="1111">
        <f t="shared" si="1"/>
        <v>981740</v>
      </c>
      <c r="L239" s="1109">
        <v>169.0</v>
      </c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</row>
    <row r="240">
      <c r="I240" s="1109">
        <v>170.0</v>
      </c>
      <c r="J240" s="1112">
        <f t="shared" si="3"/>
        <v>12400</v>
      </c>
      <c r="K240" s="1111">
        <f t="shared" si="1"/>
        <v>994140</v>
      </c>
      <c r="L240" s="1109">
        <v>170.0</v>
      </c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</row>
    <row r="241">
      <c r="I241" s="1109">
        <v>171.0</v>
      </c>
      <c r="J241" s="1112">
        <f t="shared" si="3"/>
        <v>12480</v>
      </c>
      <c r="K241" s="1111">
        <f t="shared" si="1"/>
        <v>1006620</v>
      </c>
      <c r="L241" s="1109">
        <v>171.0</v>
      </c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</row>
    <row r="242">
      <c r="I242" s="1109">
        <v>172.0</v>
      </c>
      <c r="J242" s="1112">
        <f t="shared" si="3"/>
        <v>12560</v>
      </c>
      <c r="K242" s="1111">
        <f t="shared" si="1"/>
        <v>1019180</v>
      </c>
      <c r="L242" s="1109">
        <v>172.0</v>
      </c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</row>
    <row r="243">
      <c r="I243" s="1109">
        <v>173.0</v>
      </c>
      <c r="J243" s="1112">
        <f t="shared" si="3"/>
        <v>12640</v>
      </c>
      <c r="K243" s="1111">
        <f t="shared" si="1"/>
        <v>1031820</v>
      </c>
      <c r="L243" s="1109">
        <v>173.0</v>
      </c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</row>
    <row r="244">
      <c r="I244" s="1109">
        <v>174.0</v>
      </c>
      <c r="J244" s="1112">
        <f t="shared" si="3"/>
        <v>12720</v>
      </c>
      <c r="K244" s="1111">
        <f t="shared" si="1"/>
        <v>1044540</v>
      </c>
      <c r="L244" s="1109">
        <v>174.0</v>
      </c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</row>
    <row r="245">
      <c r="I245" s="1109">
        <v>175.0</v>
      </c>
      <c r="J245" s="1112">
        <f t="shared" si="3"/>
        <v>12800</v>
      </c>
      <c r="K245" s="1111">
        <f t="shared" si="1"/>
        <v>1057340</v>
      </c>
      <c r="L245" s="1109">
        <v>175.0</v>
      </c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</row>
    <row r="246">
      <c r="I246" s="1109">
        <v>176.0</v>
      </c>
      <c r="J246" s="1112">
        <f t="shared" si="3"/>
        <v>12880</v>
      </c>
      <c r="K246" s="1111">
        <f t="shared" si="1"/>
        <v>1070220</v>
      </c>
      <c r="L246" s="1109">
        <v>176.0</v>
      </c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</row>
    <row r="247">
      <c r="I247" s="1109">
        <v>177.0</v>
      </c>
      <c r="J247" s="1112">
        <f t="shared" si="3"/>
        <v>12960</v>
      </c>
      <c r="K247" s="1111">
        <f t="shared" si="1"/>
        <v>1083180</v>
      </c>
      <c r="L247" s="1109">
        <v>177.0</v>
      </c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</row>
    <row r="248">
      <c r="I248" s="1109">
        <v>178.0</v>
      </c>
      <c r="J248" s="1112">
        <f t="shared" si="3"/>
        <v>13040</v>
      </c>
      <c r="K248" s="1111">
        <f t="shared" si="1"/>
        <v>1096220</v>
      </c>
      <c r="L248" s="1109">
        <v>178.0</v>
      </c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</row>
    <row r="249">
      <c r="I249" s="1109">
        <v>179.0</v>
      </c>
      <c r="J249" s="1112">
        <f t="shared" si="3"/>
        <v>13120</v>
      </c>
      <c r="K249" s="1111">
        <f t="shared" si="1"/>
        <v>1109340</v>
      </c>
      <c r="L249" s="1109">
        <v>179.0</v>
      </c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</row>
    <row r="250">
      <c r="I250" s="1109">
        <v>180.0</v>
      </c>
      <c r="J250" s="1112">
        <f t="shared" si="3"/>
        <v>13200</v>
      </c>
      <c r="K250" s="1111">
        <f t="shared" si="1"/>
        <v>1122540</v>
      </c>
      <c r="L250" s="1109">
        <v>180.0</v>
      </c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</row>
    <row r="251">
      <c r="I251" s="1109">
        <v>181.0</v>
      </c>
      <c r="J251" s="1112">
        <f t="shared" si="3"/>
        <v>13280</v>
      </c>
      <c r="K251" s="1111">
        <f t="shared" si="1"/>
        <v>1135820</v>
      </c>
      <c r="L251" s="1109">
        <v>181.0</v>
      </c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</row>
    <row r="252">
      <c r="I252" s="1109">
        <v>182.0</v>
      </c>
      <c r="J252" s="1112">
        <f t="shared" si="3"/>
        <v>13360</v>
      </c>
      <c r="K252" s="1111">
        <f t="shared" si="1"/>
        <v>1149180</v>
      </c>
      <c r="L252" s="1109">
        <v>182.0</v>
      </c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</row>
    <row r="253">
      <c r="I253" s="1109">
        <v>183.0</v>
      </c>
      <c r="J253" s="1112">
        <f t="shared" si="3"/>
        <v>13440</v>
      </c>
      <c r="K253" s="1111">
        <f t="shared" si="1"/>
        <v>1162620</v>
      </c>
      <c r="L253" s="1109">
        <v>183.0</v>
      </c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</row>
    <row r="254">
      <c r="I254" s="1109">
        <v>184.0</v>
      </c>
      <c r="J254" s="1112">
        <f t="shared" si="3"/>
        <v>13520</v>
      </c>
      <c r="K254" s="1111">
        <f t="shared" si="1"/>
        <v>1176140</v>
      </c>
      <c r="L254" s="1109">
        <v>184.0</v>
      </c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</row>
    <row r="255">
      <c r="I255" s="1109">
        <v>185.0</v>
      </c>
      <c r="J255" s="1112">
        <f t="shared" si="3"/>
        <v>13600</v>
      </c>
      <c r="K255" s="1111">
        <f t="shared" si="1"/>
        <v>1189740</v>
      </c>
      <c r="L255" s="1109">
        <v>185.0</v>
      </c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</row>
    <row r="256">
      <c r="I256" s="1109">
        <v>186.0</v>
      </c>
      <c r="J256" s="1112">
        <f t="shared" si="3"/>
        <v>13680</v>
      </c>
      <c r="K256" s="1111">
        <f t="shared" si="1"/>
        <v>1203420</v>
      </c>
      <c r="L256" s="1109">
        <v>186.0</v>
      </c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</row>
    <row r="257">
      <c r="I257" s="1109">
        <v>187.0</v>
      </c>
      <c r="J257" s="1112">
        <f t="shared" si="3"/>
        <v>13760</v>
      </c>
      <c r="K257" s="1111">
        <f t="shared" si="1"/>
        <v>1217180</v>
      </c>
      <c r="L257" s="1109">
        <v>187.0</v>
      </c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</row>
    <row r="258">
      <c r="I258" s="1109">
        <v>188.0</v>
      </c>
      <c r="J258" s="1112">
        <f t="shared" si="3"/>
        <v>13840</v>
      </c>
      <c r="K258" s="1111">
        <f t="shared" si="1"/>
        <v>1231020</v>
      </c>
      <c r="L258" s="1109">
        <v>188.0</v>
      </c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</row>
    <row r="259">
      <c r="I259" s="1109">
        <v>189.0</v>
      </c>
      <c r="J259" s="1112">
        <f t="shared" si="3"/>
        <v>13920</v>
      </c>
      <c r="K259" s="1111">
        <f t="shared" si="1"/>
        <v>1244940</v>
      </c>
      <c r="L259" s="1109">
        <v>189.0</v>
      </c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</row>
    <row r="260">
      <c r="I260" s="1109">
        <v>190.0</v>
      </c>
      <c r="J260" s="1112">
        <f t="shared" si="3"/>
        <v>14000</v>
      </c>
      <c r="K260" s="1111">
        <f t="shared" si="1"/>
        <v>1258940</v>
      </c>
      <c r="L260" s="1109">
        <v>190.0</v>
      </c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</row>
    <row r="261">
      <c r="I261" s="1109">
        <v>191.0</v>
      </c>
      <c r="J261" s="1112">
        <f t="shared" si="3"/>
        <v>14080</v>
      </c>
      <c r="K261" s="1111">
        <f t="shared" si="1"/>
        <v>1273020</v>
      </c>
      <c r="L261" s="1109">
        <v>191.0</v>
      </c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</row>
    <row r="262">
      <c r="I262" s="1109">
        <v>192.0</v>
      </c>
      <c r="J262" s="1112">
        <f t="shared" si="3"/>
        <v>14160</v>
      </c>
      <c r="K262" s="1111">
        <f t="shared" si="1"/>
        <v>1287180</v>
      </c>
      <c r="L262" s="1109">
        <v>192.0</v>
      </c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</row>
    <row r="263">
      <c r="I263" s="1109">
        <v>193.0</v>
      </c>
      <c r="J263" s="1112">
        <f t="shared" si="3"/>
        <v>14240</v>
      </c>
      <c r="K263" s="1111">
        <f t="shared" si="1"/>
        <v>1301420</v>
      </c>
      <c r="L263" s="1109">
        <v>193.0</v>
      </c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</row>
    <row r="264">
      <c r="I264" s="1109">
        <v>194.0</v>
      </c>
      <c r="J264" s="1112">
        <f t="shared" si="3"/>
        <v>14320</v>
      </c>
      <c r="K264" s="1111">
        <f t="shared" si="1"/>
        <v>1315740</v>
      </c>
      <c r="L264" s="1109">
        <v>194.0</v>
      </c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</row>
    <row r="265">
      <c r="I265" s="1109">
        <v>195.0</v>
      </c>
      <c r="J265" s="1112">
        <f t="shared" si="3"/>
        <v>14400</v>
      </c>
      <c r="K265" s="1111">
        <f t="shared" si="1"/>
        <v>1330140</v>
      </c>
      <c r="L265" s="1109">
        <v>195.0</v>
      </c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</row>
    <row r="266">
      <c r="I266" s="1109">
        <v>196.0</v>
      </c>
      <c r="J266" s="1112">
        <f t="shared" si="3"/>
        <v>14480</v>
      </c>
      <c r="K266" s="1111">
        <f t="shared" si="1"/>
        <v>1344620</v>
      </c>
      <c r="L266" s="1109">
        <v>196.0</v>
      </c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</row>
    <row r="267">
      <c r="I267" s="1109">
        <v>197.0</v>
      </c>
      <c r="J267" s="1112">
        <f t="shared" si="3"/>
        <v>14560</v>
      </c>
      <c r="K267" s="1111">
        <f t="shared" si="1"/>
        <v>1359180</v>
      </c>
      <c r="L267" s="1109">
        <v>197.0</v>
      </c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</row>
    <row r="268">
      <c r="I268" s="1109">
        <v>198.0</v>
      </c>
      <c r="J268" s="1112">
        <f t="shared" si="3"/>
        <v>14640</v>
      </c>
      <c r="K268" s="1111">
        <f t="shared" si="1"/>
        <v>1373820</v>
      </c>
      <c r="L268" s="1109">
        <v>198.0</v>
      </c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</row>
    <row r="269">
      <c r="I269" s="1109">
        <v>199.0</v>
      </c>
      <c r="J269" s="1112">
        <f t="shared" si="3"/>
        <v>14720</v>
      </c>
      <c r="K269" s="1111">
        <f t="shared" si="1"/>
        <v>1388540</v>
      </c>
      <c r="L269" s="1109">
        <v>199.0</v>
      </c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</row>
    <row r="270">
      <c r="I270" s="1109">
        <v>200.0</v>
      </c>
      <c r="J270" s="1112">
        <f t="shared" si="3"/>
        <v>14800</v>
      </c>
      <c r="K270" s="1111">
        <f t="shared" si="1"/>
        <v>1403340</v>
      </c>
      <c r="L270" s="1109">
        <v>200.0</v>
      </c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</row>
    <row r="271">
      <c r="I271" s="1109">
        <v>201.0</v>
      </c>
      <c r="J271" s="1112">
        <f t="shared" si="3"/>
        <v>14880</v>
      </c>
      <c r="K271" s="1111">
        <f t="shared" si="1"/>
        <v>1418220</v>
      </c>
      <c r="L271" s="1109">
        <v>201.0</v>
      </c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</row>
    <row r="272">
      <c r="I272" s="1109">
        <v>202.0</v>
      </c>
      <c r="J272" s="1112">
        <f t="shared" si="3"/>
        <v>14960</v>
      </c>
      <c r="K272" s="1111">
        <f t="shared" si="1"/>
        <v>1433180</v>
      </c>
      <c r="L272" s="1109">
        <v>202.0</v>
      </c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</row>
    <row r="273">
      <c r="I273" s="1109">
        <v>203.0</v>
      </c>
      <c r="J273" s="1112">
        <f t="shared" si="3"/>
        <v>15040</v>
      </c>
      <c r="K273" s="1111">
        <f t="shared" si="1"/>
        <v>1448220</v>
      </c>
      <c r="L273" s="1109">
        <v>203.0</v>
      </c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</row>
    <row r="274">
      <c r="I274" s="1109">
        <v>204.0</v>
      </c>
      <c r="J274" s="1112">
        <f t="shared" si="3"/>
        <v>15120</v>
      </c>
      <c r="K274" s="1111">
        <f t="shared" si="1"/>
        <v>1463340</v>
      </c>
      <c r="L274" s="1109">
        <v>204.0</v>
      </c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</row>
    <row r="275">
      <c r="I275" s="1109">
        <v>205.0</v>
      </c>
      <c r="J275" s="1112">
        <f t="shared" si="3"/>
        <v>15200</v>
      </c>
      <c r="K275" s="1111">
        <f t="shared" si="1"/>
        <v>1478540</v>
      </c>
      <c r="L275" s="1109">
        <v>205.0</v>
      </c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</row>
    <row r="276">
      <c r="I276" s="1109">
        <v>206.0</v>
      </c>
      <c r="J276" s="1112">
        <f t="shared" si="3"/>
        <v>15280</v>
      </c>
      <c r="K276" s="1111">
        <f t="shared" si="1"/>
        <v>1493820</v>
      </c>
      <c r="L276" s="1109">
        <v>206.0</v>
      </c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</row>
    <row r="277">
      <c r="I277" s="1109">
        <v>207.0</v>
      </c>
      <c r="J277" s="1112">
        <f t="shared" si="3"/>
        <v>15360</v>
      </c>
      <c r="K277" s="1111">
        <f t="shared" si="1"/>
        <v>1509180</v>
      </c>
      <c r="L277" s="1109">
        <v>207.0</v>
      </c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</row>
    <row r="278">
      <c r="I278" s="1109">
        <v>208.0</v>
      </c>
      <c r="J278" s="1112">
        <f t="shared" si="3"/>
        <v>15440</v>
      </c>
      <c r="K278" s="1111">
        <f t="shared" si="1"/>
        <v>1524620</v>
      </c>
      <c r="L278" s="1109">
        <v>208.0</v>
      </c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</row>
    <row r="279">
      <c r="I279" s="1109">
        <v>209.0</v>
      </c>
      <c r="J279" s="1112">
        <f t="shared" si="3"/>
        <v>15520</v>
      </c>
      <c r="K279" s="1111">
        <f t="shared" si="1"/>
        <v>1540140</v>
      </c>
      <c r="L279" s="1109">
        <v>209.0</v>
      </c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</row>
    <row r="280">
      <c r="I280" s="1109">
        <v>210.0</v>
      </c>
      <c r="J280" s="1112">
        <f t="shared" si="3"/>
        <v>15600</v>
      </c>
      <c r="K280" s="1111">
        <f t="shared" si="1"/>
        <v>1555740</v>
      </c>
      <c r="L280" s="1109">
        <v>210.0</v>
      </c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</row>
    <row r="281">
      <c r="I281" s="1109">
        <v>211.0</v>
      </c>
      <c r="J281" s="1112">
        <f t="shared" si="3"/>
        <v>15680</v>
      </c>
      <c r="K281" s="1111">
        <f t="shared" si="1"/>
        <v>1571420</v>
      </c>
      <c r="L281" s="1109">
        <v>211.0</v>
      </c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</row>
    <row r="282">
      <c r="I282" s="1109">
        <v>212.0</v>
      </c>
      <c r="J282" s="1112">
        <f t="shared" si="3"/>
        <v>15760</v>
      </c>
      <c r="K282" s="1111">
        <f t="shared" si="1"/>
        <v>1587180</v>
      </c>
      <c r="L282" s="1109">
        <v>212.0</v>
      </c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</row>
    <row r="283">
      <c r="I283" s="1109">
        <v>213.0</v>
      </c>
      <c r="J283" s="1112">
        <f t="shared" si="3"/>
        <v>15840</v>
      </c>
      <c r="K283" s="1111">
        <f t="shared" si="1"/>
        <v>1603020</v>
      </c>
      <c r="L283" s="1109">
        <v>213.0</v>
      </c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</row>
    <row r="284">
      <c r="I284" s="1109">
        <v>214.0</v>
      </c>
      <c r="J284" s="1112">
        <f t="shared" si="3"/>
        <v>15920</v>
      </c>
      <c r="K284" s="1111">
        <f t="shared" si="1"/>
        <v>1618940</v>
      </c>
      <c r="L284" s="1109">
        <v>214.0</v>
      </c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</row>
    <row r="285">
      <c r="I285" s="1109">
        <v>215.0</v>
      </c>
      <c r="J285" s="1112">
        <f t="shared" si="3"/>
        <v>16000</v>
      </c>
      <c r="K285" s="1111">
        <f t="shared" si="1"/>
        <v>1634940</v>
      </c>
      <c r="L285" s="1109">
        <v>215.0</v>
      </c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</row>
    <row r="286">
      <c r="I286" s="1109">
        <v>216.0</v>
      </c>
      <c r="J286" s="1112">
        <f t="shared" si="3"/>
        <v>16080</v>
      </c>
      <c r="K286" s="1111">
        <f t="shared" si="1"/>
        <v>1651020</v>
      </c>
      <c r="L286" s="1109">
        <v>216.0</v>
      </c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</row>
    <row r="287">
      <c r="I287" s="1109">
        <v>217.0</v>
      </c>
      <c r="J287" s="1112">
        <f t="shared" si="3"/>
        <v>16160</v>
      </c>
      <c r="K287" s="1111">
        <f t="shared" si="1"/>
        <v>1667180</v>
      </c>
      <c r="L287" s="1109">
        <v>217.0</v>
      </c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</row>
    <row r="288">
      <c r="I288" s="1109">
        <v>218.0</v>
      </c>
      <c r="J288" s="1112">
        <f t="shared" si="3"/>
        <v>16240</v>
      </c>
      <c r="K288" s="1111">
        <f t="shared" si="1"/>
        <v>1683420</v>
      </c>
      <c r="L288" s="1109">
        <v>218.0</v>
      </c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</row>
    <row r="289">
      <c r="I289" s="1109">
        <v>219.0</v>
      </c>
      <c r="J289" s="1112">
        <f t="shared" si="3"/>
        <v>16320</v>
      </c>
      <c r="K289" s="1111">
        <f t="shared" si="1"/>
        <v>1699740</v>
      </c>
      <c r="L289" s="1109">
        <v>219.0</v>
      </c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</row>
    <row r="290">
      <c r="I290" s="1109">
        <v>220.0</v>
      </c>
      <c r="J290" s="1112">
        <f t="shared" si="3"/>
        <v>16400</v>
      </c>
      <c r="K290" s="1111">
        <f t="shared" si="1"/>
        <v>1716140</v>
      </c>
      <c r="L290" s="1109">
        <v>220.0</v>
      </c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</row>
    <row r="291">
      <c r="I291" s="1109">
        <v>221.0</v>
      </c>
      <c r="J291" s="1112">
        <f t="shared" si="3"/>
        <v>16480</v>
      </c>
      <c r="K291" s="1111">
        <f t="shared" si="1"/>
        <v>1732620</v>
      </c>
      <c r="L291" s="1109">
        <v>221.0</v>
      </c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</row>
    <row r="292">
      <c r="I292" s="1109">
        <v>222.0</v>
      </c>
      <c r="J292" s="1112">
        <f t="shared" si="3"/>
        <v>16560</v>
      </c>
      <c r="K292" s="1111">
        <f t="shared" si="1"/>
        <v>1749180</v>
      </c>
      <c r="L292" s="1109">
        <v>222.0</v>
      </c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</row>
    <row r="293">
      <c r="I293" s="1109">
        <v>223.0</v>
      </c>
      <c r="J293" s="1112">
        <f t="shared" si="3"/>
        <v>16640</v>
      </c>
      <c r="K293" s="1111">
        <f t="shared" si="1"/>
        <v>1765820</v>
      </c>
      <c r="L293" s="1109">
        <v>223.0</v>
      </c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</row>
    <row r="294">
      <c r="I294" s="1109">
        <v>224.0</v>
      </c>
      <c r="J294" s="1112">
        <f t="shared" si="3"/>
        <v>16720</v>
      </c>
      <c r="K294" s="1111">
        <f t="shared" si="1"/>
        <v>1782540</v>
      </c>
      <c r="L294" s="1109">
        <v>224.0</v>
      </c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</row>
    <row r="295">
      <c r="I295" s="1109">
        <v>225.0</v>
      </c>
      <c r="J295" s="1112">
        <f t="shared" si="3"/>
        <v>16800</v>
      </c>
      <c r="K295" s="1111">
        <f t="shared" si="1"/>
        <v>1799340</v>
      </c>
      <c r="L295" s="1109">
        <v>225.0</v>
      </c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</row>
    <row r="296">
      <c r="I296" s="1109">
        <v>226.0</v>
      </c>
      <c r="J296" s="1112">
        <f t="shared" si="3"/>
        <v>16880</v>
      </c>
      <c r="K296" s="1111">
        <f t="shared" si="1"/>
        <v>1816220</v>
      </c>
      <c r="L296" s="1109">
        <v>226.0</v>
      </c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</row>
    <row r="297">
      <c r="I297" s="1109">
        <v>227.0</v>
      </c>
      <c r="J297" s="1112">
        <f t="shared" si="3"/>
        <v>16960</v>
      </c>
      <c r="K297" s="1111">
        <f t="shared" si="1"/>
        <v>1833180</v>
      </c>
      <c r="L297" s="1109">
        <v>227.0</v>
      </c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</row>
    <row r="298">
      <c r="I298" s="1109">
        <v>228.0</v>
      </c>
      <c r="J298" s="1112">
        <f t="shared" si="3"/>
        <v>17040</v>
      </c>
      <c r="K298" s="1111">
        <f t="shared" si="1"/>
        <v>1850220</v>
      </c>
      <c r="L298" s="1109">
        <v>228.0</v>
      </c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</row>
    <row r="299">
      <c r="I299" s="1109">
        <v>229.0</v>
      </c>
      <c r="J299" s="1112">
        <f t="shared" si="3"/>
        <v>17120</v>
      </c>
      <c r="K299" s="1111">
        <f t="shared" si="1"/>
        <v>1867340</v>
      </c>
      <c r="L299" s="1109">
        <v>229.0</v>
      </c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</row>
    <row r="300">
      <c r="I300" s="1109">
        <v>230.0</v>
      </c>
      <c r="J300" s="1112">
        <f t="shared" si="3"/>
        <v>17200</v>
      </c>
      <c r="K300" s="1111">
        <f t="shared" si="1"/>
        <v>1884540</v>
      </c>
      <c r="L300" s="1109">
        <v>230.0</v>
      </c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</row>
    <row r="301">
      <c r="I301" s="1109">
        <v>231.0</v>
      </c>
      <c r="J301" s="1112">
        <f t="shared" si="3"/>
        <v>17280</v>
      </c>
      <c r="K301" s="1111">
        <f t="shared" si="1"/>
        <v>1901820</v>
      </c>
      <c r="L301" s="1109">
        <v>231.0</v>
      </c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</row>
    <row r="302">
      <c r="I302" s="1109">
        <v>232.0</v>
      </c>
      <c r="J302" s="1112">
        <f t="shared" si="3"/>
        <v>17360</v>
      </c>
      <c r="K302" s="1111">
        <f t="shared" si="1"/>
        <v>1919180</v>
      </c>
      <c r="L302" s="1109">
        <v>232.0</v>
      </c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</row>
    <row r="303">
      <c r="I303" s="1109">
        <v>233.0</v>
      </c>
      <c r="J303" s="1112">
        <f t="shared" si="3"/>
        <v>17440</v>
      </c>
      <c r="K303" s="1111">
        <f t="shared" si="1"/>
        <v>1936620</v>
      </c>
      <c r="L303" s="1109">
        <v>233.0</v>
      </c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</row>
    <row r="304">
      <c r="I304" s="1109">
        <v>234.0</v>
      </c>
      <c r="J304" s="1112">
        <f t="shared" si="3"/>
        <v>17520</v>
      </c>
      <c r="K304" s="1111">
        <f t="shared" si="1"/>
        <v>1954140</v>
      </c>
      <c r="L304" s="1109">
        <v>234.0</v>
      </c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</row>
    <row r="305">
      <c r="I305" s="1109">
        <v>235.0</v>
      </c>
      <c r="J305" s="1112">
        <f t="shared" si="3"/>
        <v>17600</v>
      </c>
      <c r="K305" s="1111">
        <f t="shared" si="1"/>
        <v>1971740</v>
      </c>
      <c r="L305" s="1109">
        <v>235.0</v>
      </c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</row>
    <row r="306">
      <c r="I306" s="1109">
        <v>236.0</v>
      </c>
      <c r="J306" s="1112">
        <f t="shared" si="3"/>
        <v>17680</v>
      </c>
      <c r="K306" s="1111">
        <f t="shared" si="1"/>
        <v>1989420</v>
      </c>
      <c r="L306" s="1109">
        <v>236.0</v>
      </c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</row>
    <row r="307">
      <c r="I307" s="1109">
        <v>237.0</v>
      </c>
      <c r="J307" s="1112">
        <f t="shared" si="3"/>
        <v>17760</v>
      </c>
      <c r="K307" s="1111">
        <f t="shared" si="1"/>
        <v>2007180</v>
      </c>
      <c r="L307" s="1109">
        <v>237.0</v>
      </c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</row>
    <row r="308">
      <c r="I308" s="1109">
        <v>238.0</v>
      </c>
      <c r="J308" s="1112">
        <f t="shared" si="3"/>
        <v>17840</v>
      </c>
      <c r="K308" s="1111">
        <f t="shared" si="1"/>
        <v>2025020</v>
      </c>
      <c r="L308" s="1109">
        <v>238.0</v>
      </c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</row>
    <row r="309">
      <c r="I309" s="1109">
        <v>239.0</v>
      </c>
      <c r="J309" s="1112">
        <f t="shared" si="3"/>
        <v>17920</v>
      </c>
      <c r="K309" s="1111">
        <f t="shared" si="1"/>
        <v>2042940</v>
      </c>
      <c r="L309" s="1109">
        <v>239.0</v>
      </c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</row>
    <row r="310">
      <c r="I310" s="1109">
        <v>240.0</v>
      </c>
      <c r="J310" s="1112">
        <f t="shared" si="3"/>
        <v>18000</v>
      </c>
      <c r="K310" s="1111">
        <f t="shared" si="1"/>
        <v>2060940</v>
      </c>
      <c r="L310" s="1109">
        <v>240.0</v>
      </c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</row>
    <row r="311"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</row>
    <row r="312"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</row>
    <row r="313"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</row>
    <row r="314"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</row>
    <row r="315"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</row>
    <row r="316"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</row>
    <row r="317"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</row>
    <row r="318"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</row>
    <row r="319"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</row>
    <row r="320"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</row>
    <row r="321"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</row>
    <row r="322"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</row>
    <row r="323"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</row>
    <row r="324"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</row>
    <row r="325"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</row>
    <row r="326"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</row>
    <row r="327"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</row>
    <row r="328"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</row>
    <row r="329"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</row>
    <row r="330"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</row>
    <row r="331"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</row>
    <row r="332"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</row>
    <row r="333"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</row>
    <row r="334"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</row>
    <row r="335"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</row>
    <row r="336"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</row>
    <row r="337"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</row>
    <row r="338"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</row>
    <row r="339"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</row>
    <row r="340"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</row>
    <row r="341"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</row>
    <row r="342"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</row>
    <row r="343"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</row>
    <row r="344"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</row>
    <row r="345"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</row>
    <row r="346"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</row>
    <row r="347"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</row>
    <row r="348"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</row>
    <row r="349"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</row>
    <row r="350"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</row>
    <row r="351"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</row>
    <row r="352"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</row>
    <row r="353"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</row>
    <row r="354"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</row>
    <row r="355"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</row>
    <row r="356"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</row>
    <row r="357"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</row>
    <row r="358"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</row>
    <row r="359"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</row>
    <row r="360"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</row>
    <row r="361"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</row>
    <row r="362"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</row>
    <row r="363"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</row>
    <row r="364"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</row>
    <row r="365"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</row>
    <row r="366"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</row>
    <row r="367"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</row>
    <row r="368"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</row>
    <row r="369"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</row>
    <row r="370"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</row>
    <row r="371"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</row>
    <row r="372"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</row>
    <row r="373"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</row>
    <row r="374"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</row>
    <row r="375"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</row>
    <row r="376"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</row>
    <row r="377"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</row>
    <row r="378"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</row>
    <row r="379"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</row>
    <row r="380"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</row>
    <row r="381"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</row>
    <row r="382"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</row>
    <row r="383"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</row>
    <row r="384"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</row>
    <row r="385"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</row>
    <row r="386"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</row>
    <row r="387"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</row>
    <row r="388"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</row>
    <row r="389"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</row>
    <row r="390"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</row>
    <row r="391"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</row>
    <row r="392"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</row>
    <row r="393"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</row>
    <row r="394"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</row>
    <row r="395"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</row>
    <row r="396"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</row>
    <row r="397"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</row>
    <row r="398"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</row>
    <row r="399"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</row>
    <row r="400"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</row>
    <row r="401"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</row>
    <row r="402"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</row>
    <row r="403"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</row>
    <row r="404"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</row>
    <row r="405"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</row>
    <row r="406"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</row>
    <row r="407"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</row>
    <row r="408"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</row>
    <row r="409"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</row>
    <row r="410"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</row>
    <row r="411"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</row>
    <row r="412"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</row>
    <row r="413"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</row>
    <row r="414"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</row>
    <row r="415"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</row>
    <row r="416"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</row>
    <row r="417"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</row>
    <row r="418"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</row>
    <row r="419"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</row>
    <row r="420"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</row>
    <row r="421"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</row>
    <row r="422"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</row>
    <row r="423"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</row>
    <row r="424"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</row>
    <row r="425"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</row>
    <row r="426"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</row>
    <row r="427"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</row>
    <row r="428"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</row>
    <row r="429"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</row>
    <row r="430"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</row>
    <row r="431"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</row>
    <row r="432"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</row>
    <row r="433"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</row>
    <row r="434"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</row>
    <row r="435"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</row>
    <row r="436"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</row>
    <row r="437"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</row>
    <row r="438"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</row>
    <row r="439"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</row>
    <row r="440"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</row>
    <row r="441"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</row>
    <row r="442"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</row>
    <row r="443"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</row>
    <row r="444"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</row>
    <row r="445"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</row>
    <row r="446"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</row>
    <row r="447"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</row>
    <row r="448"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</row>
    <row r="449"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</row>
    <row r="450"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</row>
    <row r="451"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</row>
    <row r="452"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</row>
    <row r="453"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</row>
    <row r="454"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</row>
    <row r="455"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</row>
    <row r="456"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</row>
    <row r="457"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</row>
    <row r="458"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</row>
    <row r="459"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</row>
    <row r="460"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</row>
    <row r="461"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</row>
    <row r="462"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</row>
    <row r="463"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</row>
    <row r="464"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</row>
    <row r="465"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</row>
    <row r="466"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</row>
    <row r="467"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</row>
    <row r="468"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</row>
    <row r="469"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</row>
    <row r="470"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</row>
    <row r="471"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</row>
    <row r="472"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</row>
    <row r="473"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</row>
    <row r="474"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</row>
    <row r="475"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</row>
    <row r="476"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</row>
    <row r="477"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</row>
    <row r="478"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</row>
    <row r="479"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</row>
    <row r="480"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</row>
    <row r="481"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</row>
    <row r="482"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</row>
    <row r="483"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</row>
    <row r="484"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</row>
    <row r="485"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</row>
    <row r="486"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</row>
    <row r="487"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</row>
    <row r="488"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</row>
    <row r="489"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</row>
    <row r="490"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</row>
    <row r="491"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</row>
    <row r="492"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</row>
    <row r="493"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</row>
    <row r="494"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</row>
    <row r="495"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</row>
    <row r="496"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</row>
    <row r="497"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</row>
    <row r="498"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</row>
    <row r="499"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</row>
    <row r="500"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</row>
    <row r="501"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</row>
    <row r="502"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</row>
    <row r="503"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</row>
    <row r="504"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</row>
    <row r="505"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</row>
    <row r="506"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</row>
    <row r="507"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</row>
    <row r="508"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</row>
    <row r="509"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</row>
    <row r="510"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</row>
    <row r="511"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</row>
    <row r="512"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</row>
    <row r="513"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</row>
    <row r="514"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</row>
    <row r="515"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</row>
    <row r="516"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</row>
    <row r="517"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</row>
    <row r="518"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</row>
    <row r="519"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</row>
    <row r="520"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</row>
    <row r="521"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</row>
    <row r="522"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</row>
    <row r="523"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</row>
    <row r="524"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</row>
    <row r="525"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</row>
    <row r="526"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</row>
    <row r="527"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</row>
    <row r="528"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</row>
    <row r="529"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</row>
    <row r="530"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</row>
    <row r="531"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</row>
    <row r="532"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</row>
    <row r="533"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</row>
    <row r="534"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</row>
    <row r="535"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</row>
    <row r="536"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</row>
    <row r="537"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</row>
    <row r="538"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</row>
    <row r="539"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</row>
    <row r="540"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</row>
    <row r="541"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</row>
    <row r="542"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</row>
    <row r="543"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</row>
    <row r="544"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</row>
    <row r="545"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</row>
    <row r="546"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</row>
    <row r="547"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</row>
    <row r="548"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</row>
    <row r="549"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</row>
    <row r="550"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</row>
    <row r="551"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</row>
    <row r="552"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</row>
    <row r="553"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</row>
    <row r="554"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</row>
    <row r="555"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</row>
    <row r="556"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</row>
    <row r="557"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</row>
    <row r="558"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</row>
    <row r="559"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</row>
    <row r="560"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</row>
    <row r="561"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</row>
    <row r="562"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</row>
    <row r="563"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</row>
    <row r="564"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</row>
    <row r="565"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</row>
    <row r="566"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</row>
    <row r="567"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</row>
    <row r="568"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</row>
    <row r="569"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</row>
    <row r="570"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</row>
    <row r="571"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</row>
    <row r="572"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</row>
    <row r="573"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</row>
    <row r="574"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</row>
    <row r="575"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</row>
    <row r="576"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</row>
    <row r="577"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</row>
    <row r="578"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</row>
    <row r="579"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</row>
    <row r="580"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</row>
    <row r="581"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</row>
    <row r="582"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</row>
    <row r="583"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</row>
    <row r="584"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</row>
    <row r="585"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</row>
    <row r="586"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</row>
    <row r="587"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</row>
    <row r="588"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</row>
    <row r="589"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</row>
    <row r="590"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</row>
    <row r="591"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</row>
    <row r="592"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</row>
    <row r="593"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</row>
    <row r="594"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</row>
    <row r="595"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</row>
    <row r="596"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</row>
    <row r="597"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</row>
    <row r="598"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</row>
    <row r="599"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</row>
    <row r="600"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</row>
    <row r="601"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</row>
    <row r="602"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</row>
    <row r="603"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</row>
    <row r="604"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</row>
    <row r="605"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</row>
    <row r="606"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</row>
    <row r="607"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</row>
    <row r="608"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</row>
    <row r="609"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</row>
    <row r="610"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</row>
    <row r="611"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</row>
    <row r="612"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</row>
    <row r="613"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</row>
    <row r="614"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</row>
    <row r="615"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</row>
    <row r="616"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</row>
    <row r="617"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</row>
    <row r="618"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</row>
    <row r="619"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</row>
    <row r="620"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</row>
    <row r="621"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</row>
    <row r="622"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</row>
    <row r="623"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</row>
    <row r="624"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</row>
    <row r="625"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</row>
    <row r="626"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</row>
    <row r="627"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</row>
    <row r="628"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</row>
    <row r="629"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</row>
    <row r="630"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</row>
    <row r="631"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</row>
    <row r="632"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</row>
    <row r="633"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</row>
    <row r="634"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</row>
    <row r="635"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</row>
    <row r="636"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</row>
    <row r="637"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</row>
    <row r="638"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</row>
    <row r="639"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</row>
    <row r="640"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</row>
    <row r="641"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</row>
    <row r="642"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</row>
    <row r="643"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</row>
    <row r="644"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</row>
    <row r="645"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</row>
    <row r="646"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</row>
    <row r="647"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</row>
    <row r="648"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</row>
    <row r="649"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</row>
    <row r="650"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</row>
    <row r="651"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</row>
    <row r="652"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</row>
    <row r="653"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</row>
    <row r="654"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</row>
    <row r="655"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</row>
    <row r="656"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</row>
    <row r="657"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</row>
    <row r="658"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</row>
    <row r="659"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</row>
    <row r="660"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</row>
    <row r="661"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</row>
    <row r="662"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</row>
    <row r="663"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</row>
    <row r="664"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</row>
    <row r="665"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</row>
    <row r="666"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</row>
    <row r="667"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</row>
    <row r="668"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</row>
    <row r="669"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</row>
    <row r="670"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</row>
    <row r="671"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</row>
    <row r="672"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</row>
    <row r="673"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</row>
    <row r="674"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</row>
    <row r="675"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</row>
    <row r="676"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</row>
    <row r="677"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</row>
    <row r="678"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</row>
    <row r="679"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</row>
    <row r="680"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</row>
    <row r="681"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</row>
    <row r="682"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</row>
    <row r="683"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</row>
    <row r="684"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</row>
    <row r="685"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</row>
    <row r="686"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</row>
    <row r="687"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</row>
    <row r="688"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</row>
    <row r="689"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</row>
    <row r="690"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</row>
    <row r="691"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</row>
    <row r="692"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</row>
    <row r="693"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</row>
    <row r="694"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</row>
    <row r="695"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</row>
    <row r="696"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</row>
    <row r="697"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</row>
    <row r="698"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</row>
    <row r="699"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</row>
    <row r="700"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</row>
    <row r="701"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</row>
    <row r="702"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</row>
    <row r="703"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</row>
    <row r="704"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</row>
    <row r="705"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</row>
    <row r="706"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</row>
    <row r="707"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</row>
    <row r="708"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</row>
    <row r="709"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</row>
    <row r="710"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</row>
    <row r="711"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</row>
    <row r="712"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</row>
    <row r="713"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</row>
    <row r="714"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</row>
    <row r="715"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</row>
    <row r="716"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</row>
    <row r="717"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</row>
    <row r="718"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</row>
    <row r="719"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</row>
    <row r="720"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</row>
    <row r="721"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</row>
    <row r="722"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</row>
    <row r="723"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</row>
    <row r="724"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</row>
    <row r="725"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</row>
    <row r="726"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</row>
    <row r="727"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</row>
    <row r="728"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</row>
    <row r="729"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</row>
    <row r="730"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</row>
    <row r="731"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</row>
    <row r="732"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</row>
    <row r="733"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</row>
    <row r="734"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</row>
    <row r="735"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</row>
    <row r="736"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</row>
    <row r="737"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</row>
    <row r="738"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</row>
    <row r="739"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</row>
    <row r="740"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</row>
    <row r="741"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</row>
    <row r="742"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</row>
    <row r="743"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</row>
    <row r="744"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</row>
    <row r="745"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</row>
    <row r="746"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</row>
    <row r="747"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</row>
    <row r="748"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</row>
    <row r="749"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</row>
    <row r="750"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</row>
    <row r="751"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</row>
    <row r="752"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</row>
    <row r="753"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</row>
    <row r="754"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</row>
    <row r="755"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</row>
    <row r="756"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</row>
    <row r="757"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</row>
    <row r="758"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</row>
    <row r="759"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</row>
    <row r="760"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</row>
    <row r="761"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</row>
    <row r="762"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</row>
    <row r="763"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</row>
    <row r="764"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</row>
    <row r="765"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</row>
    <row r="766"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</row>
    <row r="767"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</row>
    <row r="768"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</row>
    <row r="769"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</row>
    <row r="770"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</row>
    <row r="771"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</row>
    <row r="772"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</row>
    <row r="773"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</row>
    <row r="774"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</row>
    <row r="775"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</row>
    <row r="776"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</row>
    <row r="777"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</row>
    <row r="778"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</row>
    <row r="779"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</row>
    <row r="780"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</row>
    <row r="781"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</row>
    <row r="782"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</row>
    <row r="783"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</row>
    <row r="784"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</row>
    <row r="785"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</row>
    <row r="786"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</row>
    <row r="787"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</row>
    <row r="788"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</row>
    <row r="789"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</row>
    <row r="790"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</row>
    <row r="791"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</row>
    <row r="792"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</row>
    <row r="793"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</row>
    <row r="794"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</row>
    <row r="795"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</row>
    <row r="796"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</row>
    <row r="797"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</row>
    <row r="798"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</row>
    <row r="799"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</row>
    <row r="800"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</row>
    <row r="801"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</row>
    <row r="802"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</row>
    <row r="803"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</row>
    <row r="804"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</row>
    <row r="805"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</row>
    <row r="806"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</row>
    <row r="807"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</row>
    <row r="808"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</row>
    <row r="809"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</row>
    <row r="810"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</row>
    <row r="811"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</row>
    <row r="812"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</row>
    <row r="813"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</row>
    <row r="814"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</row>
    <row r="815"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</row>
    <row r="816"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</row>
    <row r="817"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</row>
    <row r="818"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</row>
    <row r="819"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</row>
    <row r="820"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</row>
    <row r="821"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</row>
    <row r="822"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</row>
    <row r="823"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</row>
    <row r="824"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</row>
    <row r="825"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</row>
    <row r="826"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</row>
    <row r="827"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</row>
    <row r="828"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</row>
    <row r="829"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</row>
    <row r="830"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</row>
    <row r="831"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</row>
    <row r="832"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</row>
    <row r="833"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</row>
    <row r="834"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</row>
    <row r="835"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</row>
    <row r="836"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</row>
    <row r="837"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</row>
    <row r="838"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</row>
    <row r="839"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</row>
    <row r="840"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</row>
    <row r="841"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</row>
    <row r="842"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</row>
    <row r="843"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</row>
    <row r="844"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</row>
    <row r="845"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</row>
    <row r="846"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</row>
    <row r="847"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</row>
    <row r="848"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</row>
    <row r="849"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</row>
    <row r="850"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</row>
    <row r="851"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</row>
    <row r="852"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</row>
    <row r="853"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</row>
    <row r="854"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</row>
    <row r="855"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</row>
    <row r="856"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</row>
    <row r="857"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</row>
    <row r="858"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</row>
    <row r="859"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</row>
    <row r="860"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</row>
    <row r="861"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</row>
    <row r="862"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</row>
    <row r="863"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</row>
    <row r="864"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</row>
    <row r="865"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</row>
    <row r="866"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</row>
    <row r="867"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</row>
    <row r="868"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</row>
    <row r="869"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</row>
    <row r="870"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</row>
    <row r="871"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</row>
    <row r="872"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</row>
    <row r="873"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</row>
    <row r="874"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</row>
    <row r="875"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</row>
    <row r="876"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</row>
    <row r="877"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</row>
    <row r="878"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</row>
    <row r="879"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</row>
    <row r="880"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</row>
    <row r="881"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</row>
    <row r="882"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</row>
    <row r="883"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</row>
    <row r="884"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</row>
    <row r="885"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</row>
    <row r="886"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</row>
    <row r="887"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</row>
    <row r="888"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</row>
    <row r="889"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</row>
    <row r="890"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</row>
    <row r="891"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</row>
    <row r="892"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</row>
    <row r="893"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</row>
    <row r="894"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</row>
    <row r="895"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</row>
    <row r="896"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</row>
    <row r="897"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</row>
    <row r="898"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</row>
    <row r="899"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</row>
    <row r="900"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</row>
    <row r="901"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</row>
    <row r="902"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</row>
    <row r="903"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</row>
    <row r="904"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</row>
    <row r="905"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</row>
    <row r="906"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</row>
    <row r="907"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</row>
    <row r="908"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</row>
    <row r="909"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</row>
    <row r="910"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</row>
    <row r="911"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</row>
    <row r="912"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</row>
    <row r="913"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</row>
    <row r="914"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</row>
    <row r="915"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</row>
    <row r="916"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</row>
    <row r="917"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</row>
    <row r="918"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</row>
    <row r="919"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</row>
    <row r="920"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</row>
    <row r="921"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</row>
    <row r="922"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</row>
    <row r="923"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</row>
    <row r="924"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</row>
    <row r="925"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</row>
    <row r="926"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</row>
    <row r="927"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</row>
    <row r="928"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</row>
    <row r="929"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</row>
    <row r="930"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</row>
    <row r="931"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</row>
    <row r="932"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</row>
    <row r="933"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</row>
    <row r="934"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</row>
    <row r="935"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</row>
    <row r="936"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</row>
    <row r="937"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</row>
    <row r="938"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</row>
    <row r="939"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</row>
    <row r="940"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</row>
    <row r="941"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</row>
    <row r="942"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</row>
    <row r="943"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</row>
    <row r="944"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</row>
    <row r="945"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</row>
    <row r="946"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</row>
    <row r="947"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</row>
    <row r="948"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</row>
    <row r="949"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</row>
    <row r="950"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</row>
    <row r="951"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</row>
    <row r="952"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</row>
    <row r="953"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</row>
    <row r="954"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</row>
    <row r="955"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</row>
    <row r="956"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</row>
    <row r="957"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</row>
    <row r="958"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</row>
    <row r="959"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</row>
    <row r="960"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</row>
    <row r="961"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</row>
    <row r="962"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</row>
    <row r="963"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</row>
    <row r="964"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</row>
    <row r="965"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</row>
    <row r="966"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</row>
    <row r="967"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</row>
    <row r="968"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</row>
    <row r="969"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</row>
    <row r="970"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</row>
    <row r="971"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</row>
    <row r="972"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</row>
    <row r="973"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</row>
    <row r="974"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</row>
    <row r="975"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</row>
    <row r="976"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</row>
    <row r="977"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</row>
    <row r="978"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</row>
    <row r="979"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</row>
    <row r="980"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</row>
    <row r="981"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</row>
    <row r="982"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</row>
    <row r="983"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</row>
    <row r="984"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</row>
    <row r="985"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</row>
    <row r="986"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</row>
    <row r="987"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</row>
    <row r="988"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</row>
    <row r="989"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</row>
    <row r="990"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</row>
    <row r="991"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</row>
    <row r="992"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</row>
    <row r="993"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</row>
    <row r="994"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</row>
    <row r="995"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</row>
    <row r="996"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</row>
    <row r="997"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</row>
    <row r="998"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</row>
    <row r="999"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</row>
    <row r="1000"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</row>
    <row r="1001"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</row>
    <row r="1002"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</row>
    <row r="1003">
      <c r="I1003" s="134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</row>
    <row r="1004">
      <c r="I1004" s="134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</row>
    <row r="1005">
      <c r="I1005" s="134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</row>
    <row r="1006">
      <c r="I1006" s="134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</row>
    <row r="1007">
      <c r="I1007" s="134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</row>
    <row r="1008">
      <c r="I1008" s="134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</row>
    <row r="1009">
      <c r="I1009" s="134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</row>
    <row r="1010">
      <c r="I1010" s="134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</row>
    <row r="1011">
      <c r="I1011" s="134"/>
      <c r="J1011" s="134"/>
      <c r="K1011" s="134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</row>
    <row r="1012">
      <c r="I1012" s="134"/>
      <c r="J1012" s="134"/>
      <c r="K1012" s="134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</row>
    <row r="1013">
      <c r="I1013" s="134"/>
      <c r="J1013" s="134"/>
      <c r="K1013" s="134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</row>
    <row r="1014">
      <c r="I1014" s="134"/>
      <c r="J1014" s="134"/>
      <c r="K1014" s="134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</row>
    <row r="1015">
      <c r="I1015" s="134"/>
      <c r="J1015" s="134"/>
      <c r="K1015" s="134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</row>
    <row r="1016">
      <c r="I1016" s="134"/>
      <c r="J1016" s="134"/>
      <c r="K1016" s="134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</row>
    <row r="1017">
      <c r="I1017" s="134"/>
      <c r="J1017" s="134"/>
      <c r="K1017" s="134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</row>
    <row r="1018">
      <c r="I1018" s="134"/>
      <c r="J1018" s="134"/>
      <c r="K1018" s="134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</row>
    <row r="1019">
      <c r="I1019" s="134"/>
      <c r="J1019" s="134"/>
      <c r="K1019" s="134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</row>
    <row r="1020">
      <c r="I1020" s="134"/>
      <c r="J1020" s="134"/>
      <c r="K1020" s="134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</row>
    <row r="1021">
      <c r="I1021" s="134"/>
      <c r="J1021" s="134"/>
      <c r="K1021" s="134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</row>
    <row r="1022">
      <c r="I1022" s="134"/>
      <c r="J1022" s="134"/>
      <c r="K1022" s="134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</row>
    <row r="1023">
      <c r="I1023" s="134"/>
      <c r="J1023" s="134"/>
      <c r="K1023" s="134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</row>
    <row r="1024">
      <c r="I1024" s="134"/>
      <c r="J1024" s="134"/>
      <c r="K1024" s="134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</row>
    <row r="1025">
      <c r="I1025" s="134"/>
      <c r="J1025" s="134"/>
      <c r="K1025" s="134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</row>
    <row r="1026">
      <c r="I1026" s="134"/>
      <c r="J1026" s="134"/>
      <c r="K1026" s="134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</row>
    <row r="1027">
      <c r="I1027" s="134"/>
      <c r="J1027" s="134"/>
      <c r="K1027" s="134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</row>
    <row r="1028">
      <c r="I1028" s="134"/>
      <c r="J1028" s="134"/>
      <c r="K1028" s="134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</row>
    <row r="1029">
      <c r="I1029" s="134"/>
      <c r="J1029" s="134"/>
      <c r="K1029" s="134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</row>
    <row r="1030">
      <c r="I1030" s="134"/>
      <c r="J1030" s="134"/>
      <c r="K1030" s="134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</row>
    <row r="1031">
      <c r="I1031" s="134"/>
      <c r="J1031" s="134"/>
      <c r="K1031" s="134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</row>
    <row r="1032">
      <c r="I1032" s="134"/>
      <c r="J1032" s="134"/>
      <c r="K1032" s="134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</row>
    <row r="1033">
      <c r="I1033" s="134"/>
      <c r="J1033" s="134"/>
      <c r="K1033" s="134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</row>
    <row r="1034">
      <c r="I1034" s="134"/>
      <c r="J1034" s="134"/>
      <c r="K1034" s="134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</row>
    <row r="1035">
      <c r="I1035" s="134"/>
      <c r="J1035" s="134"/>
      <c r="K1035" s="134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</row>
    <row r="1036">
      <c r="I1036" s="134"/>
      <c r="J1036" s="134"/>
      <c r="K1036" s="134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</row>
    <row r="1037">
      <c r="I1037" s="134"/>
      <c r="J1037" s="134"/>
      <c r="K1037" s="134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</row>
    <row r="1038">
      <c r="I1038" s="134"/>
      <c r="J1038" s="134"/>
      <c r="K1038" s="134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</row>
    <row r="1039">
      <c r="I1039" s="134"/>
      <c r="J1039" s="134"/>
      <c r="K1039" s="134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</row>
    <row r="1040">
      <c r="I1040" s="134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</row>
    <row r="1041">
      <c r="I1041" s="134"/>
      <c r="J1041" s="134"/>
      <c r="K1041" s="134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</row>
    <row r="1042">
      <c r="I1042" s="134"/>
      <c r="J1042" s="134"/>
      <c r="K1042" s="134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</row>
    <row r="1043">
      <c r="I1043" s="134"/>
      <c r="J1043" s="134"/>
      <c r="K1043" s="134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</row>
  </sheetData>
  <dataValidations>
    <dataValidation type="list" allowBlank="1" showDropDown="1" showErrorMessage="1" sqref="A10 A16 A29 A35 C45:C176">
      <formula1>"Desert,Forest,Prairie,Swamp,Tundra"</formula1>
    </dataValidation>
    <dataValidation type="list" allowBlank="1" showDropDown="1" showErrorMessage="1" sqref="E45:E176">
      <formula1>"Devotee,Priest"</formula1>
    </dataValidation>
    <dataValidation type="list" allowBlank="1" showDropDown="1" showErrorMessage="1" sqref="B10:C10 B16:C16 B29:C29 B35:C35 D45:D176 F45:F176">
      <formula1>"Blue,Purple,S,SS,SSS,A,B"</formula1>
    </dataValidation>
    <dataValidation type="list" allowBlank="1" showErrorMessage="1" sqref="B3 B22">
      <formula1>"Desert,Forest,Prairie,Swamp,Tundra"</formula1>
    </dataValidation>
    <dataValidation type="list" allowBlank="1" showErrorMessage="1" sqref="B25 B31">
      <formula1>"Antlerfang,Antlergator,Aroundight (SS),Aroundight (SSS),Balmung (SS),Balmung (SSS),Batannos,Behemoth,Blazebuck,BretroCroc,Caiman,Cardimon,Centiger,Chaomon,Clouded Leopard,Cobradeer,Cobragator,Cobraking,Crocodeer,Crocowing,Crocthulu,Darkroc,Daz Tingo,Death"&amp;"bat,Demonic Flying Fox,Direantler,Dreadnose,Durandal (SS),Durandal (SSS),Eljudnir (SS),Eljudnir (SSS),Elkgator,Elkobra,Elkwing,Faramon,Flamethorn,Fragarach (SS),Fragarach (SSS),Gae Bolg (SS),Gae Bolg (SSS),Gandiva (SS),Gandiva (SSS),Gjallarhorn (SS),Gjall"&amp;"arhorn (SSS),Gloomdart,Goregator,Gram (SS),Gram (SSS),Griffin,Gullinbursti (SS),Gullinbursti (SSS),Gungnir (SS),Gungnir (SSS),Gurglethon,Harmticore,Hartblinker,Hellwing,Hydra,Hyperpaw,Ignilion,Ironhart,Joyeuse (SS),Joyeuse (SSS),Ladomon,Laevateinn (SS),La"&amp;"evateinn (SSS),Lunarcalf,Mantiger,Mantiharpy,Moose,Mystletainn (SS),Mystletainn (SSS),Netherstag,Pyroclad,Rattlecat,Rattlescone,Rattlesnake,Reindeer,Sabermoose,Sabertooth,Seachimera,Shorewing,Sleipnir (SS),Sleipnir (SSS),Smoremon,Snakebat,Snaketaur,Snaref"&amp;"ang,Sortisnake,Taromon,Tartigris,Tigergator,Tigermoose,Titanclaw,Titanimon,Tyrannocroc,Ugarmon,Vampire Bat,Vancedon,Venomander,Voidrake,Wraithwing,Yangzigator"</formula1>
    </dataValidation>
    <dataValidation type="list" allowBlank="1" showErrorMessage="1" sqref="B6 B12">
      <formula1>"Aegis (SS),Aegis (SSS),Avalon (SS),Avalon (SSS),Brionac (SS),Brionac (SSS),Brontoscorpio (SS),Brontoscorpio (SSS),Crocochad,Embergator,Harpy (SS),Harpy (SSS),Infernalisk,Leobat,Mammoth (SS),Mammoth (SSS),Megingjord (SS),Megingjord (SSS),Pegasus (SS),Pegas"&amp;"us (SSS),Pyromaw,Pythonwing,Stormander,T-Rex (SS),T-Rex (SSS),Typhon (SS),Typhon (SSS),Tyrfing (SS),Tyrfing (SSS)"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9.18" defaultRowHeight="15.0"/>
  <cols>
    <col customWidth="1" min="2" max="3" width="6.45"/>
    <col customWidth="1" min="4" max="4" width="8.27"/>
    <col customWidth="1" min="5" max="5" width="6.64"/>
    <col customWidth="1" min="7" max="8" width="6.45"/>
    <col customWidth="1" min="9" max="9" width="8.27"/>
    <col customWidth="1" min="10" max="10" width="6.64"/>
    <col customWidth="1" min="14" max="14" width="10.64"/>
    <col customWidth="1" min="15" max="15" width="7.55"/>
  </cols>
  <sheetData>
    <row r="1">
      <c r="A1" s="1113"/>
      <c r="B1" s="1114" t="s">
        <v>4629</v>
      </c>
      <c r="C1" s="687"/>
      <c r="D1" s="687"/>
      <c r="E1" s="687"/>
      <c r="F1" s="688"/>
      <c r="G1" s="1114" t="s">
        <v>4630</v>
      </c>
      <c r="H1" s="687"/>
      <c r="I1" s="687"/>
      <c r="J1" s="687"/>
      <c r="K1" s="68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115" t="s">
        <v>4631</v>
      </c>
      <c r="B2" s="22" t="s">
        <v>1188</v>
      </c>
      <c r="C2" s="25" t="s">
        <v>1266</v>
      </c>
      <c r="D2" s="25" t="s">
        <v>1140</v>
      </c>
      <c r="E2" s="25" t="s">
        <v>3810</v>
      </c>
      <c r="F2" s="48" t="s">
        <v>4632</v>
      </c>
      <c r="G2" s="22" t="s">
        <v>4633</v>
      </c>
      <c r="H2" s="25" t="s">
        <v>4634</v>
      </c>
      <c r="I2" s="25" t="s">
        <v>4635</v>
      </c>
      <c r="J2" s="25" t="s">
        <v>4636</v>
      </c>
      <c r="K2" s="48" t="s">
        <v>4637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116">
        <v>1.0</v>
      </c>
      <c r="B3" s="1117"/>
      <c r="C3" s="1118"/>
      <c r="D3" s="1118"/>
      <c r="E3" s="1118"/>
      <c r="F3" s="1119"/>
      <c r="G3" s="1117"/>
      <c r="H3" s="1118"/>
      <c r="I3" s="1118"/>
      <c r="J3" s="1120">
        <v>150538.0</v>
      </c>
      <c r="K3" s="150"/>
      <c r="L3" s="18"/>
      <c r="M3" s="54" t="s">
        <v>4638</v>
      </c>
      <c r="N3" s="54" t="s">
        <v>4639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116">
        <v>2.0</v>
      </c>
      <c r="B4" s="1117"/>
      <c r="C4" s="1118"/>
      <c r="D4" s="1118"/>
      <c r="E4" s="1118"/>
      <c r="F4" s="1119"/>
      <c r="G4" s="1117"/>
      <c r="H4" s="1118"/>
      <c r="I4" s="1118"/>
      <c r="J4" s="1120">
        <v>150538.0</v>
      </c>
      <c r="K4" s="150"/>
      <c r="L4" s="18"/>
      <c r="M4" s="1121">
        <v>251000.0</v>
      </c>
      <c r="N4" s="31">
        <f t="array" ref="N4">INDEX(A3:A100,MATCH(M4,J3:J100,1),0)</f>
        <v>84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116">
        <v>3.0</v>
      </c>
      <c r="B5" s="1117"/>
      <c r="C5" s="1118"/>
      <c r="D5" s="1118"/>
      <c r="E5" s="1118"/>
      <c r="F5" s="1119"/>
      <c r="G5" s="1117"/>
      <c r="H5" s="1118"/>
      <c r="I5" s="1118"/>
      <c r="J5" s="1120">
        <v>150538.0</v>
      </c>
      <c r="K5" s="150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116">
        <v>4.0</v>
      </c>
      <c r="B6" s="1117"/>
      <c r="C6" s="1118"/>
      <c r="D6" s="1118"/>
      <c r="E6" s="1118"/>
      <c r="F6" s="1119"/>
      <c r="G6" s="1117"/>
      <c r="H6" s="1118"/>
      <c r="I6" s="1118"/>
      <c r="J6" s="1120">
        <v>150538.0</v>
      </c>
      <c r="K6" s="150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116">
        <v>5.0</v>
      </c>
      <c r="B7" s="1117"/>
      <c r="C7" s="1118"/>
      <c r="D7" s="1118"/>
      <c r="E7" s="1118"/>
      <c r="F7" s="1119"/>
      <c r="G7" s="1117"/>
      <c r="H7" s="1118"/>
      <c r="I7" s="1118"/>
      <c r="J7" s="1120">
        <v>150538.0</v>
      </c>
      <c r="K7" s="150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116">
        <v>6.0</v>
      </c>
      <c r="B8" s="1117"/>
      <c r="C8" s="1118"/>
      <c r="D8" s="1118"/>
      <c r="E8" s="1118"/>
      <c r="F8" s="1119"/>
      <c r="G8" s="1117"/>
      <c r="H8" s="1118"/>
      <c r="I8" s="1118"/>
      <c r="J8" s="1120">
        <v>150538.0</v>
      </c>
      <c r="K8" s="150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116">
        <v>7.0</v>
      </c>
      <c r="B9" s="1117"/>
      <c r="C9" s="1118"/>
      <c r="D9" s="1118"/>
      <c r="E9" s="1118"/>
      <c r="F9" s="1119"/>
      <c r="G9" s="1117"/>
      <c r="H9" s="1118"/>
      <c r="I9" s="1118"/>
      <c r="J9" s="1120">
        <v>150538.0</v>
      </c>
      <c r="K9" s="150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116">
        <v>8.0</v>
      </c>
      <c r="B10" s="1117"/>
      <c r="C10" s="1118"/>
      <c r="D10" s="1118"/>
      <c r="E10" s="1118"/>
      <c r="F10" s="1119"/>
      <c r="G10" s="1117"/>
      <c r="H10" s="1118"/>
      <c r="I10" s="1118"/>
      <c r="J10" s="1120">
        <v>150538.0</v>
      </c>
      <c r="K10" s="150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116">
        <v>9.0</v>
      </c>
      <c r="B11" s="1117"/>
      <c r="C11" s="1118"/>
      <c r="D11" s="1118"/>
      <c r="E11" s="1118"/>
      <c r="F11" s="1119"/>
      <c r="G11" s="1117"/>
      <c r="H11" s="1118"/>
      <c r="I11" s="1118"/>
      <c r="J11" s="1120">
        <v>150538.0</v>
      </c>
      <c r="K11" s="150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116">
        <v>10.0</v>
      </c>
      <c r="B12" s="1117"/>
      <c r="C12" s="1118"/>
      <c r="D12" s="1118"/>
      <c r="E12" s="1118"/>
      <c r="F12" s="1119"/>
      <c r="G12" s="1117"/>
      <c r="H12" s="1118"/>
      <c r="I12" s="1118"/>
      <c r="J12" s="1120">
        <v>150538.0</v>
      </c>
      <c r="K12" s="150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116">
        <v>11.0</v>
      </c>
      <c r="B13" s="1117"/>
      <c r="C13" s="1118"/>
      <c r="D13" s="1118"/>
      <c r="E13" s="1118"/>
      <c r="F13" s="1119"/>
      <c r="G13" s="1117"/>
      <c r="H13" s="1118"/>
      <c r="I13" s="1118"/>
      <c r="J13" s="1120">
        <v>150538.0</v>
      </c>
      <c r="K13" s="150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116">
        <v>12.0</v>
      </c>
      <c r="B14" s="1117"/>
      <c r="C14" s="1118"/>
      <c r="D14" s="1118"/>
      <c r="E14" s="1118"/>
      <c r="F14" s="1119"/>
      <c r="G14" s="1117"/>
      <c r="H14" s="1118"/>
      <c r="I14" s="1118"/>
      <c r="J14" s="1120">
        <v>150538.0</v>
      </c>
      <c r="K14" s="150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116">
        <v>13.0</v>
      </c>
      <c r="B15" s="1117"/>
      <c r="C15" s="1118"/>
      <c r="D15" s="1118"/>
      <c r="E15" s="1118"/>
      <c r="F15" s="1119"/>
      <c r="G15" s="1117"/>
      <c r="H15" s="1118"/>
      <c r="I15" s="1118"/>
      <c r="J15" s="1120">
        <v>150538.0</v>
      </c>
      <c r="K15" s="150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116">
        <v>14.0</v>
      </c>
      <c r="B16" s="1117"/>
      <c r="C16" s="1118"/>
      <c r="D16" s="1118"/>
      <c r="E16" s="1118"/>
      <c r="F16" s="1119"/>
      <c r="G16" s="1117"/>
      <c r="H16" s="1118"/>
      <c r="I16" s="1118"/>
      <c r="J16" s="1120">
        <v>150538.0</v>
      </c>
      <c r="K16" s="150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116">
        <v>15.0</v>
      </c>
      <c r="B17" s="1117"/>
      <c r="C17" s="1118"/>
      <c r="D17" s="1118"/>
      <c r="E17" s="1118"/>
      <c r="F17" s="1119"/>
      <c r="G17" s="1117"/>
      <c r="H17" s="1118"/>
      <c r="I17" s="1118"/>
      <c r="J17" s="1120">
        <v>150538.0</v>
      </c>
      <c r="K17" s="150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116">
        <v>16.0</v>
      </c>
      <c r="B18" s="1117"/>
      <c r="C18" s="1118"/>
      <c r="D18" s="1118"/>
      <c r="E18" s="1118"/>
      <c r="F18" s="1119"/>
      <c r="G18" s="1117"/>
      <c r="H18" s="1118"/>
      <c r="I18" s="1118"/>
      <c r="J18" s="1120">
        <v>150538.0</v>
      </c>
      <c r="K18" s="150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116">
        <v>17.0</v>
      </c>
      <c r="B19" s="1117"/>
      <c r="C19" s="1118"/>
      <c r="D19" s="1118"/>
      <c r="E19" s="1118"/>
      <c r="F19" s="1119"/>
      <c r="G19" s="1117"/>
      <c r="H19" s="1118"/>
      <c r="I19" s="1118"/>
      <c r="J19" s="1120">
        <v>150538.0</v>
      </c>
      <c r="K19" s="150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116">
        <v>18.0</v>
      </c>
      <c r="B20" s="1117"/>
      <c r="C20" s="1118"/>
      <c r="D20" s="1118"/>
      <c r="E20" s="1118"/>
      <c r="F20" s="1119"/>
      <c r="G20" s="1117"/>
      <c r="H20" s="1118"/>
      <c r="I20" s="1118"/>
      <c r="J20" s="1120">
        <v>150538.0</v>
      </c>
      <c r="K20" s="150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116">
        <v>19.0</v>
      </c>
      <c r="B21" s="1117"/>
      <c r="C21" s="1118"/>
      <c r="D21" s="1118"/>
      <c r="E21" s="1118"/>
      <c r="F21" s="1119"/>
      <c r="G21" s="1117"/>
      <c r="H21" s="1118"/>
      <c r="I21" s="1118"/>
      <c r="J21" s="1120">
        <v>150538.0</v>
      </c>
      <c r="K21" s="150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116">
        <v>20.0</v>
      </c>
      <c r="B22" s="1117"/>
      <c r="C22" s="1118"/>
      <c r="D22" s="1118"/>
      <c r="E22" s="1118"/>
      <c r="F22" s="1119"/>
      <c r="G22" s="1117"/>
      <c r="H22" s="1118"/>
      <c r="I22" s="1118"/>
      <c r="J22" s="1120">
        <v>150538.0</v>
      </c>
      <c r="K22" s="150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116">
        <v>21.0</v>
      </c>
      <c r="B23" s="1117"/>
      <c r="C23" s="1118"/>
      <c r="D23" s="1118"/>
      <c r="E23" s="1118"/>
      <c r="F23" s="1119"/>
      <c r="G23" s="1117"/>
      <c r="H23" s="1118"/>
      <c r="I23" s="1118"/>
      <c r="J23" s="1120">
        <v>150538.0</v>
      </c>
      <c r="K23" s="150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116">
        <v>22.0</v>
      </c>
      <c r="B24" s="1117"/>
      <c r="C24" s="1118"/>
      <c r="D24" s="1118"/>
      <c r="E24" s="1118"/>
      <c r="F24" s="1119"/>
      <c r="G24" s="1117"/>
      <c r="H24" s="1118"/>
      <c r="I24" s="1118"/>
      <c r="J24" s="1120">
        <v>150538.0</v>
      </c>
      <c r="K24" s="150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116">
        <v>23.0</v>
      </c>
      <c r="B25" s="1117"/>
      <c r="C25" s="1118"/>
      <c r="D25" s="1118"/>
      <c r="E25" s="1118"/>
      <c r="F25" s="1119"/>
      <c r="G25" s="1117"/>
      <c r="H25" s="1118"/>
      <c r="I25" s="1118"/>
      <c r="J25" s="1120">
        <v>150538.0</v>
      </c>
      <c r="K25" s="150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116">
        <v>24.0</v>
      </c>
      <c r="B26" s="1117"/>
      <c r="C26" s="1118"/>
      <c r="D26" s="1118"/>
      <c r="E26" s="1118"/>
      <c r="F26" s="1119"/>
      <c r="G26" s="1117"/>
      <c r="H26" s="1118"/>
      <c r="I26" s="1118"/>
      <c r="J26" s="1120">
        <v>150538.0</v>
      </c>
      <c r="K26" s="150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116">
        <v>25.0</v>
      </c>
      <c r="B27" s="1117"/>
      <c r="C27" s="1118"/>
      <c r="D27" s="1118"/>
      <c r="E27" s="1118"/>
      <c r="F27" s="1119"/>
      <c r="G27" s="1117"/>
      <c r="H27" s="1118"/>
      <c r="I27" s="1118"/>
      <c r="J27" s="1120">
        <v>150538.0</v>
      </c>
      <c r="K27" s="150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116">
        <v>26.0</v>
      </c>
      <c r="B28" s="1117"/>
      <c r="C28" s="1118"/>
      <c r="D28" s="1118"/>
      <c r="E28" s="1118"/>
      <c r="F28" s="1119"/>
      <c r="G28" s="1117"/>
      <c r="H28" s="1118"/>
      <c r="I28" s="1118"/>
      <c r="J28" s="1120">
        <v>150538.0</v>
      </c>
      <c r="K28" s="150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116">
        <v>27.0</v>
      </c>
      <c r="B29" s="1117"/>
      <c r="C29" s="1118"/>
      <c r="D29" s="1118"/>
      <c r="E29" s="1118"/>
      <c r="F29" s="1119"/>
      <c r="G29" s="1117"/>
      <c r="H29" s="1118"/>
      <c r="I29" s="1118"/>
      <c r="J29" s="1120">
        <v>150538.0</v>
      </c>
      <c r="K29" s="150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116">
        <v>28.0</v>
      </c>
      <c r="B30" s="1117"/>
      <c r="C30" s="1118"/>
      <c r="D30" s="1118"/>
      <c r="E30" s="1118"/>
      <c r="F30" s="1119"/>
      <c r="G30" s="1117"/>
      <c r="H30" s="1118"/>
      <c r="I30" s="1118"/>
      <c r="J30" s="1120">
        <v>150538.0</v>
      </c>
      <c r="K30" s="150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116">
        <v>29.0</v>
      </c>
      <c r="B31" s="1117"/>
      <c r="C31" s="1118"/>
      <c r="D31" s="1118"/>
      <c r="E31" s="1118"/>
      <c r="F31" s="1119"/>
      <c r="G31" s="1117"/>
      <c r="H31" s="1118"/>
      <c r="I31" s="1118"/>
      <c r="J31" s="1120">
        <v>150538.0</v>
      </c>
      <c r="K31" s="150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116">
        <v>30.0</v>
      </c>
      <c r="B32" s="1117"/>
      <c r="C32" s="1118"/>
      <c r="D32" s="1118"/>
      <c r="E32" s="1118"/>
      <c r="F32" s="1119"/>
      <c r="G32" s="1117"/>
      <c r="H32" s="1118"/>
      <c r="I32" s="1118"/>
      <c r="J32" s="1120">
        <v>150538.0</v>
      </c>
      <c r="K32" s="150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116">
        <v>31.0</v>
      </c>
      <c r="B33" s="1117"/>
      <c r="C33" s="1118"/>
      <c r="D33" s="1118"/>
      <c r="E33" s="1118"/>
      <c r="F33" s="1119"/>
      <c r="G33" s="1117"/>
      <c r="H33" s="1118"/>
      <c r="I33" s="1118"/>
      <c r="J33" s="1120">
        <v>150538.0</v>
      </c>
      <c r="K33" s="150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116">
        <v>32.0</v>
      </c>
      <c r="B34" s="1117"/>
      <c r="C34" s="1118"/>
      <c r="D34" s="1118"/>
      <c r="E34" s="1118"/>
      <c r="F34" s="1119"/>
      <c r="G34" s="1117"/>
      <c r="H34" s="1118"/>
      <c r="I34" s="1118"/>
      <c r="J34" s="1120">
        <v>150538.0</v>
      </c>
      <c r="K34" s="150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116">
        <v>33.0</v>
      </c>
      <c r="B35" s="1117"/>
      <c r="C35" s="1118"/>
      <c r="D35" s="1118"/>
      <c r="E35" s="1118"/>
      <c r="F35" s="1119"/>
      <c r="G35" s="1117"/>
      <c r="H35" s="1118"/>
      <c r="I35" s="1118"/>
      <c r="J35" s="1120">
        <v>150538.0</v>
      </c>
      <c r="K35" s="150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116">
        <v>34.0</v>
      </c>
      <c r="B36" s="1117"/>
      <c r="C36" s="1118"/>
      <c r="D36" s="1118"/>
      <c r="E36" s="1118"/>
      <c r="F36" s="1119"/>
      <c r="G36" s="1117"/>
      <c r="H36" s="1118"/>
      <c r="I36" s="1118"/>
      <c r="J36" s="1120">
        <v>150538.0</v>
      </c>
      <c r="K36" s="150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116">
        <v>35.0</v>
      </c>
      <c r="B37" s="1117"/>
      <c r="C37" s="1118"/>
      <c r="D37" s="1118"/>
      <c r="E37" s="1118"/>
      <c r="F37" s="1119"/>
      <c r="G37" s="1117"/>
      <c r="H37" s="1118"/>
      <c r="I37" s="1118"/>
      <c r="J37" s="1120">
        <v>150538.0</v>
      </c>
      <c r="K37" s="150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116">
        <v>36.0</v>
      </c>
      <c r="B38" s="1117"/>
      <c r="C38" s="1118"/>
      <c r="D38" s="1118"/>
      <c r="E38" s="1118"/>
      <c r="F38" s="1119"/>
      <c r="G38" s="1117"/>
      <c r="H38" s="1118"/>
      <c r="I38" s="1118"/>
      <c r="J38" s="1120">
        <v>150538.0</v>
      </c>
      <c r="K38" s="15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116">
        <v>37.0</v>
      </c>
      <c r="B39" s="1117"/>
      <c r="C39" s="1118"/>
      <c r="D39" s="1118"/>
      <c r="E39" s="1118"/>
      <c r="F39" s="1119"/>
      <c r="G39" s="1117"/>
      <c r="H39" s="1118"/>
      <c r="I39" s="1118"/>
      <c r="J39" s="1120">
        <v>150538.0</v>
      </c>
      <c r="K39" s="150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116">
        <v>38.0</v>
      </c>
      <c r="B40" s="1117"/>
      <c r="C40" s="1118"/>
      <c r="D40" s="1118"/>
      <c r="E40" s="1118"/>
      <c r="F40" s="1119"/>
      <c r="G40" s="1117"/>
      <c r="H40" s="1118"/>
      <c r="I40" s="1118"/>
      <c r="J40" s="1120">
        <v>150538.0</v>
      </c>
      <c r="K40" s="150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116">
        <v>39.0</v>
      </c>
      <c r="B41" s="1117"/>
      <c r="C41" s="1118"/>
      <c r="D41" s="1118"/>
      <c r="E41" s="1118"/>
      <c r="F41" s="1119"/>
      <c r="G41" s="1117"/>
      <c r="H41" s="1118"/>
      <c r="I41" s="1118"/>
      <c r="J41" s="1120">
        <v>150538.0</v>
      </c>
      <c r="K41" s="150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116">
        <v>40.0</v>
      </c>
      <c r="B42" s="1117"/>
      <c r="C42" s="1118"/>
      <c r="D42" s="1118"/>
      <c r="E42" s="1118"/>
      <c r="F42" s="1119"/>
      <c r="G42" s="1117"/>
      <c r="H42" s="1118"/>
      <c r="I42" s="1118"/>
      <c r="J42" s="1120">
        <v>150538.0</v>
      </c>
      <c r="K42" s="150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116">
        <v>41.0</v>
      </c>
      <c r="B43" s="1117"/>
      <c r="C43" s="1118"/>
      <c r="D43" s="1118"/>
      <c r="E43" s="1118"/>
      <c r="F43" s="1119"/>
      <c r="G43" s="1117"/>
      <c r="H43" s="1118"/>
      <c r="I43" s="1118"/>
      <c r="J43" s="1120">
        <v>150538.0</v>
      </c>
      <c r="K43" s="150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116">
        <v>42.0</v>
      </c>
      <c r="B44" s="1117"/>
      <c r="C44" s="1118"/>
      <c r="D44" s="1118"/>
      <c r="E44" s="1118"/>
      <c r="F44" s="1119"/>
      <c r="G44" s="1117"/>
      <c r="H44" s="1118"/>
      <c r="I44" s="1118"/>
      <c r="J44" s="1120">
        <v>150538.0</v>
      </c>
      <c r="K44" s="150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116">
        <v>43.0</v>
      </c>
      <c r="B45" s="1117"/>
      <c r="C45" s="1118"/>
      <c r="D45" s="1118"/>
      <c r="E45" s="1118"/>
      <c r="F45" s="1119"/>
      <c r="G45" s="1117"/>
      <c r="H45" s="1118"/>
      <c r="I45" s="1118"/>
      <c r="J45" s="1120">
        <v>150538.0</v>
      </c>
      <c r="K45" s="150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116">
        <v>44.0</v>
      </c>
      <c r="B46" s="1117"/>
      <c r="C46" s="1118"/>
      <c r="D46" s="1118"/>
      <c r="E46" s="1118"/>
      <c r="F46" s="1119"/>
      <c r="G46" s="1117"/>
      <c r="H46" s="1118"/>
      <c r="I46" s="1118"/>
      <c r="J46" s="1120">
        <v>150538.0</v>
      </c>
      <c r="K46" s="150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116">
        <v>45.0</v>
      </c>
      <c r="B47" s="1117"/>
      <c r="C47" s="1118"/>
      <c r="D47" s="1118"/>
      <c r="E47" s="1118"/>
      <c r="F47" s="1119"/>
      <c r="G47" s="1117"/>
      <c r="H47" s="1118"/>
      <c r="I47" s="1118"/>
      <c r="J47" s="1120">
        <v>150538.0</v>
      </c>
      <c r="K47" s="150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116">
        <v>46.0</v>
      </c>
      <c r="B48" s="1117"/>
      <c r="C48" s="1118"/>
      <c r="D48" s="1118"/>
      <c r="E48" s="1118"/>
      <c r="F48" s="1119"/>
      <c r="G48" s="1117"/>
      <c r="H48" s="1118"/>
      <c r="I48" s="1118"/>
      <c r="J48" s="1120">
        <v>150538.0</v>
      </c>
      <c r="K48" s="150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116">
        <v>47.0</v>
      </c>
      <c r="B49" s="1117"/>
      <c r="C49" s="1118"/>
      <c r="D49" s="1118"/>
      <c r="E49" s="1118"/>
      <c r="F49" s="1119"/>
      <c r="G49" s="1117"/>
      <c r="H49" s="1118"/>
      <c r="I49" s="1118"/>
      <c r="J49" s="1120">
        <v>150538.0</v>
      </c>
      <c r="K49" s="150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116">
        <v>48.0</v>
      </c>
      <c r="B50" s="1117"/>
      <c r="C50" s="1118"/>
      <c r="D50" s="1118"/>
      <c r="E50" s="1118"/>
      <c r="F50" s="1119"/>
      <c r="G50" s="1117"/>
      <c r="H50" s="1118"/>
      <c r="I50" s="1118"/>
      <c r="J50" s="1120">
        <v>150538.0</v>
      </c>
      <c r="K50" s="150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116">
        <v>49.0</v>
      </c>
      <c r="B51" s="1117"/>
      <c r="C51" s="1118"/>
      <c r="D51" s="1118"/>
      <c r="E51" s="1118"/>
      <c r="F51" s="1119"/>
      <c r="G51" s="1117"/>
      <c r="H51" s="1118"/>
      <c r="I51" s="1118"/>
      <c r="J51" s="1120">
        <v>150538.0</v>
      </c>
      <c r="K51" s="150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116">
        <v>50.0</v>
      </c>
      <c r="B52" s="1117"/>
      <c r="C52" s="1118"/>
      <c r="D52" s="1118"/>
      <c r="E52" s="1118"/>
      <c r="F52" s="1119"/>
      <c r="G52" s="1117"/>
      <c r="H52" s="1118"/>
      <c r="I52" s="1118"/>
      <c r="J52" s="1120">
        <v>150538.0</v>
      </c>
      <c r="K52" s="150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116">
        <v>51.0</v>
      </c>
      <c r="B53" s="1117"/>
      <c r="C53" s="1118"/>
      <c r="D53" s="1118"/>
      <c r="E53" s="1118"/>
      <c r="F53" s="1119"/>
      <c r="G53" s="1117"/>
      <c r="H53" s="1118"/>
      <c r="I53" s="1118"/>
      <c r="J53" s="1120">
        <v>150538.0</v>
      </c>
      <c r="K53" s="150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116">
        <v>52.0</v>
      </c>
      <c r="B54" s="1122">
        <v>89199.0</v>
      </c>
      <c r="C54" s="1120">
        <v>60703.0</v>
      </c>
      <c r="D54" s="1120">
        <v>2683474.0</v>
      </c>
      <c r="E54" s="1120">
        <v>103422.0</v>
      </c>
      <c r="F54" s="1119"/>
      <c r="G54" s="1122">
        <v>184294.0</v>
      </c>
      <c r="H54" s="1120">
        <v>156774.0</v>
      </c>
      <c r="I54" s="1120">
        <v>4979130.0</v>
      </c>
      <c r="J54" s="1120">
        <v>150538.0</v>
      </c>
      <c r="K54" s="150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123"/>
      <c r="X54" s="1123"/>
      <c r="Y54" s="1123"/>
      <c r="Z54" s="1123"/>
    </row>
    <row r="55">
      <c r="A55" s="1116">
        <v>53.0</v>
      </c>
      <c r="B55" s="1122">
        <v>92148.0</v>
      </c>
      <c r="C55" s="1120">
        <v>62710.0</v>
      </c>
      <c r="D55" s="1120">
        <v>2715940.0</v>
      </c>
      <c r="E55" s="1120">
        <v>107510.0</v>
      </c>
      <c r="F55" s="1119"/>
      <c r="G55" s="1122">
        <v>189461.0</v>
      </c>
      <c r="H55" s="1120">
        <v>161168.0</v>
      </c>
      <c r="I55" s="1120">
        <v>5021688.0</v>
      </c>
      <c r="J55" s="1120">
        <v>156683.0</v>
      </c>
      <c r="K55" s="150"/>
      <c r="L55" s="18"/>
      <c r="M55" s="1124">
        <f t="shared" ref="M55:P55" si="1">G55-G54</f>
        <v>5167</v>
      </c>
      <c r="N55" s="1124">
        <f t="shared" si="1"/>
        <v>4394</v>
      </c>
      <c r="O55" s="1124">
        <f t="shared" si="1"/>
        <v>42558</v>
      </c>
      <c r="P55" s="1124">
        <f t="shared" si="1"/>
        <v>6145</v>
      </c>
      <c r="Q55" s="18"/>
      <c r="R55" s="1124"/>
      <c r="S55" s="1124"/>
      <c r="T55" s="1124"/>
      <c r="U55" s="1124"/>
      <c r="V55" s="18"/>
      <c r="W55" s="1123"/>
      <c r="X55" s="1123"/>
      <c r="Y55" s="1123"/>
      <c r="Z55" s="1123"/>
    </row>
    <row r="56">
      <c r="A56" s="1116">
        <v>54.0</v>
      </c>
      <c r="B56" s="1122">
        <v>94730.0</v>
      </c>
      <c r="C56" s="1120">
        <v>64467.0</v>
      </c>
      <c r="D56" s="1120">
        <v>2977305.0</v>
      </c>
      <c r="E56" s="1120">
        <v>111847.0</v>
      </c>
      <c r="F56" s="1119"/>
      <c r="G56" s="1122">
        <v>195686.0</v>
      </c>
      <c r="H56" s="1120">
        <v>166464.0</v>
      </c>
      <c r="I56" s="1120">
        <v>5064246.0</v>
      </c>
      <c r="J56" s="1120">
        <v>162879.0</v>
      </c>
      <c r="K56" s="150"/>
      <c r="L56" s="18"/>
      <c r="M56" s="1124">
        <f t="shared" ref="M56:P56" si="2">G56-G55</f>
        <v>6225</v>
      </c>
      <c r="N56" s="1124">
        <f t="shared" si="2"/>
        <v>5296</v>
      </c>
      <c r="O56" s="1124">
        <f t="shared" si="2"/>
        <v>42558</v>
      </c>
      <c r="P56" s="1124">
        <f t="shared" si="2"/>
        <v>6196</v>
      </c>
      <c r="Q56" s="18"/>
      <c r="R56" s="1124"/>
      <c r="S56" s="1124"/>
      <c r="T56" s="1124"/>
      <c r="U56" s="1124"/>
      <c r="V56" s="18"/>
      <c r="W56" s="1123"/>
      <c r="X56" s="1123"/>
      <c r="Y56" s="1123"/>
      <c r="Z56" s="1123"/>
    </row>
    <row r="57">
      <c r="A57" s="1116">
        <v>55.0</v>
      </c>
      <c r="B57" s="1122">
        <v>97843.0</v>
      </c>
      <c r="C57" s="1120">
        <v>66586.0</v>
      </c>
      <c r="D57" s="1120">
        <v>3463754.0</v>
      </c>
      <c r="E57" s="1120">
        <v>116184.0</v>
      </c>
      <c r="F57" s="1119"/>
      <c r="G57" s="1122">
        <v>201856.0</v>
      </c>
      <c r="H57" s="1120">
        <v>171713.0</v>
      </c>
      <c r="I57" s="1120">
        <v>5108094.0</v>
      </c>
      <c r="J57" s="1120">
        <v>169074.0</v>
      </c>
      <c r="K57" s="150"/>
      <c r="L57" s="18"/>
      <c r="M57" s="1124">
        <f t="shared" ref="M57:P57" si="3">G57-G56</f>
        <v>6170</v>
      </c>
      <c r="N57" s="1124">
        <f t="shared" si="3"/>
        <v>5249</v>
      </c>
      <c r="O57" s="1124">
        <f t="shared" si="3"/>
        <v>43848</v>
      </c>
      <c r="P57" s="1124">
        <f t="shared" si="3"/>
        <v>6195</v>
      </c>
      <c r="Q57" s="18"/>
      <c r="R57" s="1124"/>
      <c r="S57" s="1124"/>
      <c r="T57" s="1124"/>
      <c r="U57" s="1124"/>
      <c r="V57" s="18"/>
      <c r="W57" s="1123"/>
      <c r="X57" s="1123"/>
      <c r="Y57" s="1123"/>
      <c r="Z57" s="1123"/>
    </row>
    <row r="58">
      <c r="A58" s="1116">
        <v>56.0</v>
      </c>
      <c r="B58" s="1122">
        <v>100928.0</v>
      </c>
      <c r="C58" s="1120">
        <v>68685.0</v>
      </c>
      <c r="D58" s="1120">
        <v>3763859.0</v>
      </c>
      <c r="E58" s="1120">
        <v>120521.0</v>
      </c>
      <c r="F58" s="1119"/>
      <c r="G58" s="1122">
        <v>207823.0</v>
      </c>
      <c r="H58" s="1120">
        <v>176788.0</v>
      </c>
      <c r="I58" s="1120">
        <v>5542300.0</v>
      </c>
      <c r="J58" s="1120">
        <v>175270.0</v>
      </c>
      <c r="K58" s="150"/>
      <c r="L58" s="18"/>
      <c r="M58" s="1124">
        <f t="shared" ref="M58:P58" si="4">G58-G57</f>
        <v>5967</v>
      </c>
      <c r="N58" s="1124">
        <f t="shared" si="4"/>
        <v>5075</v>
      </c>
      <c r="O58" s="1124">
        <f t="shared" si="4"/>
        <v>434206</v>
      </c>
      <c r="P58" s="1124">
        <f t="shared" si="4"/>
        <v>6196</v>
      </c>
      <c r="Q58" s="18"/>
      <c r="R58" s="1124"/>
      <c r="S58" s="1124"/>
      <c r="T58" s="1124"/>
      <c r="U58" s="1124"/>
      <c r="V58" s="18"/>
      <c r="W58" s="1123"/>
      <c r="X58" s="1123"/>
      <c r="Y58" s="1123"/>
      <c r="Z58" s="1123"/>
    </row>
    <row r="59">
      <c r="A59" s="1116">
        <v>57.0</v>
      </c>
      <c r="B59" s="1122">
        <v>103912.0</v>
      </c>
      <c r="C59" s="1120">
        <v>70715.0</v>
      </c>
      <c r="D59" s="1120">
        <v>4073591.0</v>
      </c>
      <c r="E59" s="1120">
        <v>122689.0</v>
      </c>
      <c r="F59" s="1119"/>
      <c r="G59" s="1122">
        <v>213696.0</v>
      </c>
      <c r="H59" s="1120">
        <v>181784.0</v>
      </c>
      <c r="I59" s="1120">
        <v>6017975.0</v>
      </c>
      <c r="J59" s="1120">
        <v>178935.0</v>
      </c>
      <c r="K59" s="150"/>
      <c r="L59" s="18"/>
      <c r="M59" s="1124">
        <f t="shared" ref="M59:P59" si="5">G59-G58</f>
        <v>5873</v>
      </c>
      <c r="N59" s="1124">
        <f t="shared" si="5"/>
        <v>4996</v>
      </c>
      <c r="O59" s="1124">
        <f t="shared" si="5"/>
        <v>475675</v>
      </c>
      <c r="P59" s="1124">
        <f t="shared" si="5"/>
        <v>3665</v>
      </c>
      <c r="Q59" s="18"/>
      <c r="R59" s="1124"/>
      <c r="S59" s="1124"/>
      <c r="T59" s="1124"/>
      <c r="U59" s="1124"/>
      <c r="V59" s="18"/>
      <c r="W59" s="1123"/>
      <c r="X59" s="1123"/>
      <c r="Y59" s="1123"/>
      <c r="Z59" s="1123"/>
    </row>
    <row r="60">
      <c r="A60" s="1116">
        <v>59.0</v>
      </c>
      <c r="B60" s="1122">
        <v>106848.0</v>
      </c>
      <c r="C60" s="1120">
        <v>72714.0</v>
      </c>
      <c r="D60" s="1120">
        <v>4413181.0</v>
      </c>
      <c r="E60" s="1120">
        <v>125255.0</v>
      </c>
      <c r="F60" s="1119"/>
      <c r="G60" s="1122">
        <v>220089.0</v>
      </c>
      <c r="H60" s="1120">
        <v>187223.0</v>
      </c>
      <c r="I60" s="1120">
        <v>6482457.0</v>
      </c>
      <c r="J60" s="1120">
        <v>182570.0</v>
      </c>
      <c r="K60" s="150"/>
      <c r="L60" s="18"/>
      <c r="M60" s="1124">
        <f t="shared" ref="M60:P60" si="6">G60-G59</f>
        <v>6393</v>
      </c>
      <c r="N60" s="1124">
        <f t="shared" si="6"/>
        <v>5439</v>
      </c>
      <c r="O60" s="1124">
        <f t="shared" si="6"/>
        <v>464482</v>
      </c>
      <c r="P60" s="1124">
        <f t="shared" si="6"/>
        <v>3635</v>
      </c>
      <c r="Q60" s="18"/>
      <c r="R60" s="1124"/>
      <c r="S60" s="1124"/>
      <c r="T60" s="1124"/>
      <c r="U60" s="1124"/>
      <c r="V60" s="18"/>
      <c r="W60" s="1123"/>
      <c r="X60" s="1123"/>
      <c r="Y60" s="1123"/>
      <c r="Z60" s="1123"/>
    </row>
    <row r="61">
      <c r="A61" s="1116">
        <v>60.0</v>
      </c>
      <c r="B61" s="1122">
        <v>110045.0</v>
      </c>
      <c r="C61" s="1120">
        <v>74889.0</v>
      </c>
      <c r="D61" s="1120">
        <v>4743980.0</v>
      </c>
      <c r="E61" s="1120">
        <v>127799.0</v>
      </c>
      <c r="F61" s="1119"/>
      <c r="G61" s="1122">
        <v>225442.0</v>
      </c>
      <c r="H61" s="1120">
        <v>191777.0</v>
      </c>
      <c r="I61" s="1120">
        <v>6981725.0</v>
      </c>
      <c r="J61" s="1120">
        <v>186200.0</v>
      </c>
      <c r="K61" s="150"/>
      <c r="L61" s="18"/>
      <c r="M61" s="1124">
        <f t="shared" ref="M61:P61" si="7">G61-G60</f>
        <v>5353</v>
      </c>
      <c r="N61" s="1124">
        <f t="shared" si="7"/>
        <v>4554</v>
      </c>
      <c r="O61" s="1124">
        <f t="shared" si="7"/>
        <v>499268</v>
      </c>
      <c r="P61" s="1124">
        <f t="shared" si="7"/>
        <v>3630</v>
      </c>
      <c r="Q61" s="18"/>
      <c r="R61" s="1124"/>
      <c r="S61" s="1124"/>
      <c r="T61" s="1124"/>
      <c r="U61" s="1124"/>
      <c r="V61" s="18"/>
      <c r="W61" s="1123"/>
      <c r="X61" s="1123"/>
      <c r="Y61" s="1123"/>
      <c r="Z61" s="1123"/>
    </row>
    <row r="62">
      <c r="A62" s="1116">
        <v>61.0</v>
      </c>
      <c r="B62" s="1122">
        <v>112721.0</v>
      </c>
      <c r="C62" s="1120">
        <v>76711.0</v>
      </c>
      <c r="D62" s="1120">
        <v>5099695.0</v>
      </c>
      <c r="E62" s="1120">
        <v>130340.0</v>
      </c>
      <c r="F62" s="1125"/>
      <c r="G62" s="1122">
        <v>231156.0</v>
      </c>
      <c r="H62" s="1120">
        <v>196637.0</v>
      </c>
      <c r="I62" s="1120">
        <v>7622618.0</v>
      </c>
      <c r="J62" s="1120">
        <v>190160.0</v>
      </c>
      <c r="K62" s="108"/>
      <c r="L62" s="18"/>
      <c r="M62" s="1124">
        <f t="shared" ref="M62:P62" si="8">G62-G61</f>
        <v>5714</v>
      </c>
      <c r="N62" s="1124">
        <f t="shared" si="8"/>
        <v>4860</v>
      </c>
      <c r="O62" s="1124">
        <f t="shared" si="8"/>
        <v>640893</v>
      </c>
      <c r="P62" s="1124">
        <f t="shared" si="8"/>
        <v>3960</v>
      </c>
      <c r="Q62" s="18"/>
      <c r="R62" s="1124"/>
      <c r="S62" s="1124"/>
      <c r="T62" s="1124"/>
      <c r="U62" s="1124"/>
      <c r="V62" s="18"/>
      <c r="W62" s="1123"/>
      <c r="X62" s="1123"/>
      <c r="Y62" s="1123"/>
      <c r="Z62" s="1123"/>
    </row>
    <row r="63">
      <c r="A63" s="1116">
        <v>62.0</v>
      </c>
      <c r="B63" s="1122">
        <v>115578.0</v>
      </c>
      <c r="C63" s="1120">
        <v>78655.0</v>
      </c>
      <c r="D63" s="1120">
        <v>5449176.0</v>
      </c>
      <c r="E63" s="1120">
        <v>133112.0</v>
      </c>
      <c r="F63" s="1125"/>
      <c r="G63" s="1122">
        <v>237780.0</v>
      </c>
      <c r="H63" s="1120">
        <v>202272.0</v>
      </c>
      <c r="I63" s="1120">
        <v>8354368.0</v>
      </c>
      <c r="J63" s="1120">
        <v>194365.0</v>
      </c>
      <c r="K63" s="108"/>
      <c r="L63" s="18"/>
      <c r="M63" s="1124">
        <f t="shared" ref="M63:P63" si="9">G63-G62</f>
        <v>6624</v>
      </c>
      <c r="N63" s="1124">
        <f t="shared" si="9"/>
        <v>5635</v>
      </c>
      <c r="O63" s="1124">
        <f t="shared" si="9"/>
        <v>731750</v>
      </c>
      <c r="P63" s="1124">
        <f t="shared" si="9"/>
        <v>4205</v>
      </c>
      <c r="Q63" s="18"/>
      <c r="R63" s="1124"/>
      <c r="S63" s="1124"/>
      <c r="T63" s="1124"/>
      <c r="U63" s="1124"/>
      <c r="V63" s="18"/>
      <c r="W63" s="1123"/>
      <c r="X63" s="1123"/>
      <c r="Y63" s="1123"/>
      <c r="Z63" s="1123"/>
    </row>
    <row r="64">
      <c r="A64" s="1116">
        <v>63.0</v>
      </c>
      <c r="B64" s="1122">
        <v>118890.0</v>
      </c>
      <c r="C64" s="1120">
        <v>80909.0</v>
      </c>
      <c r="D64" s="1120">
        <v>5848057.0</v>
      </c>
      <c r="E64" s="1120">
        <v>136056.0</v>
      </c>
      <c r="F64" s="1125"/>
      <c r="G64" s="1122">
        <v>244404.0</v>
      </c>
      <c r="H64" s="1120">
        <v>207907.0</v>
      </c>
      <c r="I64" s="1120">
        <v>9302316.0</v>
      </c>
      <c r="J64" s="1120">
        <v>198610.0</v>
      </c>
      <c r="K64" s="108"/>
      <c r="L64" s="18"/>
      <c r="M64" s="1124">
        <f t="shared" ref="M64:P64" si="10">G64-G63</f>
        <v>6624</v>
      </c>
      <c r="N64" s="1124">
        <f t="shared" si="10"/>
        <v>5635</v>
      </c>
      <c r="O64" s="1124">
        <f t="shared" si="10"/>
        <v>947948</v>
      </c>
      <c r="P64" s="1124">
        <f t="shared" si="10"/>
        <v>4245</v>
      </c>
      <c r="Q64" s="18"/>
      <c r="R64" s="1124"/>
      <c r="S64" s="1124"/>
      <c r="T64" s="1124"/>
      <c r="U64" s="1124"/>
      <c r="V64" s="18"/>
      <c r="W64" s="1123"/>
      <c r="X64" s="1123"/>
      <c r="Y64" s="1123"/>
      <c r="Z64" s="1123"/>
    </row>
    <row r="65">
      <c r="A65" s="1116">
        <v>64.0</v>
      </c>
      <c r="B65" s="1122">
        <v>122202.0</v>
      </c>
      <c r="C65" s="1120">
        <v>83163.0</v>
      </c>
      <c r="D65" s="1120">
        <v>6261174.0</v>
      </c>
      <c r="E65" s="1120">
        <v>139027.0</v>
      </c>
      <c r="F65" s="1125"/>
      <c r="G65" s="1122">
        <v>251028.0</v>
      </c>
      <c r="H65" s="1120">
        <v>213542.0</v>
      </c>
      <c r="I65" s="1120">
        <v>1.0135202E7</v>
      </c>
      <c r="J65" s="1120">
        <v>202815.0</v>
      </c>
      <c r="K65" s="108"/>
      <c r="L65" s="18"/>
      <c r="M65" s="1124">
        <f t="shared" ref="M65:P65" si="11">G65-G64</f>
        <v>6624</v>
      </c>
      <c r="N65" s="1124">
        <f t="shared" si="11"/>
        <v>5635</v>
      </c>
      <c r="O65" s="1124">
        <f t="shared" si="11"/>
        <v>832886</v>
      </c>
      <c r="P65" s="1124">
        <f t="shared" si="11"/>
        <v>4205</v>
      </c>
      <c r="Q65" s="18"/>
      <c r="R65" s="1124"/>
      <c r="S65" s="1124"/>
      <c r="T65" s="1124"/>
      <c r="U65" s="1124"/>
      <c r="V65" s="18"/>
      <c r="W65" s="1123"/>
      <c r="X65" s="1123"/>
      <c r="Y65" s="1123"/>
      <c r="Z65" s="1123"/>
    </row>
    <row r="66">
      <c r="A66" s="1116">
        <v>65.0</v>
      </c>
      <c r="B66" s="1122">
        <v>125514.0</v>
      </c>
      <c r="C66" s="1120">
        <v>85417.0</v>
      </c>
      <c r="D66" s="1120">
        <v>6688551.0</v>
      </c>
      <c r="E66" s="1120">
        <v>141971.0</v>
      </c>
      <c r="F66" s="1125"/>
      <c r="G66" s="1122">
        <v>257690.0</v>
      </c>
      <c r="H66" s="1120">
        <v>219209.0</v>
      </c>
      <c r="I66" s="1120">
        <v>1.1015444E7</v>
      </c>
      <c r="J66" s="1120">
        <v>207065.0</v>
      </c>
      <c r="K66" s="108"/>
      <c r="L66" s="18"/>
      <c r="M66" s="1124">
        <f t="shared" ref="M66:P66" si="12">G66-G65</f>
        <v>6662</v>
      </c>
      <c r="N66" s="1124">
        <f t="shared" si="12"/>
        <v>5667</v>
      </c>
      <c r="O66" s="1124">
        <f t="shared" si="12"/>
        <v>880242</v>
      </c>
      <c r="P66" s="1124">
        <f t="shared" si="12"/>
        <v>4250</v>
      </c>
      <c r="Q66" s="18"/>
      <c r="R66" s="1124"/>
      <c r="S66" s="1124"/>
      <c r="T66" s="1124"/>
      <c r="U66" s="1124"/>
      <c r="V66" s="18"/>
      <c r="W66" s="1123"/>
      <c r="X66" s="1123"/>
      <c r="Y66" s="1123"/>
      <c r="Z66" s="1123"/>
    </row>
    <row r="67">
      <c r="A67" s="1116">
        <v>67.0</v>
      </c>
      <c r="B67" s="1122">
        <v>128845.0</v>
      </c>
      <c r="C67" s="1120">
        <v>87683.0</v>
      </c>
      <c r="D67" s="1120">
        <v>6884652.0</v>
      </c>
      <c r="E67" s="1120">
        <v>144946.0</v>
      </c>
      <c r="F67" s="1125"/>
      <c r="G67" s="1122">
        <v>265223.0</v>
      </c>
      <c r="H67" s="1120">
        <v>225617.0</v>
      </c>
      <c r="I67" s="1120">
        <v>1.154389E7</v>
      </c>
      <c r="J67" s="1120">
        <v>211310.0</v>
      </c>
      <c r="K67" s="108"/>
      <c r="L67" s="18"/>
      <c r="M67" s="1124">
        <f t="shared" ref="M67:P67" si="13">G67-G66</f>
        <v>7533</v>
      </c>
      <c r="N67" s="1124">
        <f t="shared" si="13"/>
        <v>6408</v>
      </c>
      <c r="O67" s="1124">
        <f t="shared" si="13"/>
        <v>528446</v>
      </c>
      <c r="P67" s="1124">
        <f t="shared" si="13"/>
        <v>4245</v>
      </c>
      <c r="Q67" s="18"/>
      <c r="R67" s="1124"/>
      <c r="S67" s="1124"/>
      <c r="T67" s="1124"/>
      <c r="U67" s="1124"/>
      <c r="V67" s="18"/>
      <c r="W67" s="1123"/>
      <c r="X67" s="1123"/>
      <c r="Y67" s="1123"/>
      <c r="Z67" s="1123"/>
    </row>
    <row r="68">
      <c r="A68" s="1116">
        <v>68.0</v>
      </c>
      <c r="B68" s="1122">
        <v>132612.0</v>
      </c>
      <c r="C68" s="1120">
        <v>90247.0</v>
      </c>
      <c r="D68" s="1120">
        <v>7088353.0</v>
      </c>
      <c r="E68" s="1120">
        <v>147917.0</v>
      </c>
      <c r="F68" s="1125"/>
      <c r="G68" s="1122">
        <v>271885.0</v>
      </c>
      <c r="H68" s="1120">
        <v>231284.0</v>
      </c>
      <c r="I68" s="1120">
        <v>1.2072377E7</v>
      </c>
      <c r="J68" s="1120">
        <v>215515.0</v>
      </c>
      <c r="K68" s="108"/>
      <c r="L68" s="18"/>
      <c r="M68" s="1124">
        <f t="shared" ref="M68:P68" si="14">G68-G67</f>
        <v>6662</v>
      </c>
      <c r="N68" s="1124">
        <f t="shared" si="14"/>
        <v>5667</v>
      </c>
      <c r="O68" s="1124">
        <f t="shared" si="14"/>
        <v>528487</v>
      </c>
      <c r="P68" s="1124">
        <f t="shared" si="14"/>
        <v>4205</v>
      </c>
      <c r="Q68" s="18"/>
      <c r="R68" s="1124"/>
      <c r="S68" s="1124"/>
      <c r="T68" s="1124"/>
      <c r="U68" s="1124"/>
      <c r="V68" s="18"/>
      <c r="W68" s="1123"/>
      <c r="X68" s="1123"/>
      <c r="Y68" s="1123"/>
      <c r="Z68" s="1123"/>
    </row>
    <row r="69">
      <c r="A69" s="1116">
        <v>69.0</v>
      </c>
      <c r="B69" s="1120">
        <v>135942.0</v>
      </c>
      <c r="C69" s="1120">
        <v>92513.0</v>
      </c>
      <c r="D69" s="1120">
        <v>7285055.0</v>
      </c>
      <c r="E69" s="1120">
        <v>150861.0</v>
      </c>
      <c r="F69" s="1125"/>
      <c r="G69" s="1122">
        <v>279455.0</v>
      </c>
      <c r="H69" s="1120">
        <v>237724.0</v>
      </c>
      <c r="I69" s="1120">
        <v>1.2627643E7</v>
      </c>
      <c r="J69" s="1120">
        <v>219760.0</v>
      </c>
      <c r="K69" s="108"/>
      <c r="L69" s="18"/>
      <c r="M69" s="1124">
        <f t="shared" ref="M69:P69" si="15">G69-G68</f>
        <v>7570</v>
      </c>
      <c r="N69" s="1124">
        <f t="shared" si="15"/>
        <v>6440</v>
      </c>
      <c r="O69" s="1124">
        <f t="shared" si="15"/>
        <v>555266</v>
      </c>
      <c r="P69" s="1124">
        <f t="shared" si="15"/>
        <v>4245</v>
      </c>
      <c r="Q69" s="18"/>
      <c r="R69" s="1124"/>
      <c r="S69" s="1124"/>
      <c r="T69" s="1124"/>
      <c r="U69" s="1124"/>
      <c r="V69" s="18"/>
      <c r="W69" s="1123"/>
      <c r="X69" s="1123"/>
      <c r="Y69" s="1123"/>
      <c r="Z69" s="1123"/>
    </row>
    <row r="70">
      <c r="A70" s="1116">
        <v>70.0</v>
      </c>
      <c r="B70" s="1122">
        <v>140705.0</v>
      </c>
      <c r="C70" s="1120">
        <v>95089.0</v>
      </c>
      <c r="D70" s="1120">
        <v>7758509.0</v>
      </c>
      <c r="E70" s="1120">
        <v>151732.0</v>
      </c>
      <c r="F70" s="1119"/>
      <c r="G70" s="1122">
        <v>288996.0</v>
      </c>
      <c r="H70" s="1120">
        <v>244132.0</v>
      </c>
      <c r="I70" s="1120">
        <v>1.3724071E7</v>
      </c>
      <c r="J70" s="1120">
        <v>220965.0</v>
      </c>
      <c r="K70" s="150"/>
      <c r="L70" s="18"/>
      <c r="M70" s="1124">
        <f t="shared" ref="M70:P70" si="16">G70-G69</f>
        <v>9541</v>
      </c>
      <c r="N70" s="1124">
        <f t="shared" si="16"/>
        <v>6408</v>
      </c>
      <c r="O70" s="1124">
        <f t="shared" si="16"/>
        <v>1096428</v>
      </c>
      <c r="P70" s="1124">
        <f t="shared" si="16"/>
        <v>1205</v>
      </c>
      <c r="Q70" s="18"/>
      <c r="R70" s="1124"/>
      <c r="S70" s="1124"/>
      <c r="T70" s="1124"/>
      <c r="U70" s="1124"/>
      <c r="V70" s="18"/>
      <c r="W70" s="1123"/>
      <c r="X70" s="1123"/>
      <c r="Y70" s="1123"/>
      <c r="Z70" s="1123"/>
    </row>
    <row r="71">
      <c r="A71" s="1116">
        <v>71.0</v>
      </c>
      <c r="B71" s="1122">
        <v>145544.0</v>
      </c>
      <c r="C71" s="1120">
        <v>97653.0</v>
      </c>
      <c r="D71" s="1120">
        <v>8281767.0</v>
      </c>
      <c r="E71" s="1120">
        <v>152576.0</v>
      </c>
      <c r="F71" s="1119"/>
      <c r="G71" s="1122">
        <v>297845.0</v>
      </c>
      <c r="H71" s="1120">
        <v>249799.0</v>
      </c>
      <c r="I71" s="1120">
        <v>1.4802942E7</v>
      </c>
      <c r="J71" s="1120">
        <v>222215.0</v>
      </c>
      <c r="K71" s="150"/>
      <c r="L71" s="18"/>
      <c r="M71" s="1124">
        <f t="shared" ref="M71:P71" si="17">G71-G70</f>
        <v>8849</v>
      </c>
      <c r="N71" s="1124">
        <f t="shared" si="17"/>
        <v>5667</v>
      </c>
      <c r="O71" s="1124">
        <f t="shared" si="17"/>
        <v>1078871</v>
      </c>
      <c r="P71" s="1124">
        <f t="shared" si="17"/>
        <v>1250</v>
      </c>
      <c r="Q71" s="18"/>
      <c r="R71" s="1124"/>
      <c r="S71" s="1124"/>
      <c r="T71" s="1124"/>
      <c r="U71" s="1124"/>
      <c r="V71" s="18"/>
      <c r="W71" s="18"/>
      <c r="X71" s="18"/>
      <c r="Y71" s="18"/>
      <c r="Z71" s="18"/>
    </row>
    <row r="72">
      <c r="A72" s="1116">
        <v>72.0</v>
      </c>
      <c r="B72" s="1122">
        <v>150038.0</v>
      </c>
      <c r="C72" s="1120">
        <v>99919.0</v>
      </c>
      <c r="D72" s="1126">
        <v>9059724.0</v>
      </c>
      <c r="E72" s="1120">
        <v>153451.0</v>
      </c>
      <c r="F72" s="1119"/>
      <c r="G72" s="1122">
        <v>307812.0</v>
      </c>
      <c r="H72" s="1120">
        <v>256239.0</v>
      </c>
      <c r="I72" s="1120">
        <v>1.6467237E7</v>
      </c>
      <c r="J72" s="1120">
        <v>223460.0</v>
      </c>
      <c r="K72" s="150"/>
      <c r="L72" s="18"/>
      <c r="M72" s="1124">
        <f t="shared" ref="M72:P72" si="18">G72-G71</f>
        <v>9967</v>
      </c>
      <c r="N72" s="1124">
        <f t="shared" si="18"/>
        <v>6440</v>
      </c>
      <c r="O72" s="1124">
        <f t="shared" si="18"/>
        <v>1664295</v>
      </c>
      <c r="P72" s="1124">
        <f t="shared" si="18"/>
        <v>1245</v>
      </c>
      <c r="Q72" s="18"/>
      <c r="R72" s="1124"/>
      <c r="S72" s="1124"/>
      <c r="T72" s="1124"/>
      <c r="U72" s="1124"/>
      <c r="V72" s="18"/>
      <c r="W72" s="18"/>
      <c r="X72" s="18"/>
      <c r="Y72" s="18"/>
      <c r="Z72" s="18"/>
    </row>
    <row r="73">
      <c r="A73" s="1116">
        <v>73.0</v>
      </c>
      <c r="B73" s="1122">
        <v>155100.0</v>
      </c>
      <c r="C73" s="1120">
        <v>102495.0</v>
      </c>
      <c r="D73" s="1120">
        <v>9877094.0</v>
      </c>
      <c r="E73" s="1120">
        <v>154322.0</v>
      </c>
      <c r="F73" s="1119"/>
      <c r="G73" s="1122">
        <v>318034.0</v>
      </c>
      <c r="H73" s="1120">
        <v>262709.0</v>
      </c>
      <c r="I73" s="1120">
        <v>1.8307026E7</v>
      </c>
      <c r="J73" s="1120">
        <v>224665.0</v>
      </c>
      <c r="K73" s="150"/>
      <c r="L73" s="18"/>
      <c r="M73" s="1124">
        <f t="shared" ref="M73:P73" si="19">G73-G72</f>
        <v>10222</v>
      </c>
      <c r="N73" s="1124">
        <f t="shared" si="19"/>
        <v>6470</v>
      </c>
      <c r="O73" s="1124">
        <f t="shared" si="19"/>
        <v>1839789</v>
      </c>
      <c r="P73" s="1124">
        <f t="shared" si="19"/>
        <v>1205</v>
      </c>
      <c r="Q73" s="18"/>
      <c r="R73" s="1124"/>
      <c r="S73" s="1124"/>
      <c r="T73" s="1124"/>
      <c r="U73" s="1124"/>
      <c r="V73" s="18"/>
      <c r="W73" s="18"/>
      <c r="X73" s="18"/>
      <c r="Y73" s="18"/>
      <c r="Z73" s="18"/>
    </row>
    <row r="74">
      <c r="A74" s="1116">
        <v>74.0</v>
      </c>
      <c r="B74" s="1122">
        <v>159649.0</v>
      </c>
      <c r="C74" s="1120">
        <v>105084.0</v>
      </c>
      <c r="D74" s="1120">
        <v>1.0768839E7</v>
      </c>
      <c r="E74" s="1120">
        <v>155166.0</v>
      </c>
      <c r="F74" s="1119"/>
      <c r="G74" s="1122">
        <v>328067.0</v>
      </c>
      <c r="H74" s="1120">
        <v>269924.0</v>
      </c>
      <c r="I74" s="1120">
        <v>2.027478E7</v>
      </c>
      <c r="J74" s="1120">
        <v>225915.0</v>
      </c>
      <c r="K74" s="150"/>
      <c r="L74" s="18"/>
      <c r="M74" s="1124">
        <f t="shared" ref="M74:P74" si="20">G74-G73</f>
        <v>10033</v>
      </c>
      <c r="N74" s="1124">
        <f t="shared" si="20"/>
        <v>7215</v>
      </c>
      <c r="O74" s="1124">
        <f t="shared" si="20"/>
        <v>1967754</v>
      </c>
      <c r="P74" s="1124">
        <f t="shared" si="20"/>
        <v>1250</v>
      </c>
      <c r="Q74" s="18"/>
      <c r="R74" s="1124"/>
      <c r="S74" s="1124"/>
      <c r="T74" s="1124"/>
      <c r="U74" s="1124"/>
      <c r="V74" s="18"/>
      <c r="W74" s="18"/>
      <c r="X74" s="18"/>
      <c r="Y74" s="18"/>
      <c r="Z74" s="18"/>
    </row>
    <row r="75">
      <c r="A75" s="1116">
        <v>75.0</v>
      </c>
      <c r="B75" s="1122">
        <v>164698.0</v>
      </c>
      <c r="C75" s="1120">
        <v>107969.0</v>
      </c>
      <c r="D75" s="1120">
        <v>1.1703757E7</v>
      </c>
      <c r="E75" s="1120">
        <v>156041.0</v>
      </c>
      <c r="F75" s="1119"/>
      <c r="G75" s="1122">
        <v>337292.0</v>
      </c>
      <c r="H75" s="1120">
        <v>276394.0</v>
      </c>
      <c r="I75" s="1120">
        <v>2.2259829E7</v>
      </c>
      <c r="J75" s="1120">
        <v>227160.0</v>
      </c>
      <c r="K75" s="150"/>
      <c r="L75" s="18"/>
      <c r="M75" s="1124">
        <f t="shared" ref="M75:P75" si="21">G75-G74</f>
        <v>9225</v>
      </c>
      <c r="N75" s="1124">
        <f t="shared" si="21"/>
        <v>6470</v>
      </c>
      <c r="O75" s="1124">
        <f t="shared" si="21"/>
        <v>1985049</v>
      </c>
      <c r="P75" s="1124">
        <f t="shared" si="21"/>
        <v>1245</v>
      </c>
      <c r="Q75" s="18"/>
      <c r="R75" s="1124"/>
      <c r="S75" s="1124"/>
      <c r="T75" s="1124"/>
      <c r="U75" s="1124"/>
      <c r="V75" s="18"/>
      <c r="W75" s="18"/>
      <c r="X75" s="18"/>
      <c r="Y75" s="18"/>
      <c r="Z75" s="18"/>
    </row>
    <row r="76">
      <c r="A76" s="1116">
        <v>76.0</v>
      </c>
      <c r="B76" s="1122">
        <v>169341.0</v>
      </c>
      <c r="C76" s="1120">
        <v>110558.0</v>
      </c>
      <c r="D76" s="1120">
        <v>1.2616907E7</v>
      </c>
      <c r="E76" s="1120">
        <v>156912.0</v>
      </c>
      <c r="F76" s="1119"/>
      <c r="G76" s="1122">
        <v>347523.0</v>
      </c>
      <c r="H76" s="1120">
        <v>283609.0</v>
      </c>
      <c r="I76" s="1120">
        <v>2.4836256E7</v>
      </c>
      <c r="J76" s="1120">
        <v>228365.0</v>
      </c>
      <c r="K76" s="150"/>
      <c r="L76" s="18"/>
      <c r="M76" s="1124">
        <f t="shared" ref="M76:P76" si="22">G76-G75</f>
        <v>10231</v>
      </c>
      <c r="N76" s="1124">
        <f t="shared" si="22"/>
        <v>7215</v>
      </c>
      <c r="O76" s="1124">
        <f t="shared" si="22"/>
        <v>2576427</v>
      </c>
      <c r="P76" s="1124">
        <f t="shared" si="22"/>
        <v>1205</v>
      </c>
      <c r="Q76" s="18"/>
      <c r="R76" s="1124"/>
      <c r="S76" s="1124"/>
      <c r="T76" s="1124"/>
      <c r="U76" s="1124"/>
      <c r="V76" s="18"/>
      <c r="W76" s="18"/>
      <c r="X76" s="18"/>
      <c r="Y76" s="18"/>
      <c r="Z76" s="18"/>
    </row>
    <row r="77">
      <c r="A77" s="1116">
        <v>77.0</v>
      </c>
      <c r="B77" s="1122">
        <v>174491.0</v>
      </c>
      <c r="C77" s="1120">
        <v>113443.0</v>
      </c>
      <c r="D77" s="1120">
        <v>1.3622872E7</v>
      </c>
      <c r="E77" s="1120">
        <v>157756.0</v>
      </c>
      <c r="F77" s="1119"/>
      <c r="G77" s="1122">
        <v>356944.0</v>
      </c>
      <c r="H77" s="1120">
        <v>290079.0</v>
      </c>
      <c r="I77" s="1120">
        <v>2.7575461E7</v>
      </c>
      <c r="J77" s="1120">
        <v>229610.0</v>
      </c>
      <c r="K77" s="150"/>
      <c r="L77" s="18"/>
      <c r="M77" s="1124">
        <f t="shared" ref="M77:P77" si="23">G77-G76</f>
        <v>9421</v>
      </c>
      <c r="N77" s="1124">
        <f t="shared" si="23"/>
        <v>6470</v>
      </c>
      <c r="O77" s="1124">
        <f t="shared" si="23"/>
        <v>2739205</v>
      </c>
      <c r="P77" s="1124">
        <f t="shared" si="23"/>
        <v>1245</v>
      </c>
      <c r="Q77" s="18"/>
      <c r="R77" s="1124"/>
      <c r="S77" s="1124"/>
      <c r="T77" s="1124"/>
      <c r="U77" s="1124"/>
      <c r="V77" s="18"/>
      <c r="W77" s="18"/>
      <c r="X77" s="18"/>
      <c r="Y77" s="18"/>
      <c r="Z77" s="18"/>
    </row>
    <row r="78">
      <c r="A78" s="1116">
        <v>78.0</v>
      </c>
      <c r="B78" s="1122">
        <v>179236.0</v>
      </c>
      <c r="C78" s="1120">
        <v>116032.0</v>
      </c>
      <c r="D78" s="1120">
        <v>1.4653627E7</v>
      </c>
      <c r="E78" s="1120">
        <v>158627.0</v>
      </c>
      <c r="F78" s="1119"/>
      <c r="G78" s="1122">
        <v>367425.0</v>
      </c>
      <c r="H78" s="1120">
        <v>297324.0</v>
      </c>
      <c r="I78" s="1120">
        <v>3.0526373E7</v>
      </c>
      <c r="J78" s="1120">
        <v>230815.0</v>
      </c>
      <c r="K78" s="150"/>
      <c r="L78" s="18"/>
      <c r="M78" s="1124">
        <f t="shared" ref="M78:P78" si="24">G78-G77</f>
        <v>10481</v>
      </c>
      <c r="N78" s="1124">
        <f t="shared" si="24"/>
        <v>7245</v>
      </c>
      <c r="O78" s="1124">
        <f t="shared" si="24"/>
        <v>2950912</v>
      </c>
      <c r="P78" s="1124">
        <f t="shared" si="24"/>
        <v>1205</v>
      </c>
      <c r="Q78" s="18"/>
      <c r="R78" s="1124"/>
      <c r="S78" s="1124"/>
      <c r="T78" s="1124"/>
      <c r="U78" s="1124"/>
      <c r="V78" s="18"/>
      <c r="W78" s="18"/>
      <c r="X78" s="18"/>
      <c r="Y78" s="18"/>
      <c r="Z78" s="18"/>
    </row>
    <row r="79">
      <c r="A79" s="1116">
        <v>79.0</v>
      </c>
      <c r="B79" s="1122">
        <v>184513.0</v>
      </c>
      <c r="C79" s="1120">
        <v>118930.0</v>
      </c>
      <c r="D79" s="1120">
        <v>1.5732222E7</v>
      </c>
      <c r="E79" s="1120">
        <v>159471.0</v>
      </c>
      <c r="F79" s="1119"/>
      <c r="G79" s="1122">
        <v>378018.0</v>
      </c>
      <c r="H79" s="1120">
        <v>304569.0</v>
      </c>
      <c r="I79" s="1120">
        <v>3.3674508E7</v>
      </c>
      <c r="J79" s="1120">
        <v>232065.0</v>
      </c>
      <c r="K79" s="150"/>
      <c r="L79" s="18"/>
      <c r="M79" s="1124">
        <f t="shared" ref="M79:P79" si="25">G79-G78</f>
        <v>10593</v>
      </c>
      <c r="N79" s="1124">
        <f t="shared" si="25"/>
        <v>7245</v>
      </c>
      <c r="O79" s="1124">
        <f t="shared" si="25"/>
        <v>3148135</v>
      </c>
      <c r="P79" s="1124">
        <f t="shared" si="25"/>
        <v>1250</v>
      </c>
      <c r="Q79" s="18"/>
      <c r="R79" s="1124"/>
      <c r="S79" s="1124"/>
      <c r="T79" s="1124"/>
      <c r="U79" s="1124"/>
      <c r="V79" s="18"/>
      <c r="W79" s="18"/>
      <c r="X79" s="18"/>
      <c r="Y79" s="18"/>
      <c r="Z79" s="18"/>
    </row>
    <row r="80">
      <c r="A80" s="1116">
        <v>80.0</v>
      </c>
      <c r="B80" s="1117"/>
      <c r="C80" s="1118"/>
      <c r="D80" s="1118"/>
      <c r="E80" s="1118"/>
      <c r="F80" s="1119"/>
      <c r="G80" s="1122">
        <v>388768.0</v>
      </c>
      <c r="H80" s="1120">
        <v>311846.0</v>
      </c>
      <c r="I80" s="1120">
        <v>3.7770533E7</v>
      </c>
      <c r="J80" s="1120">
        <v>233310.0</v>
      </c>
      <c r="K80" s="150"/>
      <c r="L80" s="18"/>
      <c r="M80" s="1124">
        <f t="shared" ref="M80:P80" si="26">G80-G79</f>
        <v>10750</v>
      </c>
      <c r="N80" s="1124">
        <f t="shared" si="26"/>
        <v>7277</v>
      </c>
      <c r="O80" s="1124">
        <f t="shared" si="26"/>
        <v>4096025</v>
      </c>
      <c r="P80" s="1124">
        <f t="shared" si="26"/>
        <v>1245</v>
      </c>
      <c r="Q80" s="18"/>
      <c r="R80" s="1124"/>
      <c r="S80" s="1124"/>
      <c r="T80" s="1124"/>
      <c r="U80" s="1124"/>
      <c r="V80" s="18"/>
      <c r="W80" s="18"/>
      <c r="X80" s="18"/>
      <c r="Y80" s="18"/>
      <c r="Z80" s="18"/>
    </row>
    <row r="81">
      <c r="A81" s="1116">
        <v>81.0</v>
      </c>
      <c r="B81" s="1117"/>
      <c r="C81" s="1118"/>
      <c r="D81" s="1118"/>
      <c r="E81" s="1118"/>
      <c r="F81" s="1119"/>
      <c r="G81" s="1122">
        <v>400571.0</v>
      </c>
      <c r="H81" s="1120">
        <v>319864.0</v>
      </c>
      <c r="I81" s="1120">
        <v>4.0882871E7</v>
      </c>
      <c r="J81" s="1120">
        <v>234515.0</v>
      </c>
      <c r="K81" s="150"/>
      <c r="L81" s="18"/>
      <c r="M81" s="1124">
        <f t="shared" ref="M81:P81" si="27">G81-G80</f>
        <v>11803</v>
      </c>
      <c r="N81" s="1124">
        <f t="shared" si="27"/>
        <v>8018</v>
      </c>
      <c r="O81" s="1124">
        <f t="shared" si="27"/>
        <v>3112338</v>
      </c>
      <c r="P81" s="1124">
        <f t="shared" si="27"/>
        <v>1205</v>
      </c>
      <c r="Q81" s="18"/>
      <c r="R81" s="1124"/>
      <c r="S81" s="1124"/>
      <c r="T81" s="1124"/>
      <c r="U81" s="1124"/>
      <c r="V81" s="18"/>
      <c r="W81" s="18"/>
      <c r="X81" s="18"/>
      <c r="Y81" s="18"/>
      <c r="Z81" s="18"/>
    </row>
    <row r="82">
      <c r="A82" s="1116">
        <v>82.0</v>
      </c>
      <c r="B82" s="1117"/>
      <c r="C82" s="1118"/>
      <c r="D82" s="1118"/>
      <c r="E82" s="1118"/>
      <c r="F82" s="1119"/>
      <c r="G82" s="1122">
        <v>411574.0</v>
      </c>
      <c r="H82" s="1120">
        <v>327141.0</v>
      </c>
      <c r="I82" s="1120">
        <v>4.4969038E7</v>
      </c>
      <c r="J82" s="1120">
        <v>235760.0</v>
      </c>
      <c r="K82" s="150"/>
      <c r="L82" s="18"/>
      <c r="M82" s="1124">
        <f t="shared" ref="M82:P82" si="28">G82-G81</f>
        <v>11003</v>
      </c>
      <c r="N82" s="1124">
        <f t="shared" si="28"/>
        <v>7277</v>
      </c>
      <c r="O82" s="1124">
        <f t="shared" si="28"/>
        <v>4086167</v>
      </c>
      <c r="P82" s="1124">
        <f t="shared" si="28"/>
        <v>1245</v>
      </c>
      <c r="Q82" s="18"/>
      <c r="R82" s="1124"/>
      <c r="S82" s="1124"/>
      <c r="T82" s="1124"/>
      <c r="U82" s="1124"/>
      <c r="V82" s="18"/>
      <c r="W82" s="18"/>
      <c r="X82" s="18"/>
      <c r="Y82" s="18"/>
      <c r="Z82" s="18"/>
    </row>
    <row r="83">
      <c r="A83" s="1116">
        <v>83.0</v>
      </c>
      <c r="B83" s="1117"/>
      <c r="C83" s="1118"/>
      <c r="D83" s="1118"/>
      <c r="E83" s="1118"/>
      <c r="F83" s="1119"/>
      <c r="G83" s="1122">
        <v>423687.0</v>
      </c>
      <c r="H83" s="1120">
        <v>335191.0</v>
      </c>
      <c r="I83" s="1120">
        <v>4.9501202E7</v>
      </c>
      <c r="J83" s="1120">
        <v>236965.0</v>
      </c>
      <c r="K83" s="150"/>
      <c r="L83" s="18"/>
      <c r="M83" s="1124">
        <f t="shared" ref="M83:P83" si="29">G83-G82</f>
        <v>12113</v>
      </c>
      <c r="N83" s="1124">
        <f t="shared" si="29"/>
        <v>8050</v>
      </c>
      <c r="O83" s="1124">
        <f t="shared" si="29"/>
        <v>4532164</v>
      </c>
      <c r="P83" s="1124">
        <f t="shared" si="29"/>
        <v>1205</v>
      </c>
      <c r="Q83" s="18"/>
      <c r="R83" s="1124"/>
      <c r="S83" s="1124"/>
      <c r="T83" s="1124"/>
      <c r="U83" s="1124"/>
      <c r="V83" s="18"/>
      <c r="W83" s="18"/>
      <c r="X83" s="18"/>
      <c r="Y83" s="18"/>
      <c r="Z83" s="18"/>
    </row>
    <row r="84">
      <c r="A84" s="1116">
        <v>84.0</v>
      </c>
      <c r="B84" s="1117"/>
      <c r="C84" s="1118"/>
      <c r="D84" s="1118"/>
      <c r="E84" s="1118"/>
      <c r="F84" s="1119"/>
      <c r="G84" s="1122">
        <v>435945.0</v>
      </c>
      <c r="H84" s="1120">
        <v>343241.0</v>
      </c>
      <c r="I84" s="1120">
        <v>5.4165506E7</v>
      </c>
      <c r="J84" s="1120">
        <v>238215.0</v>
      </c>
      <c r="K84" s="150"/>
      <c r="L84" s="18"/>
      <c r="M84" s="1124">
        <f t="shared" ref="M84:P84" si="30">G84-G83</f>
        <v>12258</v>
      </c>
      <c r="N84" s="1124">
        <f t="shared" si="30"/>
        <v>8050</v>
      </c>
      <c r="O84" s="1124">
        <f t="shared" si="30"/>
        <v>4664304</v>
      </c>
      <c r="P84" s="1124">
        <f t="shared" si="30"/>
        <v>1250</v>
      </c>
      <c r="Q84" s="18"/>
      <c r="R84" s="1124"/>
      <c r="S84" s="1124"/>
      <c r="T84" s="1124"/>
      <c r="U84" s="1124"/>
      <c r="V84" s="18"/>
      <c r="W84" s="18"/>
      <c r="X84" s="18"/>
      <c r="Y84" s="18"/>
      <c r="Z84" s="18"/>
    </row>
    <row r="85">
      <c r="A85" s="1116">
        <v>85.0</v>
      </c>
      <c r="B85" s="1117"/>
      <c r="C85" s="1118"/>
      <c r="D85" s="1118"/>
      <c r="E85" s="1118"/>
      <c r="F85" s="1119"/>
      <c r="G85" s="1122">
        <v>465432.0</v>
      </c>
      <c r="H85" s="1120">
        <v>306754.0</v>
      </c>
      <c r="I85" s="1120">
        <v>5.770168E7</v>
      </c>
      <c r="J85" s="1120">
        <v>266250.0</v>
      </c>
      <c r="K85" s="150"/>
      <c r="L85" s="18"/>
      <c r="M85" s="1124">
        <f t="shared" ref="M85:P85" si="31">G85-G84</f>
        <v>29487</v>
      </c>
      <c r="N85" s="1124">
        <f t="shared" si="31"/>
        <v>-36487</v>
      </c>
      <c r="O85" s="1124">
        <f t="shared" si="31"/>
        <v>3536174</v>
      </c>
      <c r="P85" s="1124">
        <f t="shared" si="31"/>
        <v>28035</v>
      </c>
      <c r="Q85" s="18"/>
      <c r="R85" s="1124"/>
      <c r="S85" s="1124"/>
      <c r="T85" s="1124"/>
      <c r="U85" s="1124"/>
      <c r="V85" s="18"/>
      <c r="W85" s="18"/>
      <c r="X85" s="18"/>
      <c r="Y85" s="18"/>
      <c r="Z85" s="18"/>
    </row>
    <row r="86">
      <c r="A86" s="1116">
        <v>86.0</v>
      </c>
      <c r="B86" s="1117"/>
      <c r="C86" s="1118"/>
      <c r="D86" s="1118"/>
      <c r="E86" s="1118"/>
      <c r="F86" s="1119"/>
      <c r="G86" s="1122">
        <v>509070.0</v>
      </c>
      <c r="H86" s="1120">
        <v>321272.0</v>
      </c>
      <c r="I86" s="1120">
        <v>5.8844839E7</v>
      </c>
      <c r="J86" s="1120">
        <v>273750.0</v>
      </c>
      <c r="K86" s="150"/>
      <c r="L86" s="18"/>
      <c r="M86" s="1124">
        <f t="shared" ref="M86:P86" si="32">G86-G85</f>
        <v>43638</v>
      </c>
      <c r="N86" s="1124">
        <f t="shared" si="32"/>
        <v>14518</v>
      </c>
      <c r="O86" s="1124">
        <f t="shared" si="32"/>
        <v>1143159</v>
      </c>
      <c r="P86" s="1124">
        <f t="shared" si="32"/>
        <v>7500</v>
      </c>
      <c r="Q86" s="18"/>
      <c r="R86" s="1124"/>
      <c r="S86" s="1124"/>
      <c r="T86" s="1124"/>
      <c r="U86" s="1124"/>
      <c r="V86" s="18"/>
      <c r="W86" s="18"/>
      <c r="X86" s="18"/>
      <c r="Y86" s="18"/>
      <c r="Z86" s="18"/>
    </row>
    <row r="87">
      <c r="A87" s="1116">
        <v>87.0</v>
      </c>
      <c r="B87" s="1117"/>
      <c r="C87" s="1118"/>
      <c r="D87" s="1118"/>
      <c r="E87" s="1118"/>
      <c r="F87" s="1119"/>
      <c r="G87" s="1122">
        <v>536661.0</v>
      </c>
      <c r="H87" s="1120">
        <v>328538.0</v>
      </c>
      <c r="I87" s="1120">
        <v>5.9583099E7</v>
      </c>
      <c r="J87" s="1120">
        <v>277500.0</v>
      </c>
      <c r="K87" s="150"/>
      <c r="L87" s="18"/>
      <c r="M87" s="1124">
        <f t="shared" ref="M87:P87" si="33">G87-G86</f>
        <v>27591</v>
      </c>
      <c r="N87" s="1124">
        <f t="shared" si="33"/>
        <v>7266</v>
      </c>
      <c r="O87" s="1124">
        <f t="shared" si="33"/>
        <v>738260</v>
      </c>
      <c r="P87" s="1124">
        <f t="shared" si="33"/>
        <v>3750</v>
      </c>
      <c r="Q87" s="18"/>
      <c r="R87" s="1124"/>
      <c r="S87" s="1124"/>
      <c r="T87" s="1124"/>
      <c r="U87" s="1124"/>
      <c r="V87" s="18"/>
      <c r="W87" s="18"/>
      <c r="X87" s="18"/>
      <c r="Y87" s="18"/>
      <c r="Z87" s="18"/>
    </row>
    <row r="88">
      <c r="A88" s="1116">
        <v>88.0</v>
      </c>
      <c r="B88" s="1117"/>
      <c r="C88" s="1118"/>
      <c r="D88" s="1118"/>
      <c r="E88" s="1118"/>
      <c r="F88" s="1119"/>
      <c r="G88" s="1122">
        <v>579670.0</v>
      </c>
      <c r="H88" s="1120">
        <v>343056.0</v>
      </c>
      <c r="I88" s="1120">
        <v>6.0082412E7</v>
      </c>
      <c r="J88" s="1120">
        <v>285000.0</v>
      </c>
      <c r="K88" s="150"/>
      <c r="L88" s="18"/>
      <c r="M88" s="1124">
        <f t="shared" ref="M88:P88" si="34">G88-G87</f>
        <v>43009</v>
      </c>
      <c r="N88" s="1124">
        <f t="shared" si="34"/>
        <v>14518</v>
      </c>
      <c r="O88" s="1124">
        <f t="shared" si="34"/>
        <v>499313</v>
      </c>
      <c r="P88" s="1124">
        <f t="shared" si="34"/>
        <v>7500</v>
      </c>
      <c r="Q88" s="18"/>
      <c r="R88" s="1124"/>
      <c r="S88" s="1124"/>
      <c r="T88" s="1124"/>
      <c r="U88" s="1124"/>
      <c r="V88" s="18"/>
      <c r="W88" s="18"/>
      <c r="X88" s="18"/>
      <c r="Y88" s="18"/>
      <c r="Z88" s="18"/>
    </row>
    <row r="89">
      <c r="A89" s="1116">
        <v>89.0</v>
      </c>
      <c r="B89" s="1117"/>
      <c r="C89" s="1118"/>
      <c r="D89" s="1118"/>
      <c r="E89" s="1118"/>
      <c r="F89" s="1119"/>
      <c r="G89" s="1122">
        <v>602235.0</v>
      </c>
      <c r="H89" s="1120">
        <v>350315.0</v>
      </c>
      <c r="I89" s="1120">
        <v>6.14147E7</v>
      </c>
      <c r="J89" s="1120">
        <v>288750.0</v>
      </c>
      <c r="K89" s="150"/>
      <c r="L89" s="18"/>
      <c r="M89" s="1124">
        <f t="shared" ref="M89:P89" si="35">G89-G88</f>
        <v>22565</v>
      </c>
      <c r="N89" s="1124">
        <f t="shared" si="35"/>
        <v>7259</v>
      </c>
      <c r="O89" s="1124">
        <f t="shared" si="35"/>
        <v>1332288</v>
      </c>
      <c r="P89" s="1124">
        <f t="shared" si="35"/>
        <v>3750</v>
      </c>
      <c r="Q89" s="18"/>
      <c r="R89" s="1124"/>
      <c r="S89" s="1124"/>
      <c r="T89" s="1124"/>
      <c r="U89" s="1124"/>
      <c r="V89" s="18"/>
      <c r="W89" s="18"/>
      <c r="X89" s="18"/>
      <c r="Y89" s="18"/>
      <c r="Z89" s="18"/>
    </row>
    <row r="90">
      <c r="A90" s="1116">
        <v>90.0</v>
      </c>
      <c r="B90" s="1117"/>
      <c r="C90" s="1118"/>
      <c r="D90" s="1118"/>
      <c r="E90" s="1118"/>
      <c r="F90" s="1119"/>
      <c r="G90" s="1122">
        <v>631437.0</v>
      </c>
      <c r="H90" s="1120">
        <v>364840.0</v>
      </c>
      <c r="I90" s="1120">
        <v>6.450343E7</v>
      </c>
      <c r="J90" s="1120">
        <v>296250.0</v>
      </c>
      <c r="K90" s="150"/>
      <c r="L90" s="18"/>
      <c r="M90" s="1124">
        <f t="shared" ref="M90:P90" si="36">G90-G89</f>
        <v>29202</v>
      </c>
      <c r="N90" s="1124">
        <f t="shared" si="36"/>
        <v>14525</v>
      </c>
      <c r="O90" s="1124">
        <f t="shared" si="36"/>
        <v>3088730</v>
      </c>
      <c r="P90" s="1124">
        <f t="shared" si="36"/>
        <v>7500</v>
      </c>
      <c r="Q90" s="18"/>
      <c r="R90" s="1124"/>
      <c r="S90" s="1124"/>
      <c r="T90" s="1124"/>
      <c r="U90" s="1124"/>
      <c r="V90" s="18"/>
      <c r="W90" s="18"/>
      <c r="X90" s="18"/>
      <c r="Y90" s="18"/>
      <c r="Z90" s="18"/>
    </row>
    <row r="91">
      <c r="A91" s="1116">
        <v>91.0</v>
      </c>
      <c r="B91" s="1117"/>
      <c r="C91" s="1118"/>
      <c r="D91" s="1118"/>
      <c r="E91" s="1118"/>
      <c r="F91" s="1119"/>
      <c r="G91" s="1122">
        <v>646130.0</v>
      </c>
      <c r="H91" s="1120">
        <v>372099.0</v>
      </c>
      <c r="I91" s="1120">
        <v>6.5368212E7</v>
      </c>
      <c r="J91" s="1120">
        <v>300000.0</v>
      </c>
      <c r="K91" s="150"/>
      <c r="L91" s="18"/>
      <c r="M91" s="1124">
        <f t="shared" ref="M91:P91" si="37">G91-G90</f>
        <v>14693</v>
      </c>
      <c r="N91" s="1124">
        <f t="shared" si="37"/>
        <v>7259</v>
      </c>
      <c r="O91" s="1124">
        <f t="shared" si="37"/>
        <v>864782</v>
      </c>
      <c r="P91" s="1124">
        <f t="shared" si="37"/>
        <v>3750</v>
      </c>
      <c r="Q91" s="18"/>
      <c r="R91" s="1124"/>
      <c r="S91" s="1124"/>
      <c r="T91" s="1124"/>
      <c r="U91" s="1124"/>
      <c r="V91" s="18"/>
      <c r="W91" s="18"/>
      <c r="X91" s="18"/>
      <c r="Y91" s="18"/>
      <c r="Z91" s="18"/>
    </row>
    <row r="92">
      <c r="A92" s="1116">
        <v>92.0</v>
      </c>
      <c r="B92" s="1117"/>
      <c r="C92" s="1118"/>
      <c r="D92" s="1118"/>
      <c r="E92" s="1118"/>
      <c r="F92" s="1119"/>
      <c r="G92" s="1122">
        <v>675732.0</v>
      </c>
      <c r="H92" s="1120">
        <v>386624.0</v>
      </c>
      <c r="I92" s="1120">
        <v>6.9423128E7</v>
      </c>
      <c r="J92" s="1120">
        <v>307500.0</v>
      </c>
      <c r="K92" s="150"/>
      <c r="L92" s="18"/>
      <c r="M92" s="1124">
        <f t="shared" ref="M92:P92" si="38">G92-G91</f>
        <v>29602</v>
      </c>
      <c r="N92" s="1124">
        <f t="shared" si="38"/>
        <v>14525</v>
      </c>
      <c r="O92" s="1124">
        <f t="shared" si="38"/>
        <v>4054916</v>
      </c>
      <c r="P92" s="1124">
        <f t="shared" si="38"/>
        <v>7500</v>
      </c>
      <c r="Q92" s="18"/>
      <c r="R92" s="1124"/>
      <c r="S92" s="1124"/>
      <c r="T92" s="1124"/>
      <c r="U92" s="1124"/>
      <c r="V92" s="18"/>
      <c r="W92" s="18"/>
      <c r="X92" s="18"/>
      <c r="Y92" s="18"/>
      <c r="Z92" s="18"/>
    </row>
    <row r="93">
      <c r="A93" s="1116">
        <v>93.0</v>
      </c>
      <c r="B93" s="1117"/>
      <c r="C93" s="1118"/>
      <c r="D93" s="1118"/>
      <c r="E93" s="1118"/>
      <c r="F93" s="1119"/>
      <c r="G93" s="1122">
        <v>690627.0</v>
      </c>
      <c r="H93" s="1120">
        <v>393883.0</v>
      </c>
      <c r="I93" s="1120">
        <v>7.0175676E7</v>
      </c>
      <c r="J93" s="1120">
        <v>311250.0</v>
      </c>
      <c r="K93" s="150"/>
      <c r="L93" s="18"/>
      <c r="M93" s="1124">
        <f t="shared" ref="M93:P93" si="39">G93-G92</f>
        <v>14895</v>
      </c>
      <c r="N93" s="1124">
        <f t="shared" si="39"/>
        <v>7259</v>
      </c>
      <c r="O93" s="1124">
        <f t="shared" si="39"/>
        <v>752548</v>
      </c>
      <c r="P93" s="1124">
        <f t="shared" si="39"/>
        <v>3750</v>
      </c>
      <c r="Q93" s="18"/>
      <c r="R93" s="1124"/>
      <c r="S93" s="1124"/>
      <c r="T93" s="1124"/>
      <c r="U93" s="1124"/>
      <c r="V93" s="18"/>
      <c r="W93" s="18"/>
      <c r="X93" s="18"/>
      <c r="Y93" s="18"/>
      <c r="Z93" s="18"/>
    </row>
    <row r="94">
      <c r="A94" s="1116">
        <v>94.0</v>
      </c>
      <c r="B94" s="1117"/>
      <c r="C94" s="1118"/>
      <c r="D94" s="1118"/>
      <c r="E94" s="1118"/>
      <c r="F94" s="1119"/>
      <c r="G94" s="1122">
        <v>720631.0</v>
      </c>
      <c r="H94" s="1120">
        <v>408408.0</v>
      </c>
      <c r="I94" s="1120">
        <v>7.3058374E7</v>
      </c>
      <c r="J94" s="1120">
        <v>318750.0</v>
      </c>
      <c r="K94" s="150"/>
      <c r="L94" s="18"/>
      <c r="M94" s="1124">
        <f t="shared" ref="M94:P94" si="40">G94-G93</f>
        <v>30004</v>
      </c>
      <c r="N94" s="1124">
        <f t="shared" si="40"/>
        <v>14525</v>
      </c>
      <c r="O94" s="1124">
        <f t="shared" si="40"/>
        <v>2882698</v>
      </c>
      <c r="P94" s="1124">
        <f t="shared" si="40"/>
        <v>7500</v>
      </c>
      <c r="Q94" s="18"/>
      <c r="R94" s="1124"/>
      <c r="S94" s="1124"/>
      <c r="T94" s="1124"/>
      <c r="U94" s="1124"/>
      <c r="V94" s="18"/>
      <c r="W94" s="18"/>
      <c r="X94" s="18"/>
      <c r="Y94" s="18"/>
      <c r="Z94" s="18"/>
    </row>
    <row r="95">
      <c r="A95" s="1127" t="s">
        <v>4640</v>
      </c>
      <c r="B95" s="1117"/>
      <c r="C95" s="1118"/>
      <c r="D95" s="1118"/>
      <c r="E95" s="1118"/>
      <c r="F95" s="1119"/>
      <c r="G95" s="1122">
        <v>735725.0</v>
      </c>
      <c r="H95" s="1120">
        <v>415667.0</v>
      </c>
      <c r="I95" s="1120">
        <v>7.4221693E7</v>
      </c>
      <c r="J95" s="1120">
        <v>322500.0</v>
      </c>
      <c r="K95" s="150"/>
      <c r="L95" s="18"/>
      <c r="M95" s="1124">
        <f t="shared" ref="M95:P95" si="41">G95-G94</f>
        <v>15094</v>
      </c>
      <c r="N95" s="1124">
        <f t="shared" si="41"/>
        <v>7259</v>
      </c>
      <c r="O95" s="1124">
        <f t="shared" si="41"/>
        <v>1163319</v>
      </c>
      <c r="P95" s="1124">
        <f t="shared" si="41"/>
        <v>3750</v>
      </c>
      <c r="Q95" s="18"/>
      <c r="R95" s="1124"/>
      <c r="S95" s="1124"/>
      <c r="T95" s="1124"/>
      <c r="U95" s="1124"/>
      <c r="V95" s="18"/>
      <c r="W95" s="18"/>
      <c r="X95" s="18"/>
      <c r="Y95" s="18"/>
      <c r="Z95" s="18"/>
    </row>
    <row r="96">
      <c r="A96" s="1116">
        <v>97.0</v>
      </c>
      <c r="B96" s="1117"/>
      <c r="C96" s="1118"/>
      <c r="D96" s="1118"/>
      <c r="E96" s="1118"/>
      <c r="F96" s="1119"/>
      <c r="G96" s="1122">
        <v>766131.0</v>
      </c>
      <c r="H96" s="1120">
        <v>430192.0</v>
      </c>
      <c r="I96" s="1120">
        <v>7.7632663E7</v>
      </c>
      <c r="J96" s="1120">
        <v>330000.0</v>
      </c>
      <c r="K96" s="150"/>
      <c r="L96" s="18"/>
      <c r="M96" s="1124">
        <f t="shared" ref="M96:P96" si="42">G96-G95</f>
        <v>30406</v>
      </c>
      <c r="N96" s="1124">
        <f t="shared" si="42"/>
        <v>14525</v>
      </c>
      <c r="O96" s="1124">
        <f t="shared" si="42"/>
        <v>3410970</v>
      </c>
      <c r="P96" s="1124">
        <f t="shared" si="42"/>
        <v>7500</v>
      </c>
      <c r="Q96" s="18"/>
      <c r="R96" s="1124"/>
      <c r="S96" s="1124"/>
      <c r="T96" s="1124"/>
      <c r="U96" s="1124"/>
      <c r="V96" s="18"/>
      <c r="W96" s="18"/>
      <c r="X96" s="18"/>
      <c r="Y96" s="18"/>
      <c r="Z96" s="18"/>
    </row>
    <row r="97">
      <c r="A97" s="1116">
        <v>98.0</v>
      </c>
      <c r="B97" s="1117"/>
      <c r="C97" s="1118"/>
      <c r="D97" s="1118"/>
      <c r="E97" s="1118"/>
      <c r="F97" s="1119"/>
      <c r="G97" s="1122">
        <v>781427.0</v>
      </c>
      <c r="H97" s="1120">
        <v>437451.0</v>
      </c>
      <c r="I97" s="1120">
        <v>7.810224E7</v>
      </c>
      <c r="J97" s="1120">
        <v>333750.0</v>
      </c>
      <c r="K97" s="150"/>
      <c r="L97" s="18"/>
      <c r="M97" s="1124">
        <f t="shared" ref="M97:P97" si="43">G97-G96</f>
        <v>15296</v>
      </c>
      <c r="N97" s="1124">
        <f t="shared" si="43"/>
        <v>7259</v>
      </c>
      <c r="O97" s="1124">
        <f t="shared" si="43"/>
        <v>469577</v>
      </c>
      <c r="P97" s="1124">
        <f t="shared" si="43"/>
        <v>3750</v>
      </c>
      <c r="Q97" s="18"/>
      <c r="R97" s="1124"/>
      <c r="S97" s="1124"/>
      <c r="T97" s="1124"/>
      <c r="U97" s="1124"/>
      <c r="V97" s="18"/>
      <c r="W97" s="18"/>
      <c r="X97" s="18"/>
      <c r="Y97" s="18"/>
      <c r="Z97" s="18"/>
    </row>
    <row r="98">
      <c r="A98" s="1116">
        <v>99.0</v>
      </c>
      <c r="B98" s="1117"/>
      <c r="C98" s="1118"/>
      <c r="D98" s="1118"/>
      <c r="E98" s="1118"/>
      <c r="F98" s="1119"/>
      <c r="G98" s="1122">
        <v>812236.0</v>
      </c>
      <c r="H98" s="1120">
        <v>451976.0</v>
      </c>
      <c r="I98" s="1120">
        <v>8.0140349E7</v>
      </c>
      <c r="J98" s="1120">
        <v>341250.0</v>
      </c>
      <c r="K98" s="150"/>
      <c r="L98" s="18"/>
      <c r="M98" s="1124">
        <f t="shared" ref="M98:P98" si="44">G98-G97</f>
        <v>30809</v>
      </c>
      <c r="N98" s="1124">
        <f t="shared" si="44"/>
        <v>14525</v>
      </c>
      <c r="O98" s="1124">
        <f t="shared" si="44"/>
        <v>2038109</v>
      </c>
      <c r="P98" s="1124">
        <f t="shared" si="44"/>
        <v>7500</v>
      </c>
      <c r="Q98" s="18"/>
      <c r="R98" s="1124"/>
      <c r="S98" s="1124"/>
      <c r="T98" s="1124"/>
      <c r="U98" s="1124"/>
      <c r="V98" s="18"/>
      <c r="W98" s="18"/>
      <c r="X98" s="18"/>
      <c r="Y98" s="18"/>
      <c r="Z98" s="18"/>
    </row>
    <row r="99">
      <c r="A99" s="1116">
        <v>100.0</v>
      </c>
      <c r="B99" s="1117"/>
      <c r="C99" s="1118"/>
      <c r="D99" s="1118"/>
      <c r="E99" s="1118"/>
      <c r="F99" s="1119"/>
      <c r="G99" s="1122">
        <v>827732.0</v>
      </c>
      <c r="H99" s="1120">
        <v>459235.0</v>
      </c>
      <c r="I99" s="1120">
        <v>8.1068895E7</v>
      </c>
      <c r="J99" s="1120">
        <v>345000.0</v>
      </c>
      <c r="K99" s="150"/>
      <c r="L99" s="18"/>
      <c r="M99" s="1124">
        <f t="shared" ref="M99:P99" si="45">G99-G98</f>
        <v>15496</v>
      </c>
      <c r="N99" s="1124">
        <f t="shared" si="45"/>
        <v>7259</v>
      </c>
      <c r="O99" s="1124">
        <f t="shared" si="45"/>
        <v>928546</v>
      </c>
      <c r="P99" s="1124">
        <f t="shared" si="45"/>
        <v>3750</v>
      </c>
      <c r="Q99" s="18"/>
      <c r="R99" s="1124"/>
      <c r="S99" s="1124"/>
      <c r="T99" s="1124"/>
      <c r="U99" s="1124"/>
      <c r="V99" s="18"/>
      <c r="W99" s="18"/>
      <c r="X99" s="18"/>
      <c r="Y99" s="18"/>
      <c r="Z99" s="18"/>
    </row>
    <row r="100">
      <c r="A100" s="1116">
        <v>101.0</v>
      </c>
      <c r="B100" s="1122">
        <v>413866.0</v>
      </c>
      <c r="C100" s="1120">
        <v>229617.0</v>
      </c>
      <c r="D100" s="1120">
        <v>3.5805428E7</v>
      </c>
      <c r="E100" s="1120">
        <v>224250.0</v>
      </c>
      <c r="F100" s="1119"/>
      <c r="G100" s="1122">
        <v>858942.0</v>
      </c>
      <c r="H100" s="1120">
        <v>473753.0</v>
      </c>
      <c r="I100" s="1120">
        <v>8.3515548E7</v>
      </c>
      <c r="J100" s="1120">
        <v>352500.0</v>
      </c>
      <c r="K100" s="150"/>
      <c r="L100" s="18"/>
      <c r="M100" s="1124">
        <f t="shared" ref="M100:P100" si="46">G100-G99</f>
        <v>31210</v>
      </c>
      <c r="N100" s="1124">
        <f t="shared" si="46"/>
        <v>14518</v>
      </c>
      <c r="O100" s="1124">
        <f t="shared" si="46"/>
        <v>2446653</v>
      </c>
      <c r="P100" s="1124">
        <f t="shared" si="46"/>
        <v>7500</v>
      </c>
      <c r="Q100" s="18"/>
      <c r="R100" s="1124"/>
      <c r="S100" s="1124"/>
      <c r="T100" s="1124"/>
      <c r="U100" s="1124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</sheetData>
  <mergeCells count="2">
    <mergeCell ref="B1:F1"/>
    <mergeCell ref="G1:K1"/>
  </mergeCells>
  <drawing r:id="rId1"/>
  <tableParts count="2">
    <tablePart r:id="rId4"/>
    <tablePart r:id="rId5"/>
  </tableParts>
</worksheet>
</file>